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egory Table" sheetId="2" state="visible" r:id="rId2"/>
    <sheet xmlns:r="http://schemas.openxmlformats.org/officeDocument/2006/relationships" name="PO Log" sheetId="3" state="visible" r:id="rId3"/>
    <sheet xmlns:r="http://schemas.openxmlformats.org/officeDocument/2006/relationships" name="Committments Dump" sheetId="4" state="visible" r:id="rId4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FFFFFF"/>
      <sz val="13"/>
    </font>
    <font>
      <name val="Calibri"/>
      <i val="1"/>
      <color rgb="00888888"/>
      <sz val="9"/>
    </font>
  </fonts>
  <fills count="13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4F8EF7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medium">
        <color rgb="002E5EC8"/>
      </left>
      <right style="medium">
        <color rgb="002E5EC8"/>
      </right>
      <top style="medium">
        <color rgb="002E5EC8"/>
      </top>
      <bottom style="medium">
        <color rgb="002E5EC8"/>
      </bottom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6" fillId="12" borderId="2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4"/>
  <sheetViews>
    <sheetView topLeftCell="A4" workbookViewId="0">
      <selection activeCell="C27" sqref="C27"/>
    </sheetView>
  </sheetViews>
  <sheetFormatPr baseColWidth="8" defaultRowHeight="14.4"/>
  <sheetData>
    <row r="3" ht="36" customHeight="1">
      <c r="A3" s="95">
        <f>HYPERLINK(LEFT(CELL("filename",A1),FIND("[",CELL("filename",A1))-1)&amp;"budget_dashboard.html","🔗   Open Interactive Dashboard")</f>
        <v/>
      </c>
    </row>
    <row r="4">
      <c r="A4" s="96" t="inlineStr">
        <is>
          <t>Keep this file and budget_dashboard.html in the same folder.</t>
        </is>
      </c>
    </row>
  </sheetData>
  <mergeCells count="2">
    <mergeCell ref="A4:H4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97">
      <c r="A1" s="98" t="inlineStr">
        <is>
          <t>CVR Month:</t>
        </is>
      </c>
      <c r="B1" s="89" t="inlineStr">
        <is>
          <t>May, 2026</t>
        </is>
      </c>
      <c r="C1" s="99">
        <f>SUBTOTAL(9,C4:C370)</f>
        <v/>
      </c>
      <c r="D1" s="99">
        <f>SUBTOTAL(9,D4:D370)</f>
        <v/>
      </c>
      <c r="E1" s="99">
        <f>SUBTOTAL(9,E4:E370)</f>
        <v/>
      </c>
      <c r="F1" s="100">
        <f>SUBTOTAL(9,F4:F370)</f>
        <v/>
      </c>
      <c r="G1" s="99">
        <f>SUBTOTAL(9,G4:G370)</f>
        <v/>
      </c>
      <c r="H1" s="99">
        <f>SUBTOTAL(9,H4:H370)</f>
        <v/>
      </c>
      <c r="I1" s="100">
        <f>SUBTOTAL(9,I4:I370)</f>
        <v/>
      </c>
      <c r="J1" s="99">
        <f>SUBTOTAL(9,J4:J370)</f>
        <v/>
      </c>
      <c r="K1" s="99">
        <f>SUBTOTAL(9,K4:K370)</f>
        <v/>
      </c>
      <c r="L1" s="100">
        <f>SUBTOTAL(9,L4:L370)</f>
        <v/>
      </c>
      <c r="M1" s="99">
        <f>SUBTOTAL(9,M4:M370)</f>
        <v/>
      </c>
      <c r="N1" s="99">
        <f>SUBTOTAL(9,N4:N370)</f>
        <v/>
      </c>
      <c r="O1" s="101">
        <f>SUBTOTAL(9,O4:O370)</f>
        <v/>
      </c>
      <c r="P1" s="102">
        <f>SUBTOTAL(9,P4:P370)</f>
        <v/>
      </c>
      <c r="Q1" s="102">
        <f>SUBTOTAL(9,Q4:Q370)</f>
        <v/>
      </c>
      <c r="R1" s="103">
        <f>SUBTOTAL(9,R4:R370)</f>
        <v/>
      </c>
      <c r="S1" s="104">
        <f>SUBTOTAL(9,S4:S370)</f>
        <v/>
      </c>
      <c r="T1" s="104">
        <f>SUBTOTAL(9,T4:T370)</f>
        <v/>
      </c>
      <c r="U1" s="101">
        <f>SUBTOTAL(9,U4:U370)</f>
        <v/>
      </c>
      <c r="V1" s="102">
        <f>SUBTOTAL(9,V4:V370)</f>
        <v/>
      </c>
      <c r="W1" s="102">
        <f>SUBTOTAL(9,W4:W370)</f>
        <v/>
      </c>
      <c r="X1" s="101">
        <f>SUBTOTAL(9,X4:X370)</f>
        <v/>
      </c>
      <c r="Y1" s="102">
        <f>SUBTOTAL(9,Y4:Y370)</f>
        <v/>
      </c>
      <c r="Z1" s="102">
        <f>SUBTOTAL(9,Z4:Z370)</f>
        <v/>
      </c>
      <c r="AA1" s="101">
        <f>SUBTOTAL(9,AA4:AA370)</f>
        <v/>
      </c>
      <c r="AB1" s="102">
        <f>SUBTOTAL(9,AB4:AB370)</f>
        <v/>
      </c>
      <c r="AC1" s="102">
        <f>SUBTOTAL(9,AC4:AC370)</f>
        <v/>
      </c>
      <c r="AD1" s="105">
        <f>SUBTOTAL(9,AD4:AD370)</f>
        <v/>
      </c>
      <c r="AE1" s="106">
        <f>SUBTOTAL(9,AE4:AE370)</f>
        <v/>
      </c>
      <c r="AF1" s="106">
        <f>SUBTOTAL(9,AF4:AF370)</f>
        <v/>
      </c>
      <c r="AG1" s="101">
        <f>SUBTOTAL(9,AG4:AG370)</f>
        <v/>
      </c>
      <c r="AH1" s="102">
        <f>SUBTOTAL(9,AH4:AH370)</f>
        <v/>
      </c>
      <c r="AI1" s="102">
        <f>SUBTOTAL(9,AI4:AI370)</f>
        <v/>
      </c>
      <c r="AJ1" s="101">
        <f>SUBTOTAL(9,AJ4:AJ370)</f>
        <v/>
      </c>
      <c r="AK1" s="102">
        <f>SUBTOTAL(9,AK4:AK370)</f>
        <v/>
      </c>
      <c r="AL1" s="102">
        <f>SUBTOTAL(9,AL4:AL370)</f>
        <v/>
      </c>
      <c r="AM1" s="101">
        <f>SUBTOTAL(9,AM4:AM370)</f>
        <v/>
      </c>
      <c r="AN1" s="102">
        <f>SUBTOTAL(9,AN4:AN370)</f>
        <v/>
      </c>
      <c r="AO1" s="102">
        <f>SUBTOTAL(9,AO4:AO370)</f>
        <v/>
      </c>
      <c r="AP1" s="107">
        <f>IF(AM1&gt;0, "Under",IF(AM1&lt;0,"Over",""))</f>
        <v/>
      </c>
      <c r="AQ1" s="108">
        <f>IF(AN1&gt;0, "Under",IF(AN1&lt;0,"Over",""))</f>
        <v/>
      </c>
      <c r="AR1" s="109">
        <f>IF(AO1&gt;0, "Under",IF(AO1&lt;0,"Over",""))</f>
        <v/>
      </c>
      <c r="AS1" s="110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11" t="n">
        <v>0</v>
      </c>
      <c r="D4" s="112" t="n">
        <v>38865</v>
      </c>
      <c r="E4" s="112" t="n">
        <v>0</v>
      </c>
      <c r="F4" s="111" t="n">
        <v>178048.73</v>
      </c>
      <c r="G4" s="112" t="n">
        <v>0</v>
      </c>
      <c r="H4" s="112" t="n">
        <v>0</v>
      </c>
      <c r="I4" s="111" t="n">
        <v>0</v>
      </c>
      <c r="J4" s="112" t="n">
        <v>0</v>
      </c>
      <c r="K4" s="112" t="n">
        <v>0</v>
      </c>
      <c r="L4" s="111" t="n">
        <v>0</v>
      </c>
      <c r="M4" s="112" t="n">
        <v>0</v>
      </c>
      <c r="N4" s="112" t="n">
        <v>0</v>
      </c>
      <c r="O4" s="111">
        <f>L4+I4+F4+C4</f>
        <v/>
      </c>
      <c r="P4" s="112">
        <f>M4+J4+G4+D4</f>
        <v/>
      </c>
      <c r="Q4" s="112">
        <f>N4+K4+H4+E4</f>
        <v/>
      </c>
      <c r="R4" s="111">
        <f>SUMIFS('PO Log'!$E:$E,'PO Log'!$D:$D,'Category Table'!R$2,'PO Log'!$C:$C,'Category Table'!$A4)</f>
        <v/>
      </c>
      <c r="S4" s="112">
        <f>SUMIFS('PO Log'!$E:$E,'PO Log'!$D:$D,'Category Table'!S$2,'PO Log'!$C:$C,'Category Table'!$A4)</f>
        <v/>
      </c>
      <c r="T4" s="112">
        <f>SUMIFS('PO Log'!$E:$E,'PO Log'!$D:$D,'Category Table'!T$2,'PO Log'!$C:$C,'Category Table'!$A4)</f>
        <v/>
      </c>
      <c r="U4" s="111">
        <f>SUMIFS('Committments Dump'!$Q:$Q,'Committments Dump'!$C:$C,'Category Table'!U$2,'Committments Dump'!$B:$B,'Category Table'!$A4)</f>
        <v/>
      </c>
      <c r="V4" s="112">
        <f>SUMIFS('Committments Dump'!$Q:$Q,'Committments Dump'!$C:$C,'Category Table'!V$2,'Committments Dump'!$B:$B,'Category Table'!$A4)</f>
        <v/>
      </c>
      <c r="W4" s="112">
        <f>SUMIFS('Committments Dump'!$Q:$Q,'Committments Dump'!$C:$C,'Category Table'!W$2,'Committments Dump'!$B:$B,'Category Table'!$A4)</f>
        <v/>
      </c>
      <c r="X4" s="111">
        <f>SUMIFS('Committments Dump'!$R:$R,'Committments Dump'!$C:$C,'Category Table'!X$2,'Committments Dump'!$B:$B,'Category Table'!$A4)</f>
        <v/>
      </c>
      <c r="Y4" s="112">
        <f>SUMIFS('Committments Dump'!$R:$R,'Committments Dump'!$C:$C,'Category Table'!Y$2,'Committments Dump'!$B:$B,'Category Table'!$A4)</f>
        <v/>
      </c>
      <c r="Z4" s="112">
        <f>SUMIFS('Committments Dump'!$R:$R,'Committments Dump'!$C:$C,'Category Table'!Z$2,'Committments Dump'!$B:$B,'Category Table'!$A4)</f>
        <v/>
      </c>
      <c r="AA4" s="111">
        <f>SUMIFS('Committments Dump'!$S:$S,'Committments Dump'!$C:$C,'Category Table'!AA$2,'Committments Dump'!$B:$B,'Category Table'!$A4)</f>
        <v/>
      </c>
      <c r="AB4" s="112">
        <f>SUMIFS('Committments Dump'!$S:$S,'Committments Dump'!$C:$C,'Category Table'!AB$2,'Committments Dump'!$B:$B,'Category Table'!$A4)</f>
        <v/>
      </c>
      <c r="AC4" s="112">
        <f>SUMIFS('Committments Dump'!$S:$S,'Committments Dump'!$C:$C,'Category Table'!AC$2,'Committments Dump'!$B:$B,'Category Table'!$A4)</f>
        <v/>
      </c>
      <c r="AD4" s="111">
        <f>U4+X4+AA4</f>
        <v/>
      </c>
      <c r="AE4" s="112">
        <f>V4+Y4+AB4</f>
        <v/>
      </c>
      <c r="AF4" s="112">
        <f>W4+Z4+AC4</f>
        <v/>
      </c>
      <c r="AG4" s="111">
        <f>R4+AD4</f>
        <v/>
      </c>
      <c r="AH4" s="112">
        <f>S4+AE4</f>
        <v/>
      </c>
      <c r="AI4" s="112">
        <f>T4+AF4</f>
        <v/>
      </c>
      <c r="AJ4" s="111" t="n"/>
      <c r="AK4" s="112" t="n"/>
      <c r="AL4" s="112" t="n"/>
      <c r="AM4" s="111">
        <f>(O4-AG4)+AJ4</f>
        <v/>
      </c>
      <c r="AN4" s="112">
        <f>(P4-AH4)+AK4</f>
        <v/>
      </c>
      <c r="AO4" s="112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13" t="n">
        <v>0</v>
      </c>
      <c r="D5" s="114" t="n">
        <v>2350</v>
      </c>
      <c r="E5" s="114" t="n">
        <v>0</v>
      </c>
      <c r="F5" s="113" t="n">
        <v>220300.84</v>
      </c>
      <c r="G5" s="114" t="n">
        <v>0</v>
      </c>
      <c r="H5" s="114" t="n">
        <v>0</v>
      </c>
      <c r="I5" s="113" t="n">
        <v>0</v>
      </c>
      <c r="J5" s="114" t="n">
        <v>0</v>
      </c>
      <c r="K5" s="114" t="n">
        <v>0</v>
      </c>
      <c r="L5" s="113" t="n">
        <v>0</v>
      </c>
      <c r="M5" s="114" t="n">
        <v>0</v>
      </c>
      <c r="N5" s="114" t="n">
        <v>0</v>
      </c>
      <c r="O5" s="113">
        <f>L5+I5+F5+C5</f>
        <v/>
      </c>
      <c r="P5" s="114">
        <f>M5+J5+G5+D5</f>
        <v/>
      </c>
      <c r="Q5" s="114">
        <f>N5+K5+H5+E5</f>
        <v/>
      </c>
      <c r="R5" s="113">
        <f>SUMIFS('PO Log'!$E:$E,'PO Log'!$D:$D,'Category Table'!R$2,'PO Log'!$C:$C,'Category Table'!$A5)</f>
        <v/>
      </c>
      <c r="S5" s="114">
        <f>SUMIFS('PO Log'!$E:$E,'PO Log'!$D:$D,'Category Table'!S$2,'PO Log'!$C:$C,'Category Table'!$A5)</f>
        <v/>
      </c>
      <c r="T5" s="114">
        <f>SUMIFS('PO Log'!$E:$E,'PO Log'!$D:$D,'Category Table'!T$2,'PO Log'!$C:$C,'Category Table'!$A5)</f>
        <v/>
      </c>
      <c r="U5" s="113">
        <f>SUMIFS('Committments Dump'!$Q:$Q,'Committments Dump'!$C:$C,'Category Table'!U$2,'Committments Dump'!$B:$B,'Category Table'!$A5)</f>
        <v/>
      </c>
      <c r="V5" s="114">
        <f>SUMIFS('Committments Dump'!$Q:$Q,'Committments Dump'!$C:$C,'Category Table'!V$2,'Committments Dump'!$B:$B,'Category Table'!$A5)</f>
        <v/>
      </c>
      <c r="W5" s="114">
        <f>SUMIFS('Committments Dump'!$Q:$Q,'Committments Dump'!$C:$C,'Category Table'!W$2,'Committments Dump'!$B:$B,'Category Table'!$A5)</f>
        <v/>
      </c>
      <c r="X5" s="113">
        <f>SUMIFS('Committments Dump'!$R:$R,'Committments Dump'!$C:$C,'Category Table'!X$2,'Committments Dump'!$B:$B,'Category Table'!$A5)</f>
        <v/>
      </c>
      <c r="Y5" s="114">
        <f>SUMIFS('Committments Dump'!$R:$R,'Committments Dump'!$C:$C,'Category Table'!Y$2,'Committments Dump'!$B:$B,'Category Table'!$A5)</f>
        <v/>
      </c>
      <c r="Z5" s="114">
        <f>SUMIFS('Committments Dump'!$R:$R,'Committments Dump'!$C:$C,'Category Table'!Z$2,'Committments Dump'!$B:$B,'Category Table'!$A5)</f>
        <v/>
      </c>
      <c r="AA5" s="113">
        <f>SUMIFS('Committments Dump'!$S:$S,'Committments Dump'!$C:$C,'Category Table'!AA$2,'Committments Dump'!$B:$B,'Category Table'!$A5)</f>
        <v/>
      </c>
      <c r="AB5" s="114">
        <f>SUMIFS('Committments Dump'!$S:$S,'Committments Dump'!$C:$C,'Category Table'!AB$2,'Committments Dump'!$B:$B,'Category Table'!$A5)</f>
        <v/>
      </c>
      <c r="AC5" s="114">
        <f>SUMIFS('Committments Dump'!$S:$S,'Committments Dump'!$C:$C,'Category Table'!AC$2,'Committments Dump'!$B:$B,'Category Table'!$A5)</f>
        <v/>
      </c>
      <c r="AD5" s="113">
        <f>U5+X5+AA5</f>
        <v/>
      </c>
      <c r="AE5" s="114">
        <f>V5+Y5+AB5</f>
        <v/>
      </c>
      <c r="AF5" s="114">
        <f>W5+Z5+AC5</f>
        <v/>
      </c>
      <c r="AG5" s="113">
        <f>R5+AD5</f>
        <v/>
      </c>
      <c r="AH5" s="114">
        <f>S5+AE5</f>
        <v/>
      </c>
      <c r="AI5" s="114">
        <f>T5+AF5</f>
        <v/>
      </c>
      <c r="AJ5" s="113" t="n"/>
      <c r="AK5" s="114" t="n"/>
      <c r="AL5" s="114" t="n"/>
      <c r="AM5" s="113">
        <f>(O5-AG5)+AJ5</f>
        <v/>
      </c>
      <c r="AN5" s="114">
        <f>(P5-AH5)+AK5</f>
        <v/>
      </c>
      <c r="AO5" s="114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11" t="n">
        <v>0</v>
      </c>
      <c r="D6" s="112" t="n">
        <v>1035502.42</v>
      </c>
      <c r="E6" s="112" t="n">
        <v>9355889.1</v>
      </c>
      <c r="F6" s="111" t="n"/>
      <c r="G6" s="112" t="n"/>
      <c r="H6" s="112" t="n">
        <v>-8395820.009999998</v>
      </c>
      <c r="I6" s="111" t="n">
        <v>0</v>
      </c>
      <c r="J6" s="112" t="n">
        <v>0</v>
      </c>
      <c r="K6" s="112" t="n">
        <v>0</v>
      </c>
      <c r="L6" s="111" t="n">
        <v>0</v>
      </c>
      <c r="M6" s="112" t="n">
        <v>11408138.22</v>
      </c>
      <c r="N6" s="112" t="n">
        <v>24924070.87</v>
      </c>
      <c r="O6" s="111">
        <f>L6+I6+F6+C6</f>
        <v/>
      </c>
      <c r="P6" s="112">
        <f>M6+J6+G6+D6</f>
        <v/>
      </c>
      <c r="Q6" s="112">
        <f>N6+K6+H6+E6</f>
        <v/>
      </c>
      <c r="R6" s="111">
        <f>SUMIFS('PO Log'!$E:$E,'PO Log'!$D:$D,'Category Table'!R$2,'PO Log'!$C:$C,'Category Table'!$A6)</f>
        <v/>
      </c>
      <c r="S6" s="112">
        <f>SUMIFS('PO Log'!$E:$E,'PO Log'!$D:$D,'Category Table'!S$2,'PO Log'!$C:$C,'Category Table'!$A6)</f>
        <v/>
      </c>
      <c r="T6" s="112">
        <f>SUMIFS('PO Log'!$E:$E,'PO Log'!$D:$D,'Category Table'!T$2,'PO Log'!$C:$C,'Category Table'!$A6)</f>
        <v/>
      </c>
      <c r="U6" s="111">
        <f>SUMIFS('Committments Dump'!$Q:$Q,'Committments Dump'!$C:$C,'Category Table'!U$2,'Committments Dump'!$B:$B,'Category Table'!$A6)</f>
        <v/>
      </c>
      <c r="V6" s="112">
        <f>SUMIFS('Committments Dump'!$Q:$Q,'Committments Dump'!$C:$C,'Category Table'!V$2,'Committments Dump'!$B:$B,'Category Table'!$A6)</f>
        <v/>
      </c>
      <c r="W6" s="112">
        <f>SUMIFS('Committments Dump'!$Q:$Q,'Committments Dump'!$C:$C,'Category Table'!W$2,'Committments Dump'!$B:$B,'Category Table'!$A6)</f>
        <v/>
      </c>
      <c r="X6" s="111">
        <f>SUMIFS('Committments Dump'!$R:$R,'Committments Dump'!$C:$C,'Category Table'!X$2,'Committments Dump'!$B:$B,'Category Table'!$A6)</f>
        <v/>
      </c>
      <c r="Y6" s="112">
        <f>SUMIFS('Committments Dump'!$R:$R,'Committments Dump'!$C:$C,'Category Table'!Y$2,'Committments Dump'!$B:$B,'Category Table'!$A6)</f>
        <v/>
      </c>
      <c r="Z6" s="112">
        <f>SUMIFS('Committments Dump'!$R:$R,'Committments Dump'!$C:$C,'Category Table'!Z$2,'Committments Dump'!$B:$B,'Category Table'!$A6)</f>
        <v/>
      </c>
      <c r="AA6" s="111">
        <f>SUMIFS('Committments Dump'!$S:$S,'Committments Dump'!$C:$C,'Category Table'!AA$2,'Committments Dump'!$B:$B,'Category Table'!$A6)</f>
        <v/>
      </c>
      <c r="AB6" s="112">
        <f>SUMIFS('Committments Dump'!$S:$S,'Committments Dump'!$C:$C,'Category Table'!AB$2,'Committments Dump'!$B:$B,'Category Table'!$A6)</f>
        <v/>
      </c>
      <c r="AC6" s="112">
        <f>SUMIFS('Committments Dump'!$S:$S,'Committments Dump'!$C:$C,'Category Table'!AC$2,'Committments Dump'!$B:$B,'Category Table'!$A6)</f>
        <v/>
      </c>
      <c r="AD6" s="111">
        <f>U6+X6+AA6</f>
        <v/>
      </c>
      <c r="AE6" s="112">
        <f>V6+Y6+AB6</f>
        <v/>
      </c>
      <c r="AF6" s="112">
        <f>W6+Z6+AC6</f>
        <v/>
      </c>
      <c r="AG6" s="111">
        <f>R6+AD6</f>
        <v/>
      </c>
      <c r="AH6" s="112">
        <f>S6+AE6</f>
        <v/>
      </c>
      <c r="AI6" s="112">
        <f>T6+AF6</f>
        <v/>
      </c>
      <c r="AJ6" s="111" t="n"/>
      <c r="AK6" s="112" t="n"/>
      <c r="AL6" s="112" t="n"/>
      <c r="AM6" s="111">
        <f>(O6-AG6)+AJ6</f>
        <v/>
      </c>
      <c r="AN6" s="112">
        <f>(P6-AH6)+AK6</f>
        <v/>
      </c>
      <c r="AO6" s="112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13" t="n">
        <v>0</v>
      </c>
      <c r="D7" s="114" t="n">
        <v>0</v>
      </c>
      <c r="E7" s="114" t="n">
        <v>4983660</v>
      </c>
      <c r="F7" s="113" t="n">
        <v>-350000</v>
      </c>
      <c r="G7" s="114" t="n"/>
      <c r="H7" s="114" t="n">
        <v>-4812801.780000001</v>
      </c>
      <c r="I7" s="113" t="n">
        <v>0</v>
      </c>
      <c r="J7" s="114" t="n">
        <v>0</v>
      </c>
      <c r="K7" s="114" t="n">
        <v>0</v>
      </c>
      <c r="L7" s="113" t="n">
        <v>0</v>
      </c>
      <c r="M7" s="114" t="n">
        <v>0</v>
      </c>
      <c r="N7" s="114" t="n">
        <v>16959929.76</v>
      </c>
      <c r="O7" s="113">
        <f>L7+I7+F7+C7</f>
        <v/>
      </c>
      <c r="P7" s="114">
        <f>M7+J7+G7+D7</f>
        <v/>
      </c>
      <c r="Q7" s="114">
        <f>N7+K7+H7+E7</f>
        <v/>
      </c>
      <c r="R7" s="113">
        <f>SUMIFS('PO Log'!$E:$E,'PO Log'!$D:$D,'Category Table'!R$2,'PO Log'!$C:$C,'Category Table'!$A7)</f>
        <v/>
      </c>
      <c r="S7" s="114">
        <f>SUMIFS('PO Log'!$E:$E,'PO Log'!$D:$D,'Category Table'!S$2,'PO Log'!$C:$C,'Category Table'!$A7)</f>
        <v/>
      </c>
      <c r="T7" s="114">
        <f>SUMIFS('PO Log'!$E:$E,'PO Log'!$D:$D,'Category Table'!T$2,'PO Log'!$C:$C,'Category Table'!$A7)</f>
        <v/>
      </c>
      <c r="U7" s="113">
        <f>SUMIFS('Committments Dump'!$Q:$Q,'Committments Dump'!$C:$C,'Category Table'!U$2,'Committments Dump'!$B:$B,'Category Table'!$A7)</f>
        <v/>
      </c>
      <c r="V7" s="114">
        <f>SUMIFS('Committments Dump'!$Q:$Q,'Committments Dump'!$C:$C,'Category Table'!V$2,'Committments Dump'!$B:$B,'Category Table'!$A7)</f>
        <v/>
      </c>
      <c r="W7" s="114">
        <f>SUMIFS('Committments Dump'!$Q:$Q,'Committments Dump'!$C:$C,'Category Table'!W$2,'Committments Dump'!$B:$B,'Category Table'!$A7)</f>
        <v/>
      </c>
      <c r="X7" s="113">
        <f>SUMIFS('Committments Dump'!$R:$R,'Committments Dump'!$C:$C,'Category Table'!X$2,'Committments Dump'!$B:$B,'Category Table'!$A7)</f>
        <v/>
      </c>
      <c r="Y7" s="114">
        <f>SUMIFS('Committments Dump'!$R:$R,'Committments Dump'!$C:$C,'Category Table'!Y$2,'Committments Dump'!$B:$B,'Category Table'!$A7)</f>
        <v/>
      </c>
      <c r="Z7" s="114">
        <f>SUMIFS('Committments Dump'!$R:$R,'Committments Dump'!$C:$C,'Category Table'!Z$2,'Committments Dump'!$B:$B,'Category Table'!$A7)</f>
        <v/>
      </c>
      <c r="AA7" s="113">
        <f>SUMIFS('Committments Dump'!$S:$S,'Committments Dump'!$C:$C,'Category Table'!AA$2,'Committments Dump'!$B:$B,'Category Table'!$A7)</f>
        <v/>
      </c>
      <c r="AB7" s="114">
        <f>SUMIFS('Committments Dump'!$S:$S,'Committments Dump'!$C:$C,'Category Table'!AB$2,'Committments Dump'!$B:$B,'Category Table'!$A7)</f>
        <v/>
      </c>
      <c r="AC7" s="114">
        <f>SUMIFS('Committments Dump'!$S:$S,'Committments Dump'!$C:$C,'Category Table'!AC$2,'Committments Dump'!$B:$B,'Category Table'!$A7)</f>
        <v/>
      </c>
      <c r="AD7" s="113">
        <f>U7+X7+AA7</f>
        <v/>
      </c>
      <c r="AE7" s="114">
        <f>V7+Y7+AB7</f>
        <v/>
      </c>
      <c r="AF7" s="114">
        <f>W7+Z7+AC7</f>
        <v/>
      </c>
      <c r="AG7" s="113">
        <f>R7+AD7</f>
        <v/>
      </c>
      <c r="AH7" s="114">
        <f>S7+AE7</f>
        <v/>
      </c>
      <c r="AI7" s="114">
        <f>T7+AF7</f>
        <v/>
      </c>
      <c r="AJ7" s="113" t="n"/>
      <c r="AK7" s="114" t="n"/>
      <c r="AL7" s="114" t="n"/>
      <c r="AM7" s="113">
        <f>(O7-AG7)+AJ7</f>
        <v/>
      </c>
      <c r="AN7" s="114">
        <f>(P7-AH7)+AK7</f>
        <v/>
      </c>
      <c r="AO7" s="114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11" t="n">
        <v>0</v>
      </c>
      <c r="D8" s="112" t="n">
        <v>0</v>
      </c>
      <c r="E8" s="112" t="n">
        <v>0</v>
      </c>
      <c r="F8" s="111" t="n">
        <v>0</v>
      </c>
      <c r="G8" s="112" t="n">
        <v>0</v>
      </c>
      <c r="H8" s="112" t="n">
        <v>0</v>
      </c>
      <c r="I8" s="111" t="n">
        <v>0</v>
      </c>
      <c r="J8" s="112" t="n">
        <v>0</v>
      </c>
      <c r="K8" s="112" t="n">
        <v>0</v>
      </c>
      <c r="L8" s="111" t="n">
        <v>0</v>
      </c>
      <c r="M8" s="112" t="n">
        <v>0</v>
      </c>
      <c r="N8" s="112" t="n">
        <v>0</v>
      </c>
      <c r="O8" s="111">
        <f>L8+I8+F8+C8</f>
        <v/>
      </c>
      <c r="P8" s="112">
        <f>M8+J8+G8+D8</f>
        <v/>
      </c>
      <c r="Q8" s="112">
        <f>N8+K8+H8+E8</f>
        <v/>
      </c>
      <c r="R8" s="111">
        <f>SUMIFS('PO Log'!$E:$E,'PO Log'!$D:$D,'Category Table'!R$2,'PO Log'!$C:$C,'Category Table'!$A8)</f>
        <v/>
      </c>
      <c r="S8" s="112">
        <f>SUMIFS('PO Log'!$E:$E,'PO Log'!$D:$D,'Category Table'!S$2,'PO Log'!$C:$C,'Category Table'!$A8)</f>
        <v/>
      </c>
      <c r="T8" s="112">
        <f>SUMIFS('PO Log'!$E:$E,'PO Log'!$D:$D,'Category Table'!T$2,'PO Log'!$C:$C,'Category Table'!$A8)</f>
        <v/>
      </c>
      <c r="U8" s="111">
        <f>SUMIFS('Committments Dump'!$Q:$Q,'Committments Dump'!$C:$C,'Category Table'!U$2,'Committments Dump'!$B:$B,'Category Table'!$A8)</f>
        <v/>
      </c>
      <c r="V8" s="112">
        <f>SUMIFS('Committments Dump'!$Q:$Q,'Committments Dump'!$C:$C,'Category Table'!V$2,'Committments Dump'!$B:$B,'Category Table'!$A8)</f>
        <v/>
      </c>
      <c r="W8" s="112">
        <f>SUMIFS('Committments Dump'!$Q:$Q,'Committments Dump'!$C:$C,'Category Table'!W$2,'Committments Dump'!$B:$B,'Category Table'!$A8)</f>
        <v/>
      </c>
      <c r="X8" s="111">
        <f>SUMIFS('Committments Dump'!$R:$R,'Committments Dump'!$C:$C,'Category Table'!X$2,'Committments Dump'!$B:$B,'Category Table'!$A8)</f>
        <v/>
      </c>
      <c r="Y8" s="112">
        <f>SUMIFS('Committments Dump'!$R:$R,'Committments Dump'!$C:$C,'Category Table'!Y$2,'Committments Dump'!$B:$B,'Category Table'!$A8)</f>
        <v/>
      </c>
      <c r="Z8" s="112">
        <f>SUMIFS('Committments Dump'!$R:$R,'Committments Dump'!$C:$C,'Category Table'!Z$2,'Committments Dump'!$B:$B,'Category Table'!$A8)</f>
        <v/>
      </c>
      <c r="AA8" s="111">
        <f>SUMIFS('Committments Dump'!$S:$S,'Committments Dump'!$C:$C,'Category Table'!AA$2,'Committments Dump'!$B:$B,'Category Table'!$A8)</f>
        <v/>
      </c>
      <c r="AB8" s="112">
        <f>SUMIFS('Committments Dump'!$S:$S,'Committments Dump'!$C:$C,'Category Table'!AB$2,'Committments Dump'!$B:$B,'Category Table'!$A8)</f>
        <v/>
      </c>
      <c r="AC8" s="112">
        <f>SUMIFS('Committments Dump'!$S:$S,'Committments Dump'!$C:$C,'Category Table'!AC$2,'Committments Dump'!$B:$B,'Category Table'!$A8)</f>
        <v/>
      </c>
      <c r="AD8" s="111">
        <f>U8+X8+AA8</f>
        <v/>
      </c>
      <c r="AE8" s="112">
        <f>V8+Y8+AB8</f>
        <v/>
      </c>
      <c r="AF8" s="112">
        <f>W8+Z8+AC8</f>
        <v/>
      </c>
      <c r="AG8" s="111">
        <f>R8+AD8</f>
        <v/>
      </c>
      <c r="AH8" s="112">
        <f>S8+AE8</f>
        <v/>
      </c>
      <c r="AI8" s="112">
        <f>T8+AF8</f>
        <v/>
      </c>
      <c r="AJ8" s="111" t="n"/>
      <c r="AK8" s="112" t="n"/>
      <c r="AL8" s="112" t="n"/>
      <c r="AM8" s="111">
        <f>(O8-AG8)+AJ8</f>
        <v/>
      </c>
      <c r="AN8" s="112">
        <f>(P8-AH8)+AK8</f>
        <v/>
      </c>
      <c r="AO8" s="112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13" t="n">
        <v>0</v>
      </c>
      <c r="D9" s="114" t="n">
        <v>0</v>
      </c>
      <c r="E9" s="114" t="n">
        <v>4497552.64</v>
      </c>
      <c r="F9" s="113" t="n">
        <v>1264434.049999997</v>
      </c>
      <c r="G9" s="114" t="n">
        <v>-385787.9800000004</v>
      </c>
      <c r="H9" s="114" t="n"/>
      <c r="I9" s="113" t="n">
        <v>0</v>
      </c>
      <c r="J9" s="114" t="n">
        <v>0</v>
      </c>
      <c r="K9" s="114" t="n">
        <v>21748.27</v>
      </c>
      <c r="L9" s="113" t="n">
        <v>0</v>
      </c>
      <c r="M9" s="114" t="n">
        <v>1033828.47</v>
      </c>
      <c r="N9" s="114" t="n">
        <v>14990593.76</v>
      </c>
      <c r="O9" s="113">
        <f>L9+I9+F9+C9</f>
        <v/>
      </c>
      <c r="P9" s="114">
        <f>M9+J9+G9+D9</f>
        <v/>
      </c>
      <c r="Q9" s="114">
        <f>N9+K9+H9+E9</f>
        <v/>
      </c>
      <c r="R9" s="113">
        <f>SUMIFS('PO Log'!$E:$E,'PO Log'!$D:$D,'Category Table'!R$2,'PO Log'!$C:$C,'Category Table'!$A9)</f>
        <v/>
      </c>
      <c r="S9" s="114">
        <f>SUMIFS('PO Log'!$E:$E,'PO Log'!$D:$D,'Category Table'!S$2,'PO Log'!$C:$C,'Category Table'!$A9)</f>
        <v/>
      </c>
      <c r="T9" s="114">
        <f>SUMIFS('PO Log'!$E:$E,'PO Log'!$D:$D,'Category Table'!T$2,'PO Log'!$C:$C,'Category Table'!$A9)</f>
        <v/>
      </c>
      <c r="U9" s="113">
        <f>SUMIFS('Committments Dump'!$Q:$Q,'Committments Dump'!$C:$C,'Category Table'!U$2,'Committments Dump'!$B:$B,'Category Table'!$A9)</f>
        <v/>
      </c>
      <c r="V9" s="114">
        <f>SUMIFS('Committments Dump'!$Q:$Q,'Committments Dump'!$C:$C,'Category Table'!V$2,'Committments Dump'!$B:$B,'Category Table'!$A9)</f>
        <v/>
      </c>
      <c r="W9" s="114">
        <f>SUMIFS('Committments Dump'!$Q:$Q,'Committments Dump'!$C:$C,'Category Table'!W$2,'Committments Dump'!$B:$B,'Category Table'!$A9)</f>
        <v/>
      </c>
      <c r="X9" s="113">
        <f>SUMIFS('Committments Dump'!$R:$R,'Committments Dump'!$C:$C,'Category Table'!X$2,'Committments Dump'!$B:$B,'Category Table'!$A9)</f>
        <v/>
      </c>
      <c r="Y9" s="114">
        <f>SUMIFS('Committments Dump'!$R:$R,'Committments Dump'!$C:$C,'Category Table'!Y$2,'Committments Dump'!$B:$B,'Category Table'!$A9)</f>
        <v/>
      </c>
      <c r="Z9" s="114">
        <f>SUMIFS('Committments Dump'!$R:$R,'Committments Dump'!$C:$C,'Category Table'!Z$2,'Committments Dump'!$B:$B,'Category Table'!$A9)</f>
        <v/>
      </c>
      <c r="AA9" s="113">
        <f>SUMIFS('Committments Dump'!$S:$S,'Committments Dump'!$C:$C,'Category Table'!AA$2,'Committments Dump'!$B:$B,'Category Table'!$A9)</f>
        <v/>
      </c>
      <c r="AB9" s="114">
        <f>SUMIFS('Committments Dump'!$S:$S,'Committments Dump'!$C:$C,'Category Table'!AB$2,'Committments Dump'!$B:$B,'Category Table'!$A9)</f>
        <v/>
      </c>
      <c r="AC9" s="114">
        <f>SUMIFS('Committments Dump'!$S:$S,'Committments Dump'!$C:$C,'Category Table'!AC$2,'Committments Dump'!$B:$B,'Category Table'!$A9)</f>
        <v/>
      </c>
      <c r="AD9" s="113">
        <f>U9+X9+AA9</f>
        <v/>
      </c>
      <c r="AE9" s="114">
        <f>V9+Y9+AB9</f>
        <v/>
      </c>
      <c r="AF9" s="114">
        <f>W9+Z9+AC9</f>
        <v/>
      </c>
      <c r="AG9" s="113">
        <f>R9+AD9</f>
        <v/>
      </c>
      <c r="AH9" s="114">
        <f>S9+AE9</f>
        <v/>
      </c>
      <c r="AI9" s="114">
        <f>T9+AF9</f>
        <v/>
      </c>
      <c r="AJ9" s="113" t="n"/>
      <c r="AK9" s="114" t="n"/>
      <c r="AL9" s="114" t="n"/>
      <c r="AM9" s="113">
        <f>(O9-AG9)+AJ9</f>
        <v/>
      </c>
      <c r="AN9" s="114">
        <f>(P9-AH9)+AK9</f>
        <v/>
      </c>
      <c r="AO9" s="114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11" t="n">
        <v>0</v>
      </c>
      <c r="D10" s="112" t="n">
        <v>0</v>
      </c>
      <c r="E10" s="112" t="n">
        <v>0</v>
      </c>
      <c r="F10" s="111" t="n">
        <v>0</v>
      </c>
      <c r="G10" s="112" t="n">
        <v>0</v>
      </c>
      <c r="H10" s="112" t="n">
        <v>1624883.96</v>
      </c>
      <c r="I10" s="111" t="n">
        <v>0</v>
      </c>
      <c r="J10" s="112" t="n">
        <v>0</v>
      </c>
      <c r="K10" s="112" t="n">
        <v>0</v>
      </c>
      <c r="L10" s="111" t="n">
        <v>0</v>
      </c>
      <c r="M10" s="112" t="n">
        <v>0</v>
      </c>
      <c r="N10" s="112" t="n">
        <v>0</v>
      </c>
      <c r="O10" s="111">
        <f>L10+I10+F10+C10</f>
        <v/>
      </c>
      <c r="P10" s="112">
        <f>M10+J10+G10+D10</f>
        <v/>
      </c>
      <c r="Q10" s="112">
        <f>N10+K10+H10+E10</f>
        <v/>
      </c>
      <c r="R10" s="111">
        <f>SUMIFS('PO Log'!$E:$E,'PO Log'!$D:$D,'Category Table'!R$2,'PO Log'!$C:$C,'Category Table'!$A10)</f>
        <v/>
      </c>
      <c r="S10" s="112">
        <f>SUMIFS('PO Log'!$E:$E,'PO Log'!$D:$D,'Category Table'!S$2,'PO Log'!$C:$C,'Category Table'!$A10)</f>
        <v/>
      </c>
      <c r="T10" s="112">
        <f>SUMIFS('PO Log'!$E:$E,'PO Log'!$D:$D,'Category Table'!T$2,'PO Log'!$C:$C,'Category Table'!$A10)</f>
        <v/>
      </c>
      <c r="U10" s="111">
        <f>SUMIFS('Committments Dump'!$Q:$Q,'Committments Dump'!$C:$C,'Category Table'!U$2,'Committments Dump'!$B:$B,'Category Table'!$A10)</f>
        <v/>
      </c>
      <c r="V10" s="112">
        <f>SUMIFS('Committments Dump'!$Q:$Q,'Committments Dump'!$C:$C,'Category Table'!V$2,'Committments Dump'!$B:$B,'Category Table'!$A10)</f>
        <v/>
      </c>
      <c r="W10" s="112">
        <f>SUMIFS('Committments Dump'!$Q:$Q,'Committments Dump'!$C:$C,'Category Table'!W$2,'Committments Dump'!$B:$B,'Category Table'!$A10)</f>
        <v/>
      </c>
      <c r="X10" s="111">
        <f>SUMIFS('Committments Dump'!$R:$R,'Committments Dump'!$C:$C,'Category Table'!X$2,'Committments Dump'!$B:$B,'Category Table'!$A10)</f>
        <v/>
      </c>
      <c r="Y10" s="112">
        <f>SUMIFS('Committments Dump'!$R:$R,'Committments Dump'!$C:$C,'Category Table'!Y$2,'Committments Dump'!$B:$B,'Category Table'!$A10)</f>
        <v/>
      </c>
      <c r="Z10" s="112">
        <f>SUMIFS('Committments Dump'!$R:$R,'Committments Dump'!$C:$C,'Category Table'!Z$2,'Committments Dump'!$B:$B,'Category Table'!$A10)</f>
        <v/>
      </c>
      <c r="AA10" s="111">
        <f>SUMIFS('Committments Dump'!$S:$S,'Committments Dump'!$C:$C,'Category Table'!AA$2,'Committments Dump'!$B:$B,'Category Table'!$A10)</f>
        <v/>
      </c>
      <c r="AB10" s="112">
        <f>SUMIFS('Committments Dump'!$S:$S,'Committments Dump'!$C:$C,'Category Table'!AB$2,'Committments Dump'!$B:$B,'Category Table'!$A10)</f>
        <v/>
      </c>
      <c r="AC10" s="112">
        <f>SUMIFS('Committments Dump'!$S:$S,'Committments Dump'!$C:$C,'Category Table'!AC$2,'Committments Dump'!$B:$B,'Category Table'!$A10)</f>
        <v/>
      </c>
      <c r="AD10" s="111">
        <f>U10+X10+AA10</f>
        <v/>
      </c>
      <c r="AE10" s="112">
        <f>V10+Y10+AB10</f>
        <v/>
      </c>
      <c r="AF10" s="112">
        <f>W10+Z10+AC10</f>
        <v/>
      </c>
      <c r="AG10" s="111">
        <f>R10+AD10</f>
        <v/>
      </c>
      <c r="AH10" s="112">
        <f>S10+AE10</f>
        <v/>
      </c>
      <c r="AI10" s="112">
        <f>T10+AF10</f>
        <v/>
      </c>
      <c r="AJ10" s="111" t="n"/>
      <c r="AK10" s="112" t="n"/>
      <c r="AL10" s="112" t="n"/>
      <c r="AM10" s="111">
        <f>(O10-AG10)+AJ10</f>
        <v/>
      </c>
      <c r="AN10" s="112">
        <f>(P10-AH10)+AK10</f>
        <v/>
      </c>
      <c r="AO10" s="112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13" t="n">
        <v>0</v>
      </c>
      <c r="D11" s="114" t="n">
        <v>0</v>
      </c>
      <c r="E11" s="114" t="n">
        <v>0</v>
      </c>
      <c r="F11" s="113" t="n">
        <v>138740</v>
      </c>
      <c r="G11" s="114" t="n">
        <v>0</v>
      </c>
      <c r="H11" s="114" t="n">
        <v>1848766.26</v>
      </c>
      <c r="I11" s="113" t="n">
        <v>0</v>
      </c>
      <c r="J11" s="114" t="n">
        <v>0</v>
      </c>
      <c r="K11" s="114" t="n">
        <v>0</v>
      </c>
      <c r="L11" s="113" t="n">
        <v>0</v>
      </c>
      <c r="M11" s="114" t="n">
        <v>0</v>
      </c>
      <c r="N11" s="114" t="n">
        <v>0</v>
      </c>
      <c r="O11" s="113">
        <f>L11+I11+F11+C11</f>
        <v/>
      </c>
      <c r="P11" s="114">
        <f>M11+J11+G11+D11</f>
        <v/>
      </c>
      <c r="Q11" s="114">
        <f>N11+K11+H11+E11</f>
        <v/>
      </c>
      <c r="R11" s="113">
        <f>SUMIFS('PO Log'!$E:$E,'PO Log'!$D:$D,'Category Table'!R$2,'PO Log'!$C:$C,'Category Table'!$A11)</f>
        <v/>
      </c>
      <c r="S11" s="114">
        <f>SUMIFS('PO Log'!$E:$E,'PO Log'!$D:$D,'Category Table'!S$2,'PO Log'!$C:$C,'Category Table'!$A11)</f>
        <v/>
      </c>
      <c r="T11" s="114">
        <f>SUMIFS('PO Log'!$E:$E,'PO Log'!$D:$D,'Category Table'!T$2,'PO Log'!$C:$C,'Category Table'!$A11)</f>
        <v/>
      </c>
      <c r="U11" s="113">
        <f>SUMIFS('Committments Dump'!$Q:$Q,'Committments Dump'!$C:$C,'Category Table'!U$2,'Committments Dump'!$B:$B,'Category Table'!$A11)</f>
        <v/>
      </c>
      <c r="V11" s="114">
        <f>SUMIFS('Committments Dump'!$Q:$Q,'Committments Dump'!$C:$C,'Category Table'!V$2,'Committments Dump'!$B:$B,'Category Table'!$A11)</f>
        <v/>
      </c>
      <c r="W11" s="114">
        <f>SUMIFS('Committments Dump'!$Q:$Q,'Committments Dump'!$C:$C,'Category Table'!W$2,'Committments Dump'!$B:$B,'Category Table'!$A11)</f>
        <v/>
      </c>
      <c r="X11" s="113">
        <f>SUMIFS('Committments Dump'!$R:$R,'Committments Dump'!$C:$C,'Category Table'!X$2,'Committments Dump'!$B:$B,'Category Table'!$A11)</f>
        <v/>
      </c>
      <c r="Y11" s="114">
        <f>SUMIFS('Committments Dump'!$R:$R,'Committments Dump'!$C:$C,'Category Table'!Y$2,'Committments Dump'!$B:$B,'Category Table'!$A11)</f>
        <v/>
      </c>
      <c r="Z11" s="114">
        <f>SUMIFS('Committments Dump'!$R:$R,'Committments Dump'!$C:$C,'Category Table'!Z$2,'Committments Dump'!$B:$B,'Category Table'!$A11)</f>
        <v/>
      </c>
      <c r="AA11" s="113">
        <f>SUMIFS('Committments Dump'!$S:$S,'Committments Dump'!$C:$C,'Category Table'!AA$2,'Committments Dump'!$B:$B,'Category Table'!$A11)</f>
        <v/>
      </c>
      <c r="AB11" s="114">
        <f>SUMIFS('Committments Dump'!$S:$S,'Committments Dump'!$C:$C,'Category Table'!AB$2,'Committments Dump'!$B:$B,'Category Table'!$A11)</f>
        <v/>
      </c>
      <c r="AC11" s="114">
        <f>SUMIFS('Committments Dump'!$S:$S,'Committments Dump'!$C:$C,'Category Table'!AC$2,'Committments Dump'!$B:$B,'Category Table'!$A11)</f>
        <v/>
      </c>
      <c r="AD11" s="113">
        <f>U11+X11+AA11</f>
        <v/>
      </c>
      <c r="AE11" s="114">
        <f>V11+Y11+AB11</f>
        <v/>
      </c>
      <c r="AF11" s="114">
        <f>W11+Z11+AC11</f>
        <v/>
      </c>
      <c r="AG11" s="113">
        <f>R11+AD11</f>
        <v/>
      </c>
      <c r="AH11" s="114">
        <f>S11+AE11</f>
        <v/>
      </c>
      <c r="AI11" s="114">
        <f>T11+AF11</f>
        <v/>
      </c>
      <c r="AJ11" s="113" t="n"/>
      <c r="AK11" s="114" t="n"/>
      <c r="AL11" s="114" t="n"/>
      <c r="AM11" s="113">
        <f>(O11-AG11)+AJ11</f>
        <v/>
      </c>
      <c r="AN11" s="114">
        <f>(P11-AH11)+AK11</f>
        <v/>
      </c>
      <c r="AO11" s="114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11" t="n">
        <v>0</v>
      </c>
      <c r="D12" s="112" t="n">
        <v>0</v>
      </c>
      <c r="E12" s="112" t="n">
        <v>0</v>
      </c>
      <c r="F12" s="111" t="n">
        <v>0</v>
      </c>
      <c r="G12" s="112" t="n">
        <v>0</v>
      </c>
      <c r="H12" s="112" t="n">
        <v>11679119.26</v>
      </c>
      <c r="I12" s="111" t="n">
        <v>0</v>
      </c>
      <c r="J12" s="112" t="n">
        <v>0</v>
      </c>
      <c r="K12" s="112" t="n">
        <v>0</v>
      </c>
      <c r="L12" s="111" t="n">
        <v>0</v>
      </c>
      <c r="M12" s="112" t="n">
        <v>0</v>
      </c>
      <c r="N12" s="112" t="n">
        <v>0</v>
      </c>
      <c r="O12" s="111">
        <f>L12+I12+F12+C12</f>
        <v/>
      </c>
      <c r="P12" s="112">
        <f>M12+J12+G12+D12</f>
        <v/>
      </c>
      <c r="Q12" s="112">
        <f>N12+K12+H12+E12</f>
        <v/>
      </c>
      <c r="R12" s="111">
        <f>SUMIFS('PO Log'!$E:$E,'PO Log'!$D:$D,'Category Table'!R$2,'PO Log'!$C:$C,'Category Table'!$A12)</f>
        <v/>
      </c>
      <c r="S12" s="112">
        <f>SUMIFS('PO Log'!$E:$E,'PO Log'!$D:$D,'Category Table'!S$2,'PO Log'!$C:$C,'Category Table'!$A12)</f>
        <v/>
      </c>
      <c r="T12" s="112">
        <f>SUMIFS('PO Log'!$E:$E,'PO Log'!$D:$D,'Category Table'!T$2,'PO Log'!$C:$C,'Category Table'!$A12)</f>
        <v/>
      </c>
      <c r="U12" s="111">
        <f>SUMIFS('Committments Dump'!$Q:$Q,'Committments Dump'!$C:$C,'Category Table'!U$2,'Committments Dump'!$B:$B,'Category Table'!$A12)</f>
        <v/>
      </c>
      <c r="V12" s="112">
        <f>SUMIFS('Committments Dump'!$Q:$Q,'Committments Dump'!$C:$C,'Category Table'!V$2,'Committments Dump'!$B:$B,'Category Table'!$A12)</f>
        <v/>
      </c>
      <c r="W12" s="112">
        <f>SUMIFS('Committments Dump'!$Q:$Q,'Committments Dump'!$C:$C,'Category Table'!W$2,'Committments Dump'!$B:$B,'Category Table'!$A12)</f>
        <v/>
      </c>
      <c r="X12" s="111">
        <f>SUMIFS('Committments Dump'!$R:$R,'Committments Dump'!$C:$C,'Category Table'!X$2,'Committments Dump'!$B:$B,'Category Table'!$A12)</f>
        <v/>
      </c>
      <c r="Y12" s="112">
        <f>SUMIFS('Committments Dump'!$R:$R,'Committments Dump'!$C:$C,'Category Table'!Y$2,'Committments Dump'!$B:$B,'Category Table'!$A12)</f>
        <v/>
      </c>
      <c r="Z12" s="112">
        <f>SUMIFS('Committments Dump'!$R:$R,'Committments Dump'!$C:$C,'Category Table'!Z$2,'Committments Dump'!$B:$B,'Category Table'!$A12)</f>
        <v/>
      </c>
      <c r="AA12" s="111">
        <f>SUMIFS('Committments Dump'!$S:$S,'Committments Dump'!$C:$C,'Category Table'!AA$2,'Committments Dump'!$B:$B,'Category Table'!$A12)</f>
        <v/>
      </c>
      <c r="AB12" s="112">
        <f>SUMIFS('Committments Dump'!$S:$S,'Committments Dump'!$C:$C,'Category Table'!AB$2,'Committments Dump'!$B:$B,'Category Table'!$A12)</f>
        <v/>
      </c>
      <c r="AC12" s="112">
        <f>SUMIFS('Committments Dump'!$S:$S,'Committments Dump'!$C:$C,'Category Table'!AC$2,'Committments Dump'!$B:$B,'Category Table'!$A12)</f>
        <v/>
      </c>
      <c r="AD12" s="111">
        <f>U12+X12+AA12</f>
        <v/>
      </c>
      <c r="AE12" s="112">
        <f>V12+Y12+AB12</f>
        <v/>
      </c>
      <c r="AF12" s="112">
        <f>W12+Z12+AC12</f>
        <v/>
      </c>
      <c r="AG12" s="111">
        <f>R12+AD12</f>
        <v/>
      </c>
      <c r="AH12" s="112">
        <f>S12+AE12</f>
        <v/>
      </c>
      <c r="AI12" s="112">
        <f>T12+AF12</f>
        <v/>
      </c>
      <c r="AJ12" s="111" t="n"/>
      <c r="AK12" s="112" t="n"/>
      <c r="AL12" s="112" t="n"/>
      <c r="AM12" s="111">
        <f>(O12-AG12)+AJ12</f>
        <v/>
      </c>
      <c r="AN12" s="112">
        <f>(P12-AH12)+AK12</f>
        <v/>
      </c>
      <c r="AO12" s="112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13" t="n">
        <v>0</v>
      </c>
      <c r="D13" s="114" t="n">
        <v>123.43</v>
      </c>
      <c r="E13" s="114" t="n">
        <v>34204.68</v>
      </c>
      <c r="F13" s="113" t="n">
        <v>0</v>
      </c>
      <c r="G13" s="114" t="n">
        <v>-132692.5900000311</v>
      </c>
      <c r="H13" s="114" t="n">
        <v>2032532.16</v>
      </c>
      <c r="I13" s="113" t="n">
        <v>0</v>
      </c>
      <c r="J13" s="114" t="n">
        <v>10.40000000000001</v>
      </c>
      <c r="K13" s="114" t="n">
        <v>2127.89</v>
      </c>
      <c r="L13" s="113" t="n">
        <v>0</v>
      </c>
      <c r="M13" s="114" t="n">
        <v>0</v>
      </c>
      <c r="N13" s="114" t="n">
        <v>4.092726157978177e-12</v>
      </c>
      <c r="O13" s="113">
        <f>L13+I13+F13+C13</f>
        <v/>
      </c>
      <c r="P13" s="114">
        <f>M13+J13+G13+D13</f>
        <v/>
      </c>
      <c r="Q13" s="114">
        <f>N13+K13+H13+E13</f>
        <v/>
      </c>
      <c r="R13" s="113">
        <f>SUMIFS('PO Log'!$E:$E,'PO Log'!$D:$D,'Category Table'!R$2,'PO Log'!$C:$C,'Category Table'!$A13)</f>
        <v/>
      </c>
      <c r="S13" s="114">
        <f>SUMIFS('PO Log'!$E:$E,'PO Log'!$D:$D,'Category Table'!S$2,'PO Log'!$C:$C,'Category Table'!$A13)</f>
        <v/>
      </c>
      <c r="T13" s="114">
        <f>SUMIFS('PO Log'!$E:$E,'PO Log'!$D:$D,'Category Table'!T$2,'PO Log'!$C:$C,'Category Table'!$A13)</f>
        <v/>
      </c>
      <c r="U13" s="113">
        <f>SUMIFS('Committments Dump'!$Q:$Q,'Committments Dump'!$C:$C,'Category Table'!U$2,'Committments Dump'!$B:$B,'Category Table'!$A13)</f>
        <v/>
      </c>
      <c r="V13" s="114">
        <f>SUMIFS('Committments Dump'!$Q:$Q,'Committments Dump'!$C:$C,'Category Table'!V$2,'Committments Dump'!$B:$B,'Category Table'!$A13)</f>
        <v/>
      </c>
      <c r="W13" s="114">
        <f>SUMIFS('Committments Dump'!$Q:$Q,'Committments Dump'!$C:$C,'Category Table'!W$2,'Committments Dump'!$B:$B,'Category Table'!$A13)</f>
        <v/>
      </c>
      <c r="X13" s="113">
        <f>SUMIFS('Committments Dump'!$R:$R,'Committments Dump'!$C:$C,'Category Table'!X$2,'Committments Dump'!$B:$B,'Category Table'!$A13)</f>
        <v/>
      </c>
      <c r="Y13" s="114">
        <f>SUMIFS('Committments Dump'!$R:$R,'Committments Dump'!$C:$C,'Category Table'!Y$2,'Committments Dump'!$B:$B,'Category Table'!$A13)</f>
        <v/>
      </c>
      <c r="Z13" s="114">
        <f>SUMIFS('Committments Dump'!$R:$R,'Committments Dump'!$C:$C,'Category Table'!Z$2,'Committments Dump'!$B:$B,'Category Table'!$A13)</f>
        <v/>
      </c>
      <c r="AA13" s="113">
        <f>SUMIFS('Committments Dump'!$S:$S,'Committments Dump'!$C:$C,'Category Table'!AA$2,'Committments Dump'!$B:$B,'Category Table'!$A13)</f>
        <v/>
      </c>
      <c r="AB13" s="114">
        <f>SUMIFS('Committments Dump'!$S:$S,'Committments Dump'!$C:$C,'Category Table'!AB$2,'Committments Dump'!$B:$B,'Category Table'!$A13)</f>
        <v/>
      </c>
      <c r="AC13" s="114">
        <f>SUMIFS('Committments Dump'!$S:$S,'Committments Dump'!$C:$C,'Category Table'!AC$2,'Committments Dump'!$B:$B,'Category Table'!$A13)</f>
        <v/>
      </c>
      <c r="AD13" s="113">
        <f>U13+X13+AA13</f>
        <v/>
      </c>
      <c r="AE13" s="114">
        <f>V13+Y13+AB13</f>
        <v/>
      </c>
      <c r="AF13" s="114">
        <f>W13+Z13+AC13</f>
        <v/>
      </c>
      <c r="AG13" s="113">
        <f>R13+AD13</f>
        <v/>
      </c>
      <c r="AH13" s="114">
        <f>S13+AE13</f>
        <v/>
      </c>
      <c r="AI13" s="114">
        <f>T13+AF13</f>
        <v/>
      </c>
      <c r="AJ13" s="113" t="n"/>
      <c r="AK13" s="114" t="n"/>
      <c r="AL13" s="114" t="n"/>
      <c r="AM13" s="113">
        <f>(O13-AG13)+AJ13</f>
        <v/>
      </c>
      <c r="AN13" s="114">
        <f>(P13-AH13)+AK13</f>
        <v/>
      </c>
      <c r="AO13" s="114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11" t="n">
        <v>0</v>
      </c>
      <c r="D14" s="112" t="n">
        <v>0</v>
      </c>
      <c r="E14" s="112" t="n">
        <v>0</v>
      </c>
      <c r="F14" s="111" t="n">
        <v>0</v>
      </c>
      <c r="G14" s="112" t="n">
        <v>0</v>
      </c>
      <c r="H14" s="112" t="n"/>
      <c r="I14" s="111" t="n">
        <v>0</v>
      </c>
      <c r="J14" s="112" t="n">
        <v>0</v>
      </c>
      <c r="K14" s="112" t="n">
        <v>0</v>
      </c>
      <c r="L14" s="111" t="n">
        <v>0</v>
      </c>
      <c r="M14" s="112" t="n">
        <v>212948.61</v>
      </c>
      <c r="N14" s="112" t="n">
        <v>754485.45</v>
      </c>
      <c r="O14" s="111">
        <f>L14+I14+F14+C14</f>
        <v/>
      </c>
      <c r="P14" s="112">
        <f>M14+J14+G14+D14</f>
        <v/>
      </c>
      <c r="Q14" s="112">
        <f>N14+K14+H14+E14</f>
        <v/>
      </c>
      <c r="R14" s="111">
        <f>SUMIFS('PO Log'!$E:$E,'PO Log'!$D:$D,'Category Table'!R$2,'PO Log'!$C:$C,'Category Table'!$A14)</f>
        <v/>
      </c>
      <c r="S14" s="112">
        <f>SUMIFS('PO Log'!$E:$E,'PO Log'!$D:$D,'Category Table'!S$2,'PO Log'!$C:$C,'Category Table'!$A14)</f>
        <v/>
      </c>
      <c r="T14" s="112">
        <f>SUMIFS('PO Log'!$E:$E,'PO Log'!$D:$D,'Category Table'!T$2,'PO Log'!$C:$C,'Category Table'!$A14)</f>
        <v/>
      </c>
      <c r="U14" s="111">
        <f>SUMIFS('Committments Dump'!$Q:$Q,'Committments Dump'!$C:$C,'Category Table'!U$2,'Committments Dump'!$B:$B,'Category Table'!$A14)</f>
        <v/>
      </c>
      <c r="V14" s="112">
        <f>SUMIFS('Committments Dump'!$Q:$Q,'Committments Dump'!$C:$C,'Category Table'!V$2,'Committments Dump'!$B:$B,'Category Table'!$A14)</f>
        <v/>
      </c>
      <c r="W14" s="112">
        <f>SUMIFS('Committments Dump'!$Q:$Q,'Committments Dump'!$C:$C,'Category Table'!W$2,'Committments Dump'!$B:$B,'Category Table'!$A14)</f>
        <v/>
      </c>
      <c r="X14" s="111">
        <f>SUMIFS('Committments Dump'!$R:$R,'Committments Dump'!$C:$C,'Category Table'!X$2,'Committments Dump'!$B:$B,'Category Table'!$A14)</f>
        <v/>
      </c>
      <c r="Y14" s="112">
        <f>SUMIFS('Committments Dump'!$R:$R,'Committments Dump'!$C:$C,'Category Table'!Y$2,'Committments Dump'!$B:$B,'Category Table'!$A14)</f>
        <v/>
      </c>
      <c r="Z14" s="112">
        <f>SUMIFS('Committments Dump'!$R:$R,'Committments Dump'!$C:$C,'Category Table'!Z$2,'Committments Dump'!$B:$B,'Category Table'!$A14)</f>
        <v/>
      </c>
      <c r="AA14" s="111">
        <f>SUMIFS('Committments Dump'!$S:$S,'Committments Dump'!$C:$C,'Category Table'!AA$2,'Committments Dump'!$B:$B,'Category Table'!$A14)</f>
        <v/>
      </c>
      <c r="AB14" s="112">
        <f>SUMIFS('Committments Dump'!$S:$S,'Committments Dump'!$C:$C,'Category Table'!AB$2,'Committments Dump'!$B:$B,'Category Table'!$A14)</f>
        <v/>
      </c>
      <c r="AC14" s="112">
        <f>SUMIFS('Committments Dump'!$S:$S,'Committments Dump'!$C:$C,'Category Table'!AC$2,'Committments Dump'!$B:$B,'Category Table'!$A14)</f>
        <v/>
      </c>
      <c r="AD14" s="111">
        <f>U14+X14+AA14</f>
        <v/>
      </c>
      <c r="AE14" s="112">
        <f>V14+Y14+AB14</f>
        <v/>
      </c>
      <c r="AF14" s="112">
        <f>W14+Z14+AC14</f>
        <v/>
      </c>
      <c r="AG14" s="111">
        <f>R14+AD14</f>
        <v/>
      </c>
      <c r="AH14" s="112">
        <f>S14+AE14</f>
        <v/>
      </c>
      <c r="AI14" s="112">
        <f>T14+AF14</f>
        <v/>
      </c>
      <c r="AJ14" s="111" t="n"/>
      <c r="AK14" s="112" t="n"/>
      <c r="AL14" s="112" t="n"/>
      <c r="AM14" s="111">
        <f>(O14-AG14)+AJ14</f>
        <v/>
      </c>
      <c r="AN14" s="112">
        <f>(P14-AH14)+AK14</f>
        <v/>
      </c>
      <c r="AO14" s="112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13" t="n">
        <v>0</v>
      </c>
      <c r="D15" s="114" t="n">
        <v>0</v>
      </c>
      <c r="E15" s="114" t="n">
        <v>0</v>
      </c>
      <c r="F15" s="113" t="n">
        <v>0</v>
      </c>
      <c r="G15" s="114" t="n">
        <v>0</v>
      </c>
      <c r="H15" s="114" t="n">
        <v>-33000</v>
      </c>
      <c r="I15" s="113" t="n">
        <v>0</v>
      </c>
      <c r="J15" s="114" t="n">
        <v>0</v>
      </c>
      <c r="K15" s="114" t="n">
        <v>0</v>
      </c>
      <c r="L15" s="113" t="n">
        <v>0</v>
      </c>
      <c r="M15" s="114" t="n">
        <v>0</v>
      </c>
      <c r="N15" s="114" t="n">
        <v>333000</v>
      </c>
      <c r="O15" s="113">
        <f>L15+I15+F15+C15</f>
        <v/>
      </c>
      <c r="P15" s="114">
        <f>M15+J15+G15+D15</f>
        <v/>
      </c>
      <c r="Q15" s="114">
        <f>N15+K15+H15+E15</f>
        <v/>
      </c>
      <c r="R15" s="113">
        <f>SUMIFS('PO Log'!$E:$E,'PO Log'!$D:$D,'Category Table'!R$2,'PO Log'!$C:$C,'Category Table'!$A15)</f>
        <v/>
      </c>
      <c r="S15" s="114">
        <f>SUMIFS('PO Log'!$E:$E,'PO Log'!$D:$D,'Category Table'!S$2,'PO Log'!$C:$C,'Category Table'!$A15)</f>
        <v/>
      </c>
      <c r="T15" s="114">
        <f>SUMIFS('PO Log'!$E:$E,'PO Log'!$D:$D,'Category Table'!T$2,'PO Log'!$C:$C,'Category Table'!$A15)</f>
        <v/>
      </c>
      <c r="U15" s="113">
        <f>SUMIFS('Committments Dump'!$Q:$Q,'Committments Dump'!$C:$C,'Category Table'!U$2,'Committments Dump'!$B:$B,'Category Table'!$A15)</f>
        <v/>
      </c>
      <c r="V15" s="114">
        <f>SUMIFS('Committments Dump'!$Q:$Q,'Committments Dump'!$C:$C,'Category Table'!V$2,'Committments Dump'!$B:$B,'Category Table'!$A15)</f>
        <v/>
      </c>
      <c r="W15" s="114">
        <f>SUMIFS('Committments Dump'!$Q:$Q,'Committments Dump'!$C:$C,'Category Table'!W$2,'Committments Dump'!$B:$B,'Category Table'!$A15)</f>
        <v/>
      </c>
      <c r="X15" s="113">
        <f>SUMIFS('Committments Dump'!$R:$R,'Committments Dump'!$C:$C,'Category Table'!X$2,'Committments Dump'!$B:$B,'Category Table'!$A15)</f>
        <v/>
      </c>
      <c r="Y15" s="114">
        <f>SUMIFS('Committments Dump'!$R:$R,'Committments Dump'!$C:$C,'Category Table'!Y$2,'Committments Dump'!$B:$B,'Category Table'!$A15)</f>
        <v/>
      </c>
      <c r="Z15" s="114">
        <f>SUMIFS('Committments Dump'!$R:$R,'Committments Dump'!$C:$C,'Category Table'!Z$2,'Committments Dump'!$B:$B,'Category Table'!$A15)</f>
        <v/>
      </c>
      <c r="AA15" s="113">
        <f>SUMIFS('Committments Dump'!$S:$S,'Committments Dump'!$C:$C,'Category Table'!AA$2,'Committments Dump'!$B:$B,'Category Table'!$A15)</f>
        <v/>
      </c>
      <c r="AB15" s="114">
        <f>SUMIFS('Committments Dump'!$S:$S,'Committments Dump'!$C:$C,'Category Table'!AB$2,'Committments Dump'!$B:$B,'Category Table'!$A15)</f>
        <v/>
      </c>
      <c r="AC15" s="114">
        <f>SUMIFS('Committments Dump'!$S:$S,'Committments Dump'!$C:$C,'Category Table'!AC$2,'Committments Dump'!$B:$B,'Category Table'!$A15)</f>
        <v/>
      </c>
      <c r="AD15" s="113">
        <f>U15+X15+AA15</f>
        <v/>
      </c>
      <c r="AE15" s="114">
        <f>V15+Y15+AB15</f>
        <v/>
      </c>
      <c r="AF15" s="114">
        <f>W15+Z15+AC15</f>
        <v/>
      </c>
      <c r="AG15" s="113">
        <f>R15+AD15</f>
        <v/>
      </c>
      <c r="AH15" s="114">
        <f>S15+AE15</f>
        <v/>
      </c>
      <c r="AI15" s="114">
        <f>T15+AF15</f>
        <v/>
      </c>
      <c r="AJ15" s="113" t="n"/>
      <c r="AK15" s="114" t="n"/>
      <c r="AL15" s="114" t="n"/>
      <c r="AM15" s="113">
        <f>(O15-AG15)+AJ15</f>
        <v/>
      </c>
      <c r="AN15" s="114">
        <f>(P15-AH15)+AK15</f>
        <v/>
      </c>
      <c r="AO15" s="114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11" t="n">
        <v>0</v>
      </c>
      <c r="D16" s="112" t="n">
        <v>20433.51</v>
      </c>
      <c r="E16" s="112" t="n">
        <v>0</v>
      </c>
      <c r="F16" s="111" t="n">
        <v>0</v>
      </c>
      <c r="G16" s="112" t="n">
        <v>3435.368520813994</v>
      </c>
      <c r="H16" s="112" t="n">
        <v>0</v>
      </c>
      <c r="I16" s="111" t="n">
        <v>0</v>
      </c>
      <c r="J16" s="112" t="n">
        <v>0</v>
      </c>
      <c r="K16" s="112" t="n">
        <v>0</v>
      </c>
      <c r="L16" s="111" t="n">
        <v>0</v>
      </c>
      <c r="M16" s="112" t="n">
        <v>0</v>
      </c>
      <c r="N16" s="112" t="n">
        <v>0</v>
      </c>
      <c r="O16" s="111">
        <f>L16+I16+F16+C16</f>
        <v/>
      </c>
      <c r="P16" s="112">
        <f>M16+J16+G16+D16</f>
        <v/>
      </c>
      <c r="Q16" s="112">
        <f>N16+K16+H16+E16</f>
        <v/>
      </c>
      <c r="R16" s="111">
        <f>SUMIFS('PO Log'!$E:$E,'PO Log'!$D:$D,'Category Table'!R$2,'PO Log'!$C:$C,'Category Table'!$A16)</f>
        <v/>
      </c>
      <c r="S16" s="112">
        <f>SUMIFS('PO Log'!$E:$E,'PO Log'!$D:$D,'Category Table'!S$2,'PO Log'!$C:$C,'Category Table'!$A16)</f>
        <v/>
      </c>
      <c r="T16" s="112">
        <f>SUMIFS('PO Log'!$E:$E,'PO Log'!$D:$D,'Category Table'!T$2,'PO Log'!$C:$C,'Category Table'!$A16)</f>
        <v/>
      </c>
      <c r="U16" s="111">
        <f>SUMIFS('Committments Dump'!$Q:$Q,'Committments Dump'!$C:$C,'Category Table'!U$2,'Committments Dump'!$B:$B,'Category Table'!$A16)</f>
        <v/>
      </c>
      <c r="V16" s="112">
        <f>SUMIFS('Committments Dump'!$Q:$Q,'Committments Dump'!$C:$C,'Category Table'!V$2,'Committments Dump'!$B:$B,'Category Table'!$A16)</f>
        <v/>
      </c>
      <c r="W16" s="112">
        <f>SUMIFS('Committments Dump'!$Q:$Q,'Committments Dump'!$C:$C,'Category Table'!W$2,'Committments Dump'!$B:$B,'Category Table'!$A16)</f>
        <v/>
      </c>
      <c r="X16" s="111">
        <f>SUMIFS('Committments Dump'!$R:$R,'Committments Dump'!$C:$C,'Category Table'!X$2,'Committments Dump'!$B:$B,'Category Table'!$A16)</f>
        <v/>
      </c>
      <c r="Y16" s="112">
        <f>SUMIFS('Committments Dump'!$R:$R,'Committments Dump'!$C:$C,'Category Table'!Y$2,'Committments Dump'!$B:$B,'Category Table'!$A16)</f>
        <v/>
      </c>
      <c r="Z16" s="112">
        <f>SUMIFS('Committments Dump'!$R:$R,'Committments Dump'!$C:$C,'Category Table'!Z$2,'Committments Dump'!$B:$B,'Category Table'!$A16)</f>
        <v/>
      </c>
      <c r="AA16" s="111">
        <f>SUMIFS('Committments Dump'!$S:$S,'Committments Dump'!$C:$C,'Category Table'!AA$2,'Committments Dump'!$B:$B,'Category Table'!$A16)</f>
        <v/>
      </c>
      <c r="AB16" s="112">
        <f>SUMIFS('Committments Dump'!$S:$S,'Committments Dump'!$C:$C,'Category Table'!AB$2,'Committments Dump'!$B:$B,'Category Table'!$A16)</f>
        <v/>
      </c>
      <c r="AC16" s="112">
        <f>SUMIFS('Committments Dump'!$S:$S,'Committments Dump'!$C:$C,'Category Table'!AC$2,'Committments Dump'!$B:$B,'Category Table'!$A16)</f>
        <v/>
      </c>
      <c r="AD16" s="111">
        <f>U16+X16+AA16</f>
        <v/>
      </c>
      <c r="AE16" s="112">
        <f>V16+Y16+AB16</f>
        <v/>
      </c>
      <c r="AF16" s="112">
        <f>W16+Z16+AC16</f>
        <v/>
      </c>
      <c r="AG16" s="111">
        <f>R16+AD16</f>
        <v/>
      </c>
      <c r="AH16" s="112">
        <f>S16+AE16</f>
        <v/>
      </c>
      <c r="AI16" s="112">
        <f>T16+AF16</f>
        <v/>
      </c>
      <c r="AJ16" s="111" t="n"/>
      <c r="AK16" s="112" t="n"/>
      <c r="AL16" s="112" t="n"/>
      <c r="AM16" s="111">
        <f>(O16-AG16)+AJ16</f>
        <v/>
      </c>
      <c r="AN16" s="112">
        <f>(P16-AH16)+AK16</f>
        <v/>
      </c>
      <c r="AO16" s="112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13" t="n">
        <v>0</v>
      </c>
      <c r="D17" s="114" t="n">
        <v>0</v>
      </c>
      <c r="E17" s="114" t="n">
        <v>0</v>
      </c>
      <c r="F17" s="113" t="n">
        <v>0</v>
      </c>
      <c r="G17" s="114" t="n">
        <v>0</v>
      </c>
      <c r="H17" s="114" t="n">
        <v>0</v>
      </c>
      <c r="I17" s="113" t="n">
        <v>0</v>
      </c>
      <c r="J17" s="114" t="n">
        <v>0</v>
      </c>
      <c r="K17" s="114" t="n">
        <v>0</v>
      </c>
      <c r="L17" s="113" t="n">
        <v>0</v>
      </c>
      <c r="M17" s="114" t="n">
        <v>0</v>
      </c>
      <c r="N17" s="114" t="n">
        <v>0</v>
      </c>
      <c r="O17" s="113">
        <f>L17+I17+F17+C17</f>
        <v/>
      </c>
      <c r="P17" s="114">
        <f>M17+J17+G17+D17</f>
        <v/>
      </c>
      <c r="Q17" s="114">
        <f>N17+K17+H17+E17</f>
        <v/>
      </c>
      <c r="R17" s="113">
        <f>SUMIFS('PO Log'!$E:$E,'PO Log'!$D:$D,'Category Table'!R$2,'PO Log'!$C:$C,'Category Table'!$A17)</f>
        <v/>
      </c>
      <c r="S17" s="114">
        <f>SUMIFS('PO Log'!$E:$E,'PO Log'!$D:$D,'Category Table'!S$2,'PO Log'!$C:$C,'Category Table'!$A17)</f>
        <v/>
      </c>
      <c r="T17" s="114">
        <f>SUMIFS('PO Log'!$E:$E,'PO Log'!$D:$D,'Category Table'!T$2,'PO Log'!$C:$C,'Category Table'!$A17)</f>
        <v/>
      </c>
      <c r="U17" s="113">
        <f>SUMIFS('Committments Dump'!$Q:$Q,'Committments Dump'!$C:$C,'Category Table'!U$2,'Committments Dump'!$B:$B,'Category Table'!$A17)</f>
        <v/>
      </c>
      <c r="V17" s="114">
        <f>SUMIFS('Committments Dump'!$Q:$Q,'Committments Dump'!$C:$C,'Category Table'!V$2,'Committments Dump'!$B:$B,'Category Table'!$A17)</f>
        <v/>
      </c>
      <c r="W17" s="114">
        <f>SUMIFS('Committments Dump'!$Q:$Q,'Committments Dump'!$C:$C,'Category Table'!W$2,'Committments Dump'!$B:$B,'Category Table'!$A17)</f>
        <v/>
      </c>
      <c r="X17" s="113">
        <f>SUMIFS('Committments Dump'!$R:$R,'Committments Dump'!$C:$C,'Category Table'!X$2,'Committments Dump'!$B:$B,'Category Table'!$A17)</f>
        <v/>
      </c>
      <c r="Y17" s="114">
        <f>SUMIFS('Committments Dump'!$R:$R,'Committments Dump'!$C:$C,'Category Table'!Y$2,'Committments Dump'!$B:$B,'Category Table'!$A17)</f>
        <v/>
      </c>
      <c r="Z17" s="114">
        <f>SUMIFS('Committments Dump'!$R:$R,'Committments Dump'!$C:$C,'Category Table'!Z$2,'Committments Dump'!$B:$B,'Category Table'!$A17)</f>
        <v/>
      </c>
      <c r="AA17" s="113">
        <f>SUMIFS('Committments Dump'!$S:$S,'Committments Dump'!$C:$C,'Category Table'!AA$2,'Committments Dump'!$B:$B,'Category Table'!$A17)</f>
        <v/>
      </c>
      <c r="AB17" s="114">
        <f>SUMIFS('Committments Dump'!$S:$S,'Committments Dump'!$C:$C,'Category Table'!AB$2,'Committments Dump'!$B:$B,'Category Table'!$A17)</f>
        <v/>
      </c>
      <c r="AC17" s="114">
        <f>SUMIFS('Committments Dump'!$S:$S,'Committments Dump'!$C:$C,'Category Table'!AC$2,'Committments Dump'!$B:$B,'Category Table'!$A17)</f>
        <v/>
      </c>
      <c r="AD17" s="113">
        <f>U17+X17+AA17</f>
        <v/>
      </c>
      <c r="AE17" s="114">
        <f>V17+Y17+AB17</f>
        <v/>
      </c>
      <c r="AF17" s="114">
        <f>W17+Z17+AC17</f>
        <v/>
      </c>
      <c r="AG17" s="113">
        <f>R17+AD17</f>
        <v/>
      </c>
      <c r="AH17" s="114">
        <f>S17+AE17</f>
        <v/>
      </c>
      <c r="AI17" s="114">
        <f>T17+AF17</f>
        <v/>
      </c>
      <c r="AJ17" s="113" t="n"/>
      <c r="AK17" s="114" t="n"/>
      <c r="AL17" s="114" t="n"/>
      <c r="AM17" s="113">
        <f>(O17-AG17)+AJ17</f>
        <v/>
      </c>
      <c r="AN17" s="114">
        <f>(P17-AH17)+AK17</f>
        <v/>
      </c>
      <c r="AO17" s="114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11" t="n">
        <v>0</v>
      </c>
      <c r="D18" s="112" t="n">
        <v>35420.42</v>
      </c>
      <c r="E18" s="112" t="n">
        <v>0</v>
      </c>
      <c r="F18" s="111" t="n">
        <v>76535.44653333351</v>
      </c>
      <c r="G18" s="112" t="n"/>
      <c r="H18" s="112" t="n">
        <v>0</v>
      </c>
      <c r="I18" s="111" t="n">
        <v>0</v>
      </c>
      <c r="J18" s="112" t="n">
        <v>0</v>
      </c>
      <c r="K18" s="112" t="n">
        <v>0</v>
      </c>
      <c r="L18" s="111" t="n">
        <v>0</v>
      </c>
      <c r="M18" s="112" t="n">
        <v>277325.5599999999</v>
      </c>
      <c r="N18" s="112" t="n">
        <v>0</v>
      </c>
      <c r="O18" s="111">
        <f>L18+I18+F18+C18</f>
        <v/>
      </c>
      <c r="P18" s="112">
        <f>M18+J18+G18+D18</f>
        <v/>
      </c>
      <c r="Q18" s="112">
        <f>N18+K18+H18+E18</f>
        <v/>
      </c>
      <c r="R18" s="111">
        <f>SUMIFS('PO Log'!$E:$E,'PO Log'!$D:$D,'Category Table'!R$2,'PO Log'!$C:$C,'Category Table'!$A18)</f>
        <v/>
      </c>
      <c r="S18" s="112">
        <f>SUMIFS('PO Log'!$E:$E,'PO Log'!$D:$D,'Category Table'!S$2,'PO Log'!$C:$C,'Category Table'!$A18)</f>
        <v/>
      </c>
      <c r="T18" s="112">
        <f>SUMIFS('PO Log'!$E:$E,'PO Log'!$D:$D,'Category Table'!T$2,'PO Log'!$C:$C,'Category Table'!$A18)</f>
        <v/>
      </c>
      <c r="U18" s="111">
        <f>SUMIFS('Committments Dump'!$Q:$Q,'Committments Dump'!$C:$C,'Category Table'!U$2,'Committments Dump'!$B:$B,'Category Table'!$A18)</f>
        <v/>
      </c>
      <c r="V18" s="112">
        <f>SUMIFS('Committments Dump'!$Q:$Q,'Committments Dump'!$C:$C,'Category Table'!V$2,'Committments Dump'!$B:$B,'Category Table'!$A18)</f>
        <v/>
      </c>
      <c r="W18" s="112">
        <f>SUMIFS('Committments Dump'!$Q:$Q,'Committments Dump'!$C:$C,'Category Table'!W$2,'Committments Dump'!$B:$B,'Category Table'!$A18)</f>
        <v/>
      </c>
      <c r="X18" s="111">
        <f>SUMIFS('Committments Dump'!$R:$R,'Committments Dump'!$C:$C,'Category Table'!X$2,'Committments Dump'!$B:$B,'Category Table'!$A18)</f>
        <v/>
      </c>
      <c r="Y18" s="112">
        <f>SUMIFS('Committments Dump'!$R:$R,'Committments Dump'!$C:$C,'Category Table'!Y$2,'Committments Dump'!$B:$B,'Category Table'!$A18)</f>
        <v/>
      </c>
      <c r="Z18" s="112">
        <f>SUMIFS('Committments Dump'!$R:$R,'Committments Dump'!$C:$C,'Category Table'!Z$2,'Committments Dump'!$B:$B,'Category Table'!$A18)</f>
        <v/>
      </c>
      <c r="AA18" s="111">
        <f>SUMIFS('Committments Dump'!$S:$S,'Committments Dump'!$C:$C,'Category Table'!AA$2,'Committments Dump'!$B:$B,'Category Table'!$A18)</f>
        <v/>
      </c>
      <c r="AB18" s="112">
        <f>SUMIFS('Committments Dump'!$S:$S,'Committments Dump'!$C:$C,'Category Table'!AB$2,'Committments Dump'!$B:$B,'Category Table'!$A18)</f>
        <v/>
      </c>
      <c r="AC18" s="112">
        <f>SUMIFS('Committments Dump'!$S:$S,'Committments Dump'!$C:$C,'Category Table'!AC$2,'Committments Dump'!$B:$B,'Category Table'!$A18)</f>
        <v/>
      </c>
      <c r="AD18" s="111">
        <f>U18+X18+AA18</f>
        <v/>
      </c>
      <c r="AE18" s="112">
        <f>V18+Y18+AB18</f>
        <v/>
      </c>
      <c r="AF18" s="112">
        <f>W18+Z18+AC18</f>
        <v/>
      </c>
      <c r="AG18" s="111">
        <f>R18+AD18</f>
        <v/>
      </c>
      <c r="AH18" s="112">
        <f>S18+AE18</f>
        <v/>
      </c>
      <c r="AI18" s="112">
        <f>T18+AF18</f>
        <v/>
      </c>
      <c r="AJ18" s="111" t="n"/>
      <c r="AK18" s="112" t="n"/>
      <c r="AL18" s="112" t="n"/>
      <c r="AM18" s="111">
        <f>(O18-AG18)+AJ18</f>
        <v/>
      </c>
      <c r="AN18" s="112">
        <f>(P18-AH18)+AK18</f>
        <v/>
      </c>
      <c r="AO18" s="112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13" t="n">
        <v>0</v>
      </c>
      <c r="D19" s="114" t="n">
        <v>0</v>
      </c>
      <c r="E19" s="114" t="n">
        <v>0</v>
      </c>
      <c r="F19" s="113" t="n">
        <v>0</v>
      </c>
      <c r="G19" s="114" t="n">
        <v>0</v>
      </c>
      <c r="H19" s="114" t="n">
        <v>0</v>
      </c>
      <c r="I19" s="113" t="n">
        <v>0</v>
      </c>
      <c r="J19" s="114" t="n">
        <v>0</v>
      </c>
      <c r="K19" s="114" t="n">
        <v>0</v>
      </c>
      <c r="L19" s="113" t="n">
        <v>0</v>
      </c>
      <c r="M19" s="114" t="n">
        <v>0</v>
      </c>
      <c r="N19" s="114" t="n">
        <v>0</v>
      </c>
      <c r="O19" s="113">
        <f>L19+I19+F19+C19</f>
        <v/>
      </c>
      <c r="P19" s="114">
        <f>M19+J19+G19+D19</f>
        <v/>
      </c>
      <c r="Q19" s="114">
        <f>N19+K19+H19+E19</f>
        <v/>
      </c>
      <c r="R19" s="113">
        <f>SUMIFS('PO Log'!$E:$E,'PO Log'!$D:$D,'Category Table'!R$2,'PO Log'!$C:$C,'Category Table'!$A19)</f>
        <v/>
      </c>
      <c r="S19" s="114">
        <f>SUMIFS('PO Log'!$E:$E,'PO Log'!$D:$D,'Category Table'!S$2,'PO Log'!$C:$C,'Category Table'!$A19)</f>
        <v/>
      </c>
      <c r="T19" s="114">
        <f>SUMIFS('PO Log'!$E:$E,'PO Log'!$D:$D,'Category Table'!T$2,'PO Log'!$C:$C,'Category Table'!$A19)</f>
        <v/>
      </c>
      <c r="U19" s="113">
        <f>SUMIFS('Committments Dump'!$Q:$Q,'Committments Dump'!$C:$C,'Category Table'!U$2,'Committments Dump'!$B:$B,'Category Table'!$A19)</f>
        <v/>
      </c>
      <c r="V19" s="114">
        <f>SUMIFS('Committments Dump'!$Q:$Q,'Committments Dump'!$C:$C,'Category Table'!V$2,'Committments Dump'!$B:$B,'Category Table'!$A19)</f>
        <v/>
      </c>
      <c r="W19" s="114">
        <f>SUMIFS('Committments Dump'!$Q:$Q,'Committments Dump'!$C:$C,'Category Table'!W$2,'Committments Dump'!$B:$B,'Category Table'!$A19)</f>
        <v/>
      </c>
      <c r="X19" s="113">
        <f>SUMIFS('Committments Dump'!$R:$R,'Committments Dump'!$C:$C,'Category Table'!X$2,'Committments Dump'!$B:$B,'Category Table'!$A19)</f>
        <v/>
      </c>
      <c r="Y19" s="114">
        <f>SUMIFS('Committments Dump'!$R:$R,'Committments Dump'!$C:$C,'Category Table'!Y$2,'Committments Dump'!$B:$B,'Category Table'!$A19)</f>
        <v/>
      </c>
      <c r="Z19" s="114">
        <f>SUMIFS('Committments Dump'!$R:$R,'Committments Dump'!$C:$C,'Category Table'!Z$2,'Committments Dump'!$B:$B,'Category Table'!$A19)</f>
        <v/>
      </c>
      <c r="AA19" s="113">
        <f>SUMIFS('Committments Dump'!$S:$S,'Committments Dump'!$C:$C,'Category Table'!AA$2,'Committments Dump'!$B:$B,'Category Table'!$A19)</f>
        <v/>
      </c>
      <c r="AB19" s="114">
        <f>SUMIFS('Committments Dump'!$S:$S,'Committments Dump'!$C:$C,'Category Table'!AB$2,'Committments Dump'!$B:$B,'Category Table'!$A19)</f>
        <v/>
      </c>
      <c r="AC19" s="114">
        <f>SUMIFS('Committments Dump'!$S:$S,'Committments Dump'!$C:$C,'Category Table'!AC$2,'Committments Dump'!$B:$B,'Category Table'!$A19)</f>
        <v/>
      </c>
      <c r="AD19" s="113">
        <f>U19+X19+AA19</f>
        <v/>
      </c>
      <c r="AE19" s="114">
        <f>V19+Y19+AB19</f>
        <v/>
      </c>
      <c r="AF19" s="114">
        <f>W19+Z19+AC19</f>
        <v/>
      </c>
      <c r="AG19" s="113">
        <f>R19+AD19</f>
        <v/>
      </c>
      <c r="AH19" s="114">
        <f>S19+AE19</f>
        <v/>
      </c>
      <c r="AI19" s="114">
        <f>T19+AF19</f>
        <v/>
      </c>
      <c r="AJ19" s="113" t="n"/>
      <c r="AK19" s="114" t="n"/>
      <c r="AL19" s="114" t="n"/>
      <c r="AM19" s="113">
        <f>(O19-AG19)+AJ19</f>
        <v/>
      </c>
      <c r="AN19" s="114">
        <f>(P19-AH19)+AK19</f>
        <v/>
      </c>
      <c r="AO19" s="114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11" t="n">
        <v>0</v>
      </c>
      <c r="D20" s="112" t="n">
        <v>108788</v>
      </c>
      <c r="E20" s="112" t="n">
        <v>0</v>
      </c>
      <c r="F20" s="111" t="n">
        <v>0</v>
      </c>
      <c r="G20" s="112" t="n">
        <v>2245561.25</v>
      </c>
      <c r="H20" s="112" t="n">
        <v>0</v>
      </c>
      <c r="I20" s="111" t="n">
        <v>0</v>
      </c>
      <c r="J20" s="112" t="n">
        <v>10749.05</v>
      </c>
      <c r="K20" s="112" t="n">
        <v>0</v>
      </c>
      <c r="L20" s="111" t="n">
        <v>0</v>
      </c>
      <c r="M20" s="112" t="n">
        <v>60149.43</v>
      </c>
      <c r="N20" s="112" t="n">
        <v>0</v>
      </c>
      <c r="O20" s="111">
        <f>L20+I20+F20+C20</f>
        <v/>
      </c>
      <c r="P20" s="112">
        <f>M20+J20+G20+D20</f>
        <v/>
      </c>
      <c r="Q20" s="112">
        <f>N20+K20+H20+E20</f>
        <v/>
      </c>
      <c r="R20" s="111">
        <f>SUMIFS('PO Log'!$E:$E,'PO Log'!$D:$D,'Category Table'!R$2,'PO Log'!$C:$C,'Category Table'!$A20)</f>
        <v/>
      </c>
      <c r="S20" s="112">
        <f>SUMIFS('PO Log'!$E:$E,'PO Log'!$D:$D,'Category Table'!S$2,'PO Log'!$C:$C,'Category Table'!$A20)</f>
        <v/>
      </c>
      <c r="T20" s="112">
        <f>SUMIFS('PO Log'!$E:$E,'PO Log'!$D:$D,'Category Table'!T$2,'PO Log'!$C:$C,'Category Table'!$A20)</f>
        <v/>
      </c>
      <c r="U20" s="111">
        <f>SUMIFS('Committments Dump'!$Q:$Q,'Committments Dump'!$C:$C,'Category Table'!U$2,'Committments Dump'!$B:$B,'Category Table'!$A20)</f>
        <v/>
      </c>
      <c r="V20" s="112">
        <f>SUMIFS('Committments Dump'!$Q:$Q,'Committments Dump'!$C:$C,'Category Table'!V$2,'Committments Dump'!$B:$B,'Category Table'!$A20)</f>
        <v/>
      </c>
      <c r="W20" s="112">
        <f>SUMIFS('Committments Dump'!$Q:$Q,'Committments Dump'!$C:$C,'Category Table'!W$2,'Committments Dump'!$B:$B,'Category Table'!$A20)</f>
        <v/>
      </c>
      <c r="X20" s="111">
        <f>SUMIFS('Committments Dump'!$R:$R,'Committments Dump'!$C:$C,'Category Table'!X$2,'Committments Dump'!$B:$B,'Category Table'!$A20)</f>
        <v/>
      </c>
      <c r="Y20" s="112">
        <f>SUMIFS('Committments Dump'!$R:$R,'Committments Dump'!$C:$C,'Category Table'!Y$2,'Committments Dump'!$B:$B,'Category Table'!$A20)</f>
        <v/>
      </c>
      <c r="Z20" s="112">
        <f>SUMIFS('Committments Dump'!$R:$R,'Committments Dump'!$C:$C,'Category Table'!Z$2,'Committments Dump'!$B:$B,'Category Table'!$A20)</f>
        <v/>
      </c>
      <c r="AA20" s="111">
        <f>SUMIFS('Committments Dump'!$S:$S,'Committments Dump'!$C:$C,'Category Table'!AA$2,'Committments Dump'!$B:$B,'Category Table'!$A20)</f>
        <v/>
      </c>
      <c r="AB20" s="112">
        <f>SUMIFS('Committments Dump'!$S:$S,'Committments Dump'!$C:$C,'Category Table'!AB$2,'Committments Dump'!$B:$B,'Category Table'!$A20)</f>
        <v/>
      </c>
      <c r="AC20" s="112">
        <f>SUMIFS('Committments Dump'!$S:$S,'Committments Dump'!$C:$C,'Category Table'!AC$2,'Committments Dump'!$B:$B,'Category Table'!$A20)</f>
        <v/>
      </c>
      <c r="AD20" s="111">
        <f>U20+X20+AA20</f>
        <v/>
      </c>
      <c r="AE20" s="112">
        <f>V20+Y20+AB20</f>
        <v/>
      </c>
      <c r="AF20" s="112">
        <f>W20+Z20+AC20</f>
        <v/>
      </c>
      <c r="AG20" s="111">
        <f>R20+AD20</f>
        <v/>
      </c>
      <c r="AH20" s="112">
        <f>S20+AE20</f>
        <v/>
      </c>
      <c r="AI20" s="112">
        <f>T20+AF20</f>
        <v/>
      </c>
      <c r="AJ20" s="111" t="n"/>
      <c r="AK20" s="112" t="n"/>
      <c r="AL20" s="112" t="n"/>
      <c r="AM20" s="111">
        <f>(O20-AG20)+AJ20</f>
        <v/>
      </c>
      <c r="AN20" s="112">
        <f>(P20-AH20)+AK20</f>
        <v/>
      </c>
      <c r="AO20" s="112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13" t="n">
        <v>0</v>
      </c>
      <c r="D21" s="114" t="n">
        <v>42925.37</v>
      </c>
      <c r="E21" s="114" t="n">
        <v>0</v>
      </c>
      <c r="F21" s="113" t="n">
        <v>0</v>
      </c>
      <c r="G21" s="114" t="n">
        <v>1855762.86</v>
      </c>
      <c r="H21" s="114" t="n">
        <v>0</v>
      </c>
      <c r="I21" s="113" t="n">
        <v>0</v>
      </c>
      <c r="J21" s="114" t="n">
        <v>-63562.62000000001</v>
      </c>
      <c r="K21" s="114" t="n">
        <v>0</v>
      </c>
      <c r="L21" s="113" t="n">
        <v>0</v>
      </c>
      <c r="M21" s="114" t="n">
        <v>0</v>
      </c>
      <c r="N21" s="114" t="n">
        <v>0</v>
      </c>
      <c r="O21" s="113">
        <f>L21+I21+F21+C21</f>
        <v/>
      </c>
      <c r="P21" s="114">
        <f>M21+J21+G21+D21</f>
        <v/>
      </c>
      <c r="Q21" s="114">
        <f>N21+K21+H21+E21</f>
        <v/>
      </c>
      <c r="R21" s="113">
        <f>SUMIFS('PO Log'!$E:$E,'PO Log'!$D:$D,'Category Table'!R$2,'PO Log'!$C:$C,'Category Table'!$A21)</f>
        <v/>
      </c>
      <c r="S21" s="114">
        <f>SUMIFS('PO Log'!$E:$E,'PO Log'!$D:$D,'Category Table'!S$2,'PO Log'!$C:$C,'Category Table'!$A21)</f>
        <v/>
      </c>
      <c r="T21" s="114">
        <f>SUMIFS('PO Log'!$E:$E,'PO Log'!$D:$D,'Category Table'!T$2,'PO Log'!$C:$C,'Category Table'!$A21)</f>
        <v/>
      </c>
      <c r="U21" s="113">
        <f>SUMIFS('Committments Dump'!$Q:$Q,'Committments Dump'!$C:$C,'Category Table'!U$2,'Committments Dump'!$B:$B,'Category Table'!$A21)</f>
        <v/>
      </c>
      <c r="V21" s="114">
        <f>SUMIFS('Committments Dump'!$Q:$Q,'Committments Dump'!$C:$C,'Category Table'!V$2,'Committments Dump'!$B:$B,'Category Table'!$A21)</f>
        <v/>
      </c>
      <c r="W21" s="114">
        <f>SUMIFS('Committments Dump'!$Q:$Q,'Committments Dump'!$C:$C,'Category Table'!W$2,'Committments Dump'!$B:$B,'Category Table'!$A21)</f>
        <v/>
      </c>
      <c r="X21" s="113">
        <f>SUMIFS('Committments Dump'!$R:$R,'Committments Dump'!$C:$C,'Category Table'!X$2,'Committments Dump'!$B:$B,'Category Table'!$A21)</f>
        <v/>
      </c>
      <c r="Y21" s="114">
        <f>SUMIFS('Committments Dump'!$R:$R,'Committments Dump'!$C:$C,'Category Table'!Y$2,'Committments Dump'!$B:$B,'Category Table'!$A21)</f>
        <v/>
      </c>
      <c r="Z21" s="114">
        <f>SUMIFS('Committments Dump'!$R:$R,'Committments Dump'!$C:$C,'Category Table'!Z$2,'Committments Dump'!$B:$B,'Category Table'!$A21)</f>
        <v/>
      </c>
      <c r="AA21" s="113">
        <f>SUMIFS('Committments Dump'!$S:$S,'Committments Dump'!$C:$C,'Category Table'!AA$2,'Committments Dump'!$B:$B,'Category Table'!$A21)</f>
        <v/>
      </c>
      <c r="AB21" s="114">
        <f>SUMIFS('Committments Dump'!$S:$S,'Committments Dump'!$C:$C,'Category Table'!AB$2,'Committments Dump'!$B:$B,'Category Table'!$A21)</f>
        <v/>
      </c>
      <c r="AC21" s="114">
        <f>SUMIFS('Committments Dump'!$S:$S,'Committments Dump'!$C:$C,'Category Table'!AC$2,'Committments Dump'!$B:$B,'Category Table'!$A21)</f>
        <v/>
      </c>
      <c r="AD21" s="113">
        <f>U21+X21+AA21</f>
        <v/>
      </c>
      <c r="AE21" s="114">
        <f>V21+Y21+AB21</f>
        <v/>
      </c>
      <c r="AF21" s="114">
        <f>W21+Z21+AC21</f>
        <v/>
      </c>
      <c r="AG21" s="113">
        <f>R21+AD21</f>
        <v/>
      </c>
      <c r="AH21" s="114">
        <f>S21+AE21</f>
        <v/>
      </c>
      <c r="AI21" s="114">
        <f>T21+AF21</f>
        <v/>
      </c>
      <c r="AJ21" s="113" t="n"/>
      <c r="AK21" s="114" t="n"/>
      <c r="AL21" s="114" t="n"/>
      <c r="AM21" s="113">
        <f>(O21-AG21)+AJ21</f>
        <v/>
      </c>
      <c r="AN21" s="114">
        <f>(P21-AH21)+AK21</f>
        <v/>
      </c>
      <c r="AO21" s="114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11" t="n">
        <v>0</v>
      </c>
      <c r="D22" s="112" t="n">
        <v>0</v>
      </c>
      <c r="E22" s="112" t="n">
        <v>0</v>
      </c>
      <c r="F22" s="111" t="n">
        <v>4883701.58</v>
      </c>
      <c r="G22" s="112" t="n"/>
      <c r="H22" s="112" t="n">
        <v>0</v>
      </c>
      <c r="I22" s="111" t="n">
        <v>0</v>
      </c>
      <c r="J22" s="112" t="n">
        <v>0</v>
      </c>
      <c r="K22" s="112" t="n">
        <v>0</v>
      </c>
      <c r="L22" s="111" t="n">
        <v>0</v>
      </c>
      <c r="M22" s="112" t="n">
        <v>0</v>
      </c>
      <c r="N22" s="112" t="n">
        <v>0</v>
      </c>
      <c r="O22" s="111">
        <f>L22+I22+F22+C22</f>
        <v/>
      </c>
      <c r="P22" s="112">
        <f>M22+J22+G22+D22</f>
        <v/>
      </c>
      <c r="Q22" s="112">
        <f>N22+K22+H22+E22</f>
        <v/>
      </c>
      <c r="R22" s="111">
        <f>SUMIFS('PO Log'!$E:$E,'PO Log'!$D:$D,'Category Table'!R$2,'PO Log'!$C:$C,'Category Table'!$A22)</f>
        <v/>
      </c>
      <c r="S22" s="112">
        <f>SUMIFS('PO Log'!$E:$E,'PO Log'!$D:$D,'Category Table'!S$2,'PO Log'!$C:$C,'Category Table'!$A22)</f>
        <v/>
      </c>
      <c r="T22" s="112">
        <f>SUMIFS('PO Log'!$E:$E,'PO Log'!$D:$D,'Category Table'!T$2,'PO Log'!$C:$C,'Category Table'!$A22)</f>
        <v/>
      </c>
      <c r="U22" s="111">
        <f>SUMIFS('Committments Dump'!$Q:$Q,'Committments Dump'!$C:$C,'Category Table'!U$2,'Committments Dump'!$B:$B,'Category Table'!$A22)</f>
        <v/>
      </c>
      <c r="V22" s="112">
        <f>SUMIFS('Committments Dump'!$Q:$Q,'Committments Dump'!$C:$C,'Category Table'!V$2,'Committments Dump'!$B:$B,'Category Table'!$A22)</f>
        <v/>
      </c>
      <c r="W22" s="112">
        <f>SUMIFS('Committments Dump'!$Q:$Q,'Committments Dump'!$C:$C,'Category Table'!W$2,'Committments Dump'!$B:$B,'Category Table'!$A22)</f>
        <v/>
      </c>
      <c r="X22" s="111">
        <f>SUMIFS('Committments Dump'!$R:$R,'Committments Dump'!$C:$C,'Category Table'!X$2,'Committments Dump'!$B:$B,'Category Table'!$A22)</f>
        <v/>
      </c>
      <c r="Y22" s="112">
        <f>SUMIFS('Committments Dump'!$R:$R,'Committments Dump'!$C:$C,'Category Table'!Y$2,'Committments Dump'!$B:$B,'Category Table'!$A22)</f>
        <v/>
      </c>
      <c r="Z22" s="112">
        <f>SUMIFS('Committments Dump'!$R:$R,'Committments Dump'!$C:$C,'Category Table'!Z$2,'Committments Dump'!$B:$B,'Category Table'!$A22)</f>
        <v/>
      </c>
      <c r="AA22" s="111">
        <f>SUMIFS('Committments Dump'!$S:$S,'Committments Dump'!$C:$C,'Category Table'!AA$2,'Committments Dump'!$B:$B,'Category Table'!$A22)</f>
        <v/>
      </c>
      <c r="AB22" s="112">
        <f>SUMIFS('Committments Dump'!$S:$S,'Committments Dump'!$C:$C,'Category Table'!AB$2,'Committments Dump'!$B:$B,'Category Table'!$A22)</f>
        <v/>
      </c>
      <c r="AC22" s="112">
        <f>SUMIFS('Committments Dump'!$S:$S,'Committments Dump'!$C:$C,'Category Table'!AC$2,'Committments Dump'!$B:$B,'Category Table'!$A22)</f>
        <v/>
      </c>
      <c r="AD22" s="111">
        <f>U22+X22+AA22</f>
        <v/>
      </c>
      <c r="AE22" s="112">
        <f>V22+Y22+AB22</f>
        <v/>
      </c>
      <c r="AF22" s="112">
        <f>W22+Z22+AC22</f>
        <v/>
      </c>
      <c r="AG22" s="111">
        <f>R22+AD22</f>
        <v/>
      </c>
      <c r="AH22" s="112">
        <f>S22+AE22</f>
        <v/>
      </c>
      <c r="AI22" s="112">
        <f>T22+AF22</f>
        <v/>
      </c>
      <c r="AJ22" s="111" t="n"/>
      <c r="AK22" s="112" t="n"/>
      <c r="AL22" s="112" t="n"/>
      <c r="AM22" s="111">
        <f>(O22-AG22)+AJ22</f>
        <v/>
      </c>
      <c r="AN22" s="112">
        <f>(P22-AH22)+AK22</f>
        <v/>
      </c>
      <c r="AO22" s="112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13" t="n">
        <v>0</v>
      </c>
      <c r="D23" s="114" t="n">
        <v>0</v>
      </c>
      <c r="E23" s="114" t="n">
        <v>0</v>
      </c>
      <c r="F23" s="113" t="n">
        <v>1800000</v>
      </c>
      <c r="G23" s="114" t="n">
        <v>0</v>
      </c>
      <c r="H23" s="114" t="n">
        <v>0</v>
      </c>
      <c r="I23" s="113" t="n">
        <v>0</v>
      </c>
      <c r="J23" s="114" t="n">
        <v>0</v>
      </c>
      <c r="K23" s="114" t="n">
        <v>0</v>
      </c>
      <c r="L23" s="113" t="n">
        <v>0</v>
      </c>
      <c r="M23" s="114" t="n">
        <v>0</v>
      </c>
      <c r="N23" s="114" t="n">
        <v>0</v>
      </c>
      <c r="O23" s="113">
        <f>L23+I23+F23+C23</f>
        <v/>
      </c>
      <c r="P23" s="114">
        <f>M23+J23+G23+D23</f>
        <v/>
      </c>
      <c r="Q23" s="114">
        <f>N23+K23+H23+E23</f>
        <v/>
      </c>
      <c r="R23" s="113">
        <f>SUMIFS('PO Log'!$E:$E,'PO Log'!$D:$D,'Category Table'!R$2,'PO Log'!$C:$C,'Category Table'!$A23)</f>
        <v/>
      </c>
      <c r="S23" s="114">
        <f>SUMIFS('PO Log'!$E:$E,'PO Log'!$D:$D,'Category Table'!S$2,'PO Log'!$C:$C,'Category Table'!$A23)</f>
        <v/>
      </c>
      <c r="T23" s="114">
        <f>SUMIFS('PO Log'!$E:$E,'PO Log'!$D:$D,'Category Table'!T$2,'PO Log'!$C:$C,'Category Table'!$A23)</f>
        <v/>
      </c>
      <c r="U23" s="113">
        <f>SUMIFS('Committments Dump'!$Q:$Q,'Committments Dump'!$C:$C,'Category Table'!U$2,'Committments Dump'!$B:$B,'Category Table'!$A23)</f>
        <v/>
      </c>
      <c r="V23" s="114">
        <f>SUMIFS('Committments Dump'!$Q:$Q,'Committments Dump'!$C:$C,'Category Table'!V$2,'Committments Dump'!$B:$B,'Category Table'!$A23)</f>
        <v/>
      </c>
      <c r="W23" s="114">
        <f>SUMIFS('Committments Dump'!$Q:$Q,'Committments Dump'!$C:$C,'Category Table'!W$2,'Committments Dump'!$B:$B,'Category Table'!$A23)</f>
        <v/>
      </c>
      <c r="X23" s="113">
        <f>SUMIFS('Committments Dump'!$R:$R,'Committments Dump'!$C:$C,'Category Table'!X$2,'Committments Dump'!$B:$B,'Category Table'!$A23)</f>
        <v/>
      </c>
      <c r="Y23" s="114">
        <f>SUMIFS('Committments Dump'!$R:$R,'Committments Dump'!$C:$C,'Category Table'!Y$2,'Committments Dump'!$B:$B,'Category Table'!$A23)</f>
        <v/>
      </c>
      <c r="Z23" s="114">
        <f>SUMIFS('Committments Dump'!$R:$R,'Committments Dump'!$C:$C,'Category Table'!Z$2,'Committments Dump'!$B:$B,'Category Table'!$A23)</f>
        <v/>
      </c>
      <c r="AA23" s="113">
        <f>SUMIFS('Committments Dump'!$S:$S,'Committments Dump'!$C:$C,'Category Table'!AA$2,'Committments Dump'!$B:$B,'Category Table'!$A23)</f>
        <v/>
      </c>
      <c r="AB23" s="114">
        <f>SUMIFS('Committments Dump'!$S:$S,'Committments Dump'!$C:$C,'Category Table'!AB$2,'Committments Dump'!$B:$B,'Category Table'!$A23)</f>
        <v/>
      </c>
      <c r="AC23" s="114">
        <f>SUMIFS('Committments Dump'!$S:$S,'Committments Dump'!$C:$C,'Category Table'!AC$2,'Committments Dump'!$B:$B,'Category Table'!$A23)</f>
        <v/>
      </c>
      <c r="AD23" s="113">
        <f>U23+X23+AA23</f>
        <v/>
      </c>
      <c r="AE23" s="114">
        <f>V23+Y23+AB23</f>
        <v/>
      </c>
      <c r="AF23" s="114">
        <f>W23+Z23+AC23</f>
        <v/>
      </c>
      <c r="AG23" s="113">
        <f>R23+AD23</f>
        <v/>
      </c>
      <c r="AH23" s="114">
        <f>S23+AE23</f>
        <v/>
      </c>
      <c r="AI23" s="114">
        <f>T23+AF23</f>
        <v/>
      </c>
      <c r="AJ23" s="113" t="n"/>
      <c r="AK23" s="114" t="n"/>
      <c r="AL23" s="114" t="n"/>
      <c r="AM23" s="113">
        <f>(O23-AG23)+AJ23</f>
        <v/>
      </c>
      <c r="AN23" s="114">
        <f>(P23-AH23)+AK23</f>
        <v/>
      </c>
      <c r="AO23" s="114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11" t="n">
        <v>0</v>
      </c>
      <c r="D24" s="112" t="n">
        <v>0</v>
      </c>
      <c r="E24" s="112" t="n">
        <v>0</v>
      </c>
      <c r="F24" s="111" t="n">
        <v>1386220.96</v>
      </c>
      <c r="G24" s="112" t="n">
        <v>0</v>
      </c>
      <c r="H24" s="112" t="n">
        <v>0</v>
      </c>
      <c r="I24" s="111" t="n">
        <v>0</v>
      </c>
      <c r="J24" s="112" t="n">
        <v>0</v>
      </c>
      <c r="K24" s="112" t="n">
        <v>0</v>
      </c>
      <c r="L24" s="111" t="n">
        <v>0</v>
      </c>
      <c r="M24" s="112" t="n">
        <v>0</v>
      </c>
      <c r="N24" s="112" t="n">
        <v>0</v>
      </c>
      <c r="O24" s="111">
        <f>L24+I24+F24+C24</f>
        <v/>
      </c>
      <c r="P24" s="112">
        <f>M24+J24+G24+D24</f>
        <v/>
      </c>
      <c r="Q24" s="112">
        <f>N24+K24+H24+E24</f>
        <v/>
      </c>
      <c r="R24" s="111">
        <f>SUMIFS('PO Log'!$E:$E,'PO Log'!$D:$D,'Category Table'!R$2,'PO Log'!$C:$C,'Category Table'!$A24)</f>
        <v/>
      </c>
      <c r="S24" s="112">
        <f>SUMIFS('PO Log'!$E:$E,'PO Log'!$D:$D,'Category Table'!S$2,'PO Log'!$C:$C,'Category Table'!$A24)</f>
        <v/>
      </c>
      <c r="T24" s="112">
        <f>SUMIFS('PO Log'!$E:$E,'PO Log'!$D:$D,'Category Table'!T$2,'PO Log'!$C:$C,'Category Table'!$A24)</f>
        <v/>
      </c>
      <c r="U24" s="111">
        <f>SUMIFS('Committments Dump'!$Q:$Q,'Committments Dump'!$C:$C,'Category Table'!U$2,'Committments Dump'!$B:$B,'Category Table'!$A24)</f>
        <v/>
      </c>
      <c r="V24" s="112">
        <f>SUMIFS('Committments Dump'!$Q:$Q,'Committments Dump'!$C:$C,'Category Table'!V$2,'Committments Dump'!$B:$B,'Category Table'!$A24)</f>
        <v/>
      </c>
      <c r="W24" s="112">
        <f>SUMIFS('Committments Dump'!$Q:$Q,'Committments Dump'!$C:$C,'Category Table'!W$2,'Committments Dump'!$B:$B,'Category Table'!$A24)</f>
        <v/>
      </c>
      <c r="X24" s="111">
        <f>SUMIFS('Committments Dump'!$R:$R,'Committments Dump'!$C:$C,'Category Table'!X$2,'Committments Dump'!$B:$B,'Category Table'!$A24)</f>
        <v/>
      </c>
      <c r="Y24" s="112">
        <f>SUMIFS('Committments Dump'!$R:$R,'Committments Dump'!$C:$C,'Category Table'!Y$2,'Committments Dump'!$B:$B,'Category Table'!$A24)</f>
        <v/>
      </c>
      <c r="Z24" s="112">
        <f>SUMIFS('Committments Dump'!$R:$R,'Committments Dump'!$C:$C,'Category Table'!Z$2,'Committments Dump'!$B:$B,'Category Table'!$A24)</f>
        <v/>
      </c>
      <c r="AA24" s="111">
        <f>SUMIFS('Committments Dump'!$S:$S,'Committments Dump'!$C:$C,'Category Table'!AA$2,'Committments Dump'!$B:$B,'Category Table'!$A24)</f>
        <v/>
      </c>
      <c r="AB24" s="112">
        <f>SUMIFS('Committments Dump'!$S:$S,'Committments Dump'!$C:$C,'Category Table'!AB$2,'Committments Dump'!$B:$B,'Category Table'!$A24)</f>
        <v/>
      </c>
      <c r="AC24" s="112">
        <f>SUMIFS('Committments Dump'!$S:$S,'Committments Dump'!$C:$C,'Category Table'!AC$2,'Committments Dump'!$B:$B,'Category Table'!$A24)</f>
        <v/>
      </c>
      <c r="AD24" s="111">
        <f>U24+X24+AA24</f>
        <v/>
      </c>
      <c r="AE24" s="112">
        <f>V24+Y24+AB24</f>
        <v/>
      </c>
      <c r="AF24" s="112">
        <f>W24+Z24+AC24</f>
        <v/>
      </c>
      <c r="AG24" s="111">
        <f>R24+AD24</f>
        <v/>
      </c>
      <c r="AH24" s="112">
        <f>S24+AE24</f>
        <v/>
      </c>
      <c r="AI24" s="112">
        <f>T24+AF24</f>
        <v/>
      </c>
      <c r="AJ24" s="111" t="n"/>
      <c r="AK24" s="112" t="n"/>
      <c r="AL24" s="112" t="n"/>
      <c r="AM24" s="111">
        <f>(O24-AG24)+AJ24</f>
        <v/>
      </c>
      <c r="AN24" s="112">
        <f>(P24-AH24)+AK24</f>
        <v/>
      </c>
      <c r="AO24" s="112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13" t="n">
        <v>28288.75</v>
      </c>
      <c r="D25" s="114" t="n">
        <v>956.01</v>
      </c>
      <c r="E25" s="114" t="n">
        <v>325.83</v>
      </c>
      <c r="F25" s="113" t="n">
        <v>466368.3015288962</v>
      </c>
      <c r="G25" s="114" t="n">
        <v>-144949.5388560658</v>
      </c>
      <c r="H25" s="114" t="n">
        <v>0</v>
      </c>
      <c r="I25" s="113" t="n">
        <v>0</v>
      </c>
      <c r="J25" s="114" t="n">
        <v>0</v>
      </c>
      <c r="K25" s="114" t="n">
        <v>0</v>
      </c>
      <c r="L25" s="113" t="n">
        <v>0</v>
      </c>
      <c r="M25" s="114" t="n">
        <v>0</v>
      </c>
      <c r="N25" s="114" t="n">
        <v>0</v>
      </c>
      <c r="O25" s="113">
        <f>L25+I25+F25+C25</f>
        <v/>
      </c>
      <c r="P25" s="114">
        <f>M25+J25+G25+D25</f>
        <v/>
      </c>
      <c r="Q25" s="114">
        <f>N25+K25+H25+E25</f>
        <v/>
      </c>
      <c r="R25" s="113">
        <f>SUMIFS('PO Log'!$E:$E,'PO Log'!$D:$D,'Category Table'!R$2,'PO Log'!$C:$C,'Category Table'!$A25)</f>
        <v/>
      </c>
      <c r="S25" s="114">
        <f>SUMIFS('PO Log'!$E:$E,'PO Log'!$D:$D,'Category Table'!S$2,'PO Log'!$C:$C,'Category Table'!$A25)</f>
        <v/>
      </c>
      <c r="T25" s="114">
        <f>SUMIFS('PO Log'!$E:$E,'PO Log'!$D:$D,'Category Table'!T$2,'PO Log'!$C:$C,'Category Table'!$A25)</f>
        <v/>
      </c>
      <c r="U25" s="113">
        <f>SUMIFS('Committments Dump'!$Q:$Q,'Committments Dump'!$C:$C,'Category Table'!U$2,'Committments Dump'!$B:$B,'Category Table'!$A25)</f>
        <v/>
      </c>
      <c r="V25" s="114">
        <f>SUMIFS('Committments Dump'!$Q:$Q,'Committments Dump'!$C:$C,'Category Table'!V$2,'Committments Dump'!$B:$B,'Category Table'!$A25)</f>
        <v/>
      </c>
      <c r="W25" s="114">
        <f>SUMIFS('Committments Dump'!$Q:$Q,'Committments Dump'!$C:$C,'Category Table'!W$2,'Committments Dump'!$B:$B,'Category Table'!$A25)</f>
        <v/>
      </c>
      <c r="X25" s="113">
        <f>SUMIFS('Committments Dump'!$R:$R,'Committments Dump'!$C:$C,'Category Table'!X$2,'Committments Dump'!$B:$B,'Category Table'!$A25)</f>
        <v/>
      </c>
      <c r="Y25" s="114">
        <f>SUMIFS('Committments Dump'!$R:$R,'Committments Dump'!$C:$C,'Category Table'!Y$2,'Committments Dump'!$B:$B,'Category Table'!$A25)</f>
        <v/>
      </c>
      <c r="Z25" s="114">
        <f>SUMIFS('Committments Dump'!$R:$R,'Committments Dump'!$C:$C,'Category Table'!Z$2,'Committments Dump'!$B:$B,'Category Table'!$A25)</f>
        <v/>
      </c>
      <c r="AA25" s="113">
        <f>SUMIFS('Committments Dump'!$S:$S,'Committments Dump'!$C:$C,'Category Table'!AA$2,'Committments Dump'!$B:$B,'Category Table'!$A25)</f>
        <v/>
      </c>
      <c r="AB25" s="114">
        <f>SUMIFS('Committments Dump'!$S:$S,'Committments Dump'!$C:$C,'Category Table'!AB$2,'Committments Dump'!$B:$B,'Category Table'!$A25)</f>
        <v/>
      </c>
      <c r="AC25" s="114">
        <f>SUMIFS('Committments Dump'!$S:$S,'Committments Dump'!$C:$C,'Category Table'!AC$2,'Committments Dump'!$B:$B,'Category Table'!$A25)</f>
        <v/>
      </c>
      <c r="AD25" s="113">
        <f>U25+X25+AA25</f>
        <v/>
      </c>
      <c r="AE25" s="114">
        <f>V25+Y25+AB25</f>
        <v/>
      </c>
      <c r="AF25" s="114">
        <f>W25+Z25+AC25</f>
        <v/>
      </c>
      <c r="AG25" s="113">
        <f>R25+AD25</f>
        <v/>
      </c>
      <c r="AH25" s="114">
        <f>S25+AE25</f>
        <v/>
      </c>
      <c r="AI25" s="114">
        <f>T25+AF25</f>
        <v/>
      </c>
      <c r="AJ25" s="113" t="n"/>
      <c r="AK25" s="114" t="n"/>
      <c r="AL25" s="114" t="n"/>
      <c r="AM25" s="113">
        <f>(O25-AG25)+AJ25</f>
        <v/>
      </c>
      <c r="AN25" s="114">
        <f>(P25-AH25)+AK25</f>
        <v/>
      </c>
      <c r="AO25" s="114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11" t="n">
        <v>20024.36</v>
      </c>
      <c r="D26" s="112" t="n">
        <v>0</v>
      </c>
      <c r="E26" s="112" t="n">
        <v>0</v>
      </c>
      <c r="F26" s="111" t="n">
        <v>0</v>
      </c>
      <c r="G26" s="112" t="n">
        <v>0</v>
      </c>
      <c r="H26" s="112" t="n">
        <v>36554.39</v>
      </c>
      <c r="I26" s="111" t="n">
        <v>0</v>
      </c>
      <c r="J26" s="112" t="n">
        <v>0</v>
      </c>
      <c r="K26" s="112" t="n">
        <v>0</v>
      </c>
      <c r="L26" s="111" t="n">
        <v>43421.25</v>
      </c>
      <c r="M26" s="112" t="n">
        <v>0</v>
      </c>
      <c r="N26" s="112" t="n">
        <v>0</v>
      </c>
      <c r="O26" s="111">
        <f>L26+I26+F26+C26</f>
        <v/>
      </c>
      <c r="P26" s="112">
        <f>M26+J26+G26+D26</f>
        <v/>
      </c>
      <c r="Q26" s="112">
        <f>N26+K26+H26+E26</f>
        <v/>
      </c>
      <c r="R26" s="111">
        <f>SUMIFS('PO Log'!$E:$E,'PO Log'!$D:$D,'Category Table'!R$2,'PO Log'!$C:$C,'Category Table'!$A26)</f>
        <v/>
      </c>
      <c r="S26" s="112">
        <f>SUMIFS('PO Log'!$E:$E,'PO Log'!$D:$D,'Category Table'!S$2,'PO Log'!$C:$C,'Category Table'!$A26)</f>
        <v/>
      </c>
      <c r="T26" s="112">
        <f>SUMIFS('PO Log'!$E:$E,'PO Log'!$D:$D,'Category Table'!T$2,'PO Log'!$C:$C,'Category Table'!$A26)</f>
        <v/>
      </c>
      <c r="U26" s="111">
        <f>SUMIFS('Committments Dump'!$Q:$Q,'Committments Dump'!$C:$C,'Category Table'!U$2,'Committments Dump'!$B:$B,'Category Table'!$A26)</f>
        <v/>
      </c>
      <c r="V26" s="112">
        <f>SUMIFS('Committments Dump'!$Q:$Q,'Committments Dump'!$C:$C,'Category Table'!V$2,'Committments Dump'!$B:$B,'Category Table'!$A26)</f>
        <v/>
      </c>
      <c r="W26" s="112">
        <f>SUMIFS('Committments Dump'!$Q:$Q,'Committments Dump'!$C:$C,'Category Table'!W$2,'Committments Dump'!$B:$B,'Category Table'!$A26)</f>
        <v/>
      </c>
      <c r="X26" s="111">
        <f>SUMIFS('Committments Dump'!$R:$R,'Committments Dump'!$C:$C,'Category Table'!X$2,'Committments Dump'!$B:$B,'Category Table'!$A26)</f>
        <v/>
      </c>
      <c r="Y26" s="112">
        <f>SUMIFS('Committments Dump'!$R:$R,'Committments Dump'!$C:$C,'Category Table'!Y$2,'Committments Dump'!$B:$B,'Category Table'!$A26)</f>
        <v/>
      </c>
      <c r="Z26" s="112">
        <f>SUMIFS('Committments Dump'!$R:$R,'Committments Dump'!$C:$C,'Category Table'!Z$2,'Committments Dump'!$B:$B,'Category Table'!$A26)</f>
        <v/>
      </c>
      <c r="AA26" s="111">
        <f>SUMIFS('Committments Dump'!$S:$S,'Committments Dump'!$C:$C,'Category Table'!AA$2,'Committments Dump'!$B:$B,'Category Table'!$A26)</f>
        <v/>
      </c>
      <c r="AB26" s="112">
        <f>SUMIFS('Committments Dump'!$S:$S,'Committments Dump'!$C:$C,'Category Table'!AB$2,'Committments Dump'!$B:$B,'Category Table'!$A26)</f>
        <v/>
      </c>
      <c r="AC26" s="112">
        <f>SUMIFS('Committments Dump'!$S:$S,'Committments Dump'!$C:$C,'Category Table'!AC$2,'Committments Dump'!$B:$B,'Category Table'!$A26)</f>
        <v/>
      </c>
      <c r="AD26" s="111">
        <f>U26+X26+AA26</f>
        <v/>
      </c>
      <c r="AE26" s="112">
        <f>V26+Y26+AB26</f>
        <v/>
      </c>
      <c r="AF26" s="112">
        <f>W26+Z26+AC26</f>
        <v/>
      </c>
      <c r="AG26" s="111">
        <f>R26+AD26</f>
        <v/>
      </c>
      <c r="AH26" s="112">
        <f>S26+AE26</f>
        <v/>
      </c>
      <c r="AI26" s="112">
        <f>T26+AF26</f>
        <v/>
      </c>
      <c r="AJ26" s="111" t="n"/>
      <c r="AK26" s="112" t="n"/>
      <c r="AL26" s="112" t="n"/>
      <c r="AM26" s="111">
        <f>(O26-AG26)+AJ26</f>
        <v/>
      </c>
      <c r="AN26" s="112">
        <f>(P26-AH26)+AK26</f>
        <v/>
      </c>
      <c r="AO26" s="112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13" t="n">
        <v>0</v>
      </c>
      <c r="D27" s="114" t="n">
        <v>849.86</v>
      </c>
      <c r="E27" s="114" t="n">
        <v>0</v>
      </c>
      <c r="F27" s="113" t="n">
        <v>2821.589999999997</v>
      </c>
      <c r="G27" s="114" t="n">
        <v>0</v>
      </c>
      <c r="H27" s="114" t="n">
        <v>0</v>
      </c>
      <c r="I27" s="113" t="n">
        <v>0</v>
      </c>
      <c r="J27" s="114" t="n">
        <v>0</v>
      </c>
      <c r="K27" s="114" t="n">
        <v>0</v>
      </c>
      <c r="L27" s="113" t="n">
        <v>0</v>
      </c>
      <c r="M27" s="114" t="n">
        <v>21328.55</v>
      </c>
      <c r="N27" s="114" t="n">
        <v>0</v>
      </c>
      <c r="O27" s="113">
        <f>L27+I27+F27+C27</f>
        <v/>
      </c>
      <c r="P27" s="114">
        <f>M27+J27+G27+D27</f>
        <v/>
      </c>
      <c r="Q27" s="114">
        <f>N27+K27+H27+E27</f>
        <v/>
      </c>
      <c r="R27" s="113">
        <f>SUMIFS('PO Log'!$E:$E,'PO Log'!$D:$D,'Category Table'!R$2,'PO Log'!$C:$C,'Category Table'!$A27)</f>
        <v/>
      </c>
      <c r="S27" s="114">
        <f>SUMIFS('PO Log'!$E:$E,'PO Log'!$D:$D,'Category Table'!S$2,'PO Log'!$C:$C,'Category Table'!$A27)</f>
        <v/>
      </c>
      <c r="T27" s="114">
        <f>SUMIFS('PO Log'!$E:$E,'PO Log'!$D:$D,'Category Table'!T$2,'PO Log'!$C:$C,'Category Table'!$A27)</f>
        <v/>
      </c>
      <c r="U27" s="113">
        <f>SUMIFS('Committments Dump'!$Q:$Q,'Committments Dump'!$C:$C,'Category Table'!U$2,'Committments Dump'!$B:$B,'Category Table'!$A27)</f>
        <v/>
      </c>
      <c r="V27" s="114">
        <f>SUMIFS('Committments Dump'!$Q:$Q,'Committments Dump'!$C:$C,'Category Table'!V$2,'Committments Dump'!$B:$B,'Category Table'!$A27)</f>
        <v/>
      </c>
      <c r="W27" s="114">
        <f>SUMIFS('Committments Dump'!$Q:$Q,'Committments Dump'!$C:$C,'Category Table'!W$2,'Committments Dump'!$B:$B,'Category Table'!$A27)</f>
        <v/>
      </c>
      <c r="X27" s="113">
        <f>SUMIFS('Committments Dump'!$R:$R,'Committments Dump'!$C:$C,'Category Table'!X$2,'Committments Dump'!$B:$B,'Category Table'!$A27)</f>
        <v/>
      </c>
      <c r="Y27" s="114">
        <f>SUMIFS('Committments Dump'!$R:$R,'Committments Dump'!$C:$C,'Category Table'!Y$2,'Committments Dump'!$B:$B,'Category Table'!$A27)</f>
        <v/>
      </c>
      <c r="Z27" s="114">
        <f>SUMIFS('Committments Dump'!$R:$R,'Committments Dump'!$C:$C,'Category Table'!Z$2,'Committments Dump'!$B:$B,'Category Table'!$A27)</f>
        <v/>
      </c>
      <c r="AA27" s="113">
        <f>SUMIFS('Committments Dump'!$S:$S,'Committments Dump'!$C:$C,'Category Table'!AA$2,'Committments Dump'!$B:$B,'Category Table'!$A27)</f>
        <v/>
      </c>
      <c r="AB27" s="114">
        <f>SUMIFS('Committments Dump'!$S:$S,'Committments Dump'!$C:$C,'Category Table'!AB$2,'Committments Dump'!$B:$B,'Category Table'!$A27)</f>
        <v/>
      </c>
      <c r="AC27" s="114">
        <f>SUMIFS('Committments Dump'!$S:$S,'Committments Dump'!$C:$C,'Category Table'!AC$2,'Committments Dump'!$B:$B,'Category Table'!$A27)</f>
        <v/>
      </c>
      <c r="AD27" s="113">
        <f>U27+X27+AA27</f>
        <v/>
      </c>
      <c r="AE27" s="114">
        <f>V27+Y27+AB27</f>
        <v/>
      </c>
      <c r="AF27" s="114">
        <f>W27+Z27+AC27</f>
        <v/>
      </c>
      <c r="AG27" s="113">
        <f>R27+AD27</f>
        <v/>
      </c>
      <c r="AH27" s="114">
        <f>S27+AE27</f>
        <v/>
      </c>
      <c r="AI27" s="114">
        <f>T27+AF27</f>
        <v/>
      </c>
      <c r="AJ27" s="113" t="n"/>
      <c r="AK27" s="114" t="n"/>
      <c r="AL27" s="114" t="n"/>
      <c r="AM27" s="113">
        <f>(O27-AG27)+AJ27</f>
        <v/>
      </c>
      <c r="AN27" s="114">
        <f>(P27-AH27)+AK27</f>
        <v/>
      </c>
      <c r="AO27" s="114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11" t="n">
        <v>1128965.04</v>
      </c>
      <c r="D28" s="112" t="n">
        <v>28340.55</v>
      </c>
      <c r="E28" s="112" t="n">
        <v>0</v>
      </c>
      <c r="F28" s="111" t="n">
        <v>1419040.4</v>
      </c>
      <c r="G28" s="112" t="n">
        <v>0</v>
      </c>
      <c r="H28" s="112" t="n">
        <v>0</v>
      </c>
      <c r="I28" s="111" t="n">
        <v>0</v>
      </c>
      <c r="J28" s="112" t="n">
        <v>0</v>
      </c>
      <c r="K28" s="112" t="n">
        <v>0</v>
      </c>
      <c r="L28" s="111" t="n">
        <v>223654.0100000001</v>
      </c>
      <c r="M28" s="112" t="n">
        <v>0</v>
      </c>
      <c r="N28" s="112" t="n">
        <v>0</v>
      </c>
      <c r="O28" s="111">
        <f>L28+I28+F28+C28</f>
        <v/>
      </c>
      <c r="P28" s="112">
        <f>M28+J28+G28+D28</f>
        <v/>
      </c>
      <c r="Q28" s="112">
        <f>N28+K28+H28+E28</f>
        <v/>
      </c>
      <c r="R28" s="111">
        <f>SUMIFS('PO Log'!$E:$E,'PO Log'!$D:$D,'Category Table'!R$2,'PO Log'!$C:$C,'Category Table'!$A28)</f>
        <v/>
      </c>
      <c r="S28" s="112">
        <f>SUMIFS('PO Log'!$E:$E,'PO Log'!$D:$D,'Category Table'!S$2,'PO Log'!$C:$C,'Category Table'!$A28)</f>
        <v/>
      </c>
      <c r="T28" s="112">
        <f>SUMIFS('PO Log'!$E:$E,'PO Log'!$D:$D,'Category Table'!T$2,'PO Log'!$C:$C,'Category Table'!$A28)</f>
        <v/>
      </c>
      <c r="U28" s="111">
        <f>SUMIFS('Committments Dump'!$Q:$Q,'Committments Dump'!$C:$C,'Category Table'!U$2,'Committments Dump'!$B:$B,'Category Table'!$A28)</f>
        <v/>
      </c>
      <c r="V28" s="112">
        <f>SUMIFS('Committments Dump'!$Q:$Q,'Committments Dump'!$C:$C,'Category Table'!V$2,'Committments Dump'!$B:$B,'Category Table'!$A28)</f>
        <v/>
      </c>
      <c r="W28" s="112">
        <f>SUMIFS('Committments Dump'!$Q:$Q,'Committments Dump'!$C:$C,'Category Table'!W$2,'Committments Dump'!$B:$B,'Category Table'!$A28)</f>
        <v/>
      </c>
      <c r="X28" s="111">
        <f>SUMIFS('Committments Dump'!$R:$R,'Committments Dump'!$C:$C,'Category Table'!X$2,'Committments Dump'!$B:$B,'Category Table'!$A28)</f>
        <v/>
      </c>
      <c r="Y28" s="112">
        <f>SUMIFS('Committments Dump'!$R:$R,'Committments Dump'!$C:$C,'Category Table'!Y$2,'Committments Dump'!$B:$B,'Category Table'!$A28)</f>
        <v/>
      </c>
      <c r="Z28" s="112">
        <f>SUMIFS('Committments Dump'!$R:$R,'Committments Dump'!$C:$C,'Category Table'!Z$2,'Committments Dump'!$B:$B,'Category Table'!$A28)</f>
        <v/>
      </c>
      <c r="AA28" s="111">
        <f>SUMIFS('Committments Dump'!$S:$S,'Committments Dump'!$C:$C,'Category Table'!AA$2,'Committments Dump'!$B:$B,'Category Table'!$A28)</f>
        <v/>
      </c>
      <c r="AB28" s="112">
        <f>SUMIFS('Committments Dump'!$S:$S,'Committments Dump'!$C:$C,'Category Table'!AB$2,'Committments Dump'!$B:$B,'Category Table'!$A28)</f>
        <v/>
      </c>
      <c r="AC28" s="112">
        <f>SUMIFS('Committments Dump'!$S:$S,'Committments Dump'!$C:$C,'Category Table'!AC$2,'Committments Dump'!$B:$B,'Category Table'!$A28)</f>
        <v/>
      </c>
      <c r="AD28" s="111">
        <f>U28+X28+AA28</f>
        <v/>
      </c>
      <c r="AE28" s="112">
        <f>V28+Y28+AB28</f>
        <v/>
      </c>
      <c r="AF28" s="112">
        <f>W28+Z28+AC28</f>
        <v/>
      </c>
      <c r="AG28" s="111">
        <f>R28+AD28</f>
        <v/>
      </c>
      <c r="AH28" s="112">
        <f>S28+AE28</f>
        <v/>
      </c>
      <c r="AI28" s="112">
        <f>T28+AF28</f>
        <v/>
      </c>
      <c r="AJ28" s="111" t="n"/>
      <c r="AK28" s="112" t="n"/>
      <c r="AL28" s="112" t="n"/>
      <c r="AM28" s="111">
        <f>(O28-AG28)+AJ28</f>
        <v/>
      </c>
      <c r="AN28" s="112">
        <f>(P28-AH28)+AK28</f>
        <v/>
      </c>
      <c r="AO28" s="112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13" t="n">
        <v>0</v>
      </c>
      <c r="D29" s="114" t="n">
        <v>0</v>
      </c>
      <c r="E29" s="114" t="n">
        <v>0</v>
      </c>
      <c r="F29" s="113" t="n">
        <v>1680000</v>
      </c>
      <c r="G29" s="114" t="n">
        <v>0</v>
      </c>
      <c r="H29" s="114" t="n">
        <v>0</v>
      </c>
      <c r="I29" s="113" t="n">
        <v>0</v>
      </c>
      <c r="J29" s="114" t="n">
        <v>0</v>
      </c>
      <c r="K29" s="114" t="n">
        <v>0</v>
      </c>
      <c r="L29" s="113" t="n">
        <v>0</v>
      </c>
      <c r="M29" s="114" t="n">
        <v>0</v>
      </c>
      <c r="N29" s="114" t="n">
        <v>0</v>
      </c>
      <c r="O29" s="113">
        <f>L29+I29+F29+C29</f>
        <v/>
      </c>
      <c r="P29" s="114">
        <f>M29+J29+G29+D29</f>
        <v/>
      </c>
      <c r="Q29" s="114">
        <f>N29+K29+H29+E29</f>
        <v/>
      </c>
      <c r="R29" s="113">
        <f>SUMIFS('PO Log'!$E:$E,'PO Log'!$D:$D,'Category Table'!R$2,'PO Log'!$C:$C,'Category Table'!$A29)</f>
        <v/>
      </c>
      <c r="S29" s="114">
        <f>SUMIFS('PO Log'!$E:$E,'PO Log'!$D:$D,'Category Table'!S$2,'PO Log'!$C:$C,'Category Table'!$A29)</f>
        <v/>
      </c>
      <c r="T29" s="114">
        <f>SUMIFS('PO Log'!$E:$E,'PO Log'!$D:$D,'Category Table'!T$2,'PO Log'!$C:$C,'Category Table'!$A29)</f>
        <v/>
      </c>
      <c r="U29" s="113">
        <f>SUMIFS('Committments Dump'!$Q:$Q,'Committments Dump'!$C:$C,'Category Table'!U$2,'Committments Dump'!$B:$B,'Category Table'!$A29)</f>
        <v/>
      </c>
      <c r="V29" s="114">
        <f>SUMIFS('Committments Dump'!$Q:$Q,'Committments Dump'!$C:$C,'Category Table'!V$2,'Committments Dump'!$B:$B,'Category Table'!$A29)</f>
        <v/>
      </c>
      <c r="W29" s="114">
        <f>SUMIFS('Committments Dump'!$Q:$Q,'Committments Dump'!$C:$C,'Category Table'!W$2,'Committments Dump'!$B:$B,'Category Table'!$A29)</f>
        <v/>
      </c>
      <c r="X29" s="113">
        <f>SUMIFS('Committments Dump'!$R:$R,'Committments Dump'!$C:$C,'Category Table'!X$2,'Committments Dump'!$B:$B,'Category Table'!$A29)</f>
        <v/>
      </c>
      <c r="Y29" s="114">
        <f>SUMIFS('Committments Dump'!$R:$R,'Committments Dump'!$C:$C,'Category Table'!Y$2,'Committments Dump'!$B:$B,'Category Table'!$A29)</f>
        <v/>
      </c>
      <c r="Z29" s="114">
        <f>SUMIFS('Committments Dump'!$R:$R,'Committments Dump'!$C:$C,'Category Table'!Z$2,'Committments Dump'!$B:$B,'Category Table'!$A29)</f>
        <v/>
      </c>
      <c r="AA29" s="113">
        <f>SUMIFS('Committments Dump'!$S:$S,'Committments Dump'!$C:$C,'Category Table'!AA$2,'Committments Dump'!$B:$B,'Category Table'!$A29)</f>
        <v/>
      </c>
      <c r="AB29" s="114">
        <f>SUMIFS('Committments Dump'!$S:$S,'Committments Dump'!$C:$C,'Category Table'!AB$2,'Committments Dump'!$B:$B,'Category Table'!$A29)</f>
        <v/>
      </c>
      <c r="AC29" s="114">
        <f>SUMIFS('Committments Dump'!$S:$S,'Committments Dump'!$C:$C,'Category Table'!AC$2,'Committments Dump'!$B:$B,'Category Table'!$A29)</f>
        <v/>
      </c>
      <c r="AD29" s="113">
        <f>U29+X29+AA29</f>
        <v/>
      </c>
      <c r="AE29" s="114">
        <f>V29+Y29+AB29</f>
        <v/>
      </c>
      <c r="AF29" s="114">
        <f>W29+Z29+AC29</f>
        <v/>
      </c>
      <c r="AG29" s="113">
        <f>R29+AD29</f>
        <v/>
      </c>
      <c r="AH29" s="114">
        <f>S29+AE29</f>
        <v/>
      </c>
      <c r="AI29" s="114">
        <f>T29+AF29</f>
        <v/>
      </c>
      <c r="AJ29" s="113" t="n"/>
      <c r="AK29" s="114" t="n"/>
      <c r="AL29" s="114" t="n"/>
      <c r="AM29" s="113">
        <f>(O29-AG29)+AJ29</f>
        <v/>
      </c>
      <c r="AN29" s="114">
        <f>(P29-AH29)+AK29</f>
        <v/>
      </c>
      <c r="AO29" s="114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11" t="n">
        <v>0</v>
      </c>
      <c r="D30" s="112" t="n">
        <v>1549.5</v>
      </c>
      <c r="E30" s="112" t="n">
        <v>0</v>
      </c>
      <c r="F30" s="111" t="n">
        <v>0</v>
      </c>
      <c r="G30" s="112" t="n">
        <v>544.2454054054106</v>
      </c>
      <c r="H30" s="112" t="n">
        <v>0</v>
      </c>
      <c r="I30" s="111" t="n">
        <v>0</v>
      </c>
      <c r="J30" s="112" t="n">
        <v>0</v>
      </c>
      <c r="K30" s="112" t="n">
        <v>0</v>
      </c>
      <c r="L30" s="111" t="n">
        <v>0</v>
      </c>
      <c r="M30" s="112" t="n">
        <v>0</v>
      </c>
      <c r="N30" s="112" t="n">
        <v>0</v>
      </c>
      <c r="O30" s="111">
        <f>L30+I30+F30+C30</f>
        <v/>
      </c>
      <c r="P30" s="112">
        <f>M30+J30+G30+D30</f>
        <v/>
      </c>
      <c r="Q30" s="112">
        <f>N30+K30+H30+E30</f>
        <v/>
      </c>
      <c r="R30" s="111">
        <f>SUMIFS('PO Log'!$E:$E,'PO Log'!$D:$D,'Category Table'!R$2,'PO Log'!$C:$C,'Category Table'!$A30)</f>
        <v/>
      </c>
      <c r="S30" s="112">
        <f>SUMIFS('PO Log'!$E:$E,'PO Log'!$D:$D,'Category Table'!S$2,'PO Log'!$C:$C,'Category Table'!$A30)</f>
        <v/>
      </c>
      <c r="T30" s="112">
        <f>SUMIFS('PO Log'!$E:$E,'PO Log'!$D:$D,'Category Table'!T$2,'PO Log'!$C:$C,'Category Table'!$A30)</f>
        <v/>
      </c>
      <c r="U30" s="111">
        <f>SUMIFS('Committments Dump'!$Q:$Q,'Committments Dump'!$C:$C,'Category Table'!U$2,'Committments Dump'!$B:$B,'Category Table'!$A30)</f>
        <v/>
      </c>
      <c r="V30" s="112">
        <f>SUMIFS('Committments Dump'!$Q:$Q,'Committments Dump'!$C:$C,'Category Table'!V$2,'Committments Dump'!$B:$B,'Category Table'!$A30)</f>
        <v/>
      </c>
      <c r="W30" s="112">
        <f>SUMIFS('Committments Dump'!$Q:$Q,'Committments Dump'!$C:$C,'Category Table'!W$2,'Committments Dump'!$B:$B,'Category Table'!$A30)</f>
        <v/>
      </c>
      <c r="X30" s="111">
        <f>SUMIFS('Committments Dump'!$R:$R,'Committments Dump'!$C:$C,'Category Table'!X$2,'Committments Dump'!$B:$B,'Category Table'!$A30)</f>
        <v/>
      </c>
      <c r="Y30" s="112">
        <f>SUMIFS('Committments Dump'!$R:$R,'Committments Dump'!$C:$C,'Category Table'!Y$2,'Committments Dump'!$B:$B,'Category Table'!$A30)</f>
        <v/>
      </c>
      <c r="Z30" s="112">
        <f>SUMIFS('Committments Dump'!$R:$R,'Committments Dump'!$C:$C,'Category Table'!Z$2,'Committments Dump'!$B:$B,'Category Table'!$A30)</f>
        <v/>
      </c>
      <c r="AA30" s="111">
        <f>SUMIFS('Committments Dump'!$S:$S,'Committments Dump'!$C:$C,'Category Table'!AA$2,'Committments Dump'!$B:$B,'Category Table'!$A30)</f>
        <v/>
      </c>
      <c r="AB30" s="112">
        <f>SUMIFS('Committments Dump'!$S:$S,'Committments Dump'!$C:$C,'Category Table'!AB$2,'Committments Dump'!$B:$B,'Category Table'!$A30)</f>
        <v/>
      </c>
      <c r="AC30" s="112">
        <f>SUMIFS('Committments Dump'!$S:$S,'Committments Dump'!$C:$C,'Category Table'!AC$2,'Committments Dump'!$B:$B,'Category Table'!$A30)</f>
        <v/>
      </c>
      <c r="AD30" s="111">
        <f>U30+X30+AA30</f>
        <v/>
      </c>
      <c r="AE30" s="112">
        <f>V30+Y30+AB30</f>
        <v/>
      </c>
      <c r="AF30" s="112">
        <f>W30+Z30+AC30</f>
        <v/>
      </c>
      <c r="AG30" s="111">
        <f>R30+AD30</f>
        <v/>
      </c>
      <c r="AH30" s="112">
        <f>S30+AE30</f>
        <v/>
      </c>
      <c r="AI30" s="112">
        <f>T30+AF30</f>
        <v/>
      </c>
      <c r="AJ30" s="111" t="n"/>
      <c r="AK30" s="112" t="n"/>
      <c r="AL30" s="112" t="n"/>
      <c r="AM30" s="111">
        <f>(O30-AG30)+AJ30</f>
        <v/>
      </c>
      <c r="AN30" s="112">
        <f>(P30-AH30)+AK30</f>
        <v/>
      </c>
      <c r="AO30" s="112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13" t="n">
        <v>0</v>
      </c>
      <c r="D31" s="114" t="n">
        <v>0</v>
      </c>
      <c r="E31" s="114" t="n">
        <v>0</v>
      </c>
      <c r="F31" s="113" t="n">
        <v>0</v>
      </c>
      <c r="G31" s="114" t="n">
        <v>0</v>
      </c>
      <c r="H31" s="114" t="n">
        <v>0</v>
      </c>
      <c r="I31" s="113" t="n">
        <v>0</v>
      </c>
      <c r="J31" s="114" t="n">
        <v>0</v>
      </c>
      <c r="K31" s="114" t="n">
        <v>0</v>
      </c>
      <c r="L31" s="113" t="n">
        <v>0</v>
      </c>
      <c r="M31" s="114" t="n">
        <v>0</v>
      </c>
      <c r="N31" s="114" t="n">
        <v>0</v>
      </c>
      <c r="O31" s="113">
        <f>L31+I31+F31+C31</f>
        <v/>
      </c>
      <c r="P31" s="114">
        <f>M31+J31+G31+D31</f>
        <v/>
      </c>
      <c r="Q31" s="114">
        <f>N31+K31+H31+E31</f>
        <v/>
      </c>
      <c r="R31" s="113">
        <f>SUMIFS('PO Log'!$E:$E,'PO Log'!$D:$D,'Category Table'!R$2,'PO Log'!$C:$C,'Category Table'!$A31)</f>
        <v/>
      </c>
      <c r="S31" s="114">
        <f>SUMIFS('PO Log'!$E:$E,'PO Log'!$D:$D,'Category Table'!S$2,'PO Log'!$C:$C,'Category Table'!$A31)</f>
        <v/>
      </c>
      <c r="T31" s="114">
        <f>SUMIFS('PO Log'!$E:$E,'PO Log'!$D:$D,'Category Table'!T$2,'PO Log'!$C:$C,'Category Table'!$A31)</f>
        <v/>
      </c>
      <c r="U31" s="113">
        <f>SUMIFS('Committments Dump'!$Q:$Q,'Committments Dump'!$C:$C,'Category Table'!U$2,'Committments Dump'!$B:$B,'Category Table'!$A31)</f>
        <v/>
      </c>
      <c r="V31" s="114">
        <f>SUMIFS('Committments Dump'!$Q:$Q,'Committments Dump'!$C:$C,'Category Table'!V$2,'Committments Dump'!$B:$B,'Category Table'!$A31)</f>
        <v/>
      </c>
      <c r="W31" s="114">
        <f>SUMIFS('Committments Dump'!$Q:$Q,'Committments Dump'!$C:$C,'Category Table'!W$2,'Committments Dump'!$B:$B,'Category Table'!$A31)</f>
        <v/>
      </c>
      <c r="X31" s="113">
        <f>SUMIFS('Committments Dump'!$R:$R,'Committments Dump'!$C:$C,'Category Table'!X$2,'Committments Dump'!$B:$B,'Category Table'!$A31)</f>
        <v/>
      </c>
      <c r="Y31" s="114">
        <f>SUMIFS('Committments Dump'!$R:$R,'Committments Dump'!$C:$C,'Category Table'!Y$2,'Committments Dump'!$B:$B,'Category Table'!$A31)</f>
        <v/>
      </c>
      <c r="Z31" s="114">
        <f>SUMIFS('Committments Dump'!$R:$R,'Committments Dump'!$C:$C,'Category Table'!Z$2,'Committments Dump'!$B:$B,'Category Table'!$A31)</f>
        <v/>
      </c>
      <c r="AA31" s="113">
        <f>SUMIFS('Committments Dump'!$S:$S,'Committments Dump'!$C:$C,'Category Table'!AA$2,'Committments Dump'!$B:$B,'Category Table'!$A31)</f>
        <v/>
      </c>
      <c r="AB31" s="114">
        <f>SUMIFS('Committments Dump'!$S:$S,'Committments Dump'!$C:$C,'Category Table'!AB$2,'Committments Dump'!$B:$B,'Category Table'!$A31)</f>
        <v/>
      </c>
      <c r="AC31" s="114">
        <f>SUMIFS('Committments Dump'!$S:$S,'Committments Dump'!$C:$C,'Category Table'!AC$2,'Committments Dump'!$B:$B,'Category Table'!$A31)</f>
        <v/>
      </c>
      <c r="AD31" s="113">
        <f>U31+X31+AA31</f>
        <v/>
      </c>
      <c r="AE31" s="114">
        <f>V31+Y31+AB31</f>
        <v/>
      </c>
      <c r="AF31" s="114">
        <f>W31+Z31+AC31</f>
        <v/>
      </c>
      <c r="AG31" s="113">
        <f>R31+AD31</f>
        <v/>
      </c>
      <c r="AH31" s="114">
        <f>S31+AE31</f>
        <v/>
      </c>
      <c r="AI31" s="114">
        <f>T31+AF31</f>
        <v/>
      </c>
      <c r="AJ31" s="113" t="n"/>
      <c r="AK31" s="114" t="n"/>
      <c r="AL31" s="114" t="n"/>
      <c r="AM31" s="113">
        <f>(O31-AG31)+AJ31</f>
        <v/>
      </c>
      <c r="AN31" s="114">
        <f>(P31-AH31)+AK31</f>
        <v/>
      </c>
      <c r="AO31" s="114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11" t="n">
        <v>0</v>
      </c>
      <c r="D32" s="112" t="n">
        <v>0</v>
      </c>
      <c r="E32" s="112" t="n">
        <v>0</v>
      </c>
      <c r="F32" s="111" t="n">
        <v>0</v>
      </c>
      <c r="G32" s="112" t="n">
        <v>0</v>
      </c>
      <c r="H32" s="112" t="n">
        <v>0</v>
      </c>
      <c r="I32" s="111" t="n">
        <v>0</v>
      </c>
      <c r="J32" s="112" t="n">
        <v>0</v>
      </c>
      <c r="K32" s="112" t="n">
        <v>0</v>
      </c>
      <c r="L32" s="111" t="n">
        <v>0</v>
      </c>
      <c r="M32" s="112" t="n">
        <v>0</v>
      </c>
      <c r="N32" s="112" t="n">
        <v>0</v>
      </c>
      <c r="O32" s="111">
        <f>L32+I32+F32+C32</f>
        <v/>
      </c>
      <c r="P32" s="112">
        <f>M32+J32+G32+D32</f>
        <v/>
      </c>
      <c r="Q32" s="112">
        <f>N32+K32+H32+E32</f>
        <v/>
      </c>
      <c r="R32" s="111">
        <f>SUMIFS('PO Log'!$E:$E,'PO Log'!$D:$D,'Category Table'!R$2,'PO Log'!$C:$C,'Category Table'!$A32)</f>
        <v/>
      </c>
      <c r="S32" s="112">
        <f>SUMIFS('PO Log'!$E:$E,'PO Log'!$D:$D,'Category Table'!S$2,'PO Log'!$C:$C,'Category Table'!$A32)</f>
        <v/>
      </c>
      <c r="T32" s="112">
        <f>SUMIFS('PO Log'!$E:$E,'PO Log'!$D:$D,'Category Table'!T$2,'PO Log'!$C:$C,'Category Table'!$A32)</f>
        <v/>
      </c>
      <c r="U32" s="111">
        <f>SUMIFS('Committments Dump'!$Q:$Q,'Committments Dump'!$C:$C,'Category Table'!U$2,'Committments Dump'!$B:$B,'Category Table'!$A32)</f>
        <v/>
      </c>
      <c r="V32" s="112">
        <f>SUMIFS('Committments Dump'!$Q:$Q,'Committments Dump'!$C:$C,'Category Table'!V$2,'Committments Dump'!$B:$B,'Category Table'!$A32)</f>
        <v/>
      </c>
      <c r="W32" s="112">
        <f>SUMIFS('Committments Dump'!$Q:$Q,'Committments Dump'!$C:$C,'Category Table'!W$2,'Committments Dump'!$B:$B,'Category Table'!$A32)</f>
        <v/>
      </c>
      <c r="X32" s="111">
        <f>SUMIFS('Committments Dump'!$R:$R,'Committments Dump'!$C:$C,'Category Table'!X$2,'Committments Dump'!$B:$B,'Category Table'!$A32)</f>
        <v/>
      </c>
      <c r="Y32" s="112">
        <f>SUMIFS('Committments Dump'!$R:$R,'Committments Dump'!$C:$C,'Category Table'!Y$2,'Committments Dump'!$B:$B,'Category Table'!$A32)</f>
        <v/>
      </c>
      <c r="Z32" s="112">
        <f>SUMIFS('Committments Dump'!$R:$R,'Committments Dump'!$C:$C,'Category Table'!Z$2,'Committments Dump'!$B:$B,'Category Table'!$A32)</f>
        <v/>
      </c>
      <c r="AA32" s="111">
        <f>SUMIFS('Committments Dump'!$S:$S,'Committments Dump'!$C:$C,'Category Table'!AA$2,'Committments Dump'!$B:$B,'Category Table'!$A32)</f>
        <v/>
      </c>
      <c r="AB32" s="112">
        <f>SUMIFS('Committments Dump'!$S:$S,'Committments Dump'!$C:$C,'Category Table'!AB$2,'Committments Dump'!$B:$B,'Category Table'!$A32)</f>
        <v/>
      </c>
      <c r="AC32" s="112">
        <f>SUMIFS('Committments Dump'!$S:$S,'Committments Dump'!$C:$C,'Category Table'!AC$2,'Committments Dump'!$B:$B,'Category Table'!$A32)</f>
        <v/>
      </c>
      <c r="AD32" s="111">
        <f>U32+X32+AA32</f>
        <v/>
      </c>
      <c r="AE32" s="112">
        <f>V32+Y32+AB32</f>
        <v/>
      </c>
      <c r="AF32" s="112">
        <f>W32+Z32+AC32</f>
        <v/>
      </c>
      <c r="AG32" s="111">
        <f>R32+AD32</f>
        <v/>
      </c>
      <c r="AH32" s="112">
        <f>S32+AE32</f>
        <v/>
      </c>
      <c r="AI32" s="112">
        <f>T32+AF32</f>
        <v/>
      </c>
      <c r="AJ32" s="111" t="n"/>
      <c r="AK32" s="112" t="n"/>
      <c r="AL32" s="112" t="n"/>
      <c r="AM32" s="111">
        <f>(O32-AG32)+AJ32</f>
        <v/>
      </c>
      <c r="AN32" s="112">
        <f>(P32-AH32)+AK32</f>
        <v/>
      </c>
      <c r="AO32" s="112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13" t="n">
        <v>0</v>
      </c>
      <c r="D33" s="114" t="n">
        <v>0</v>
      </c>
      <c r="E33" s="114" t="n">
        <v>0</v>
      </c>
      <c r="F33" s="113" t="n">
        <v>0</v>
      </c>
      <c r="G33" s="114" t="n">
        <v>0</v>
      </c>
      <c r="H33" s="114" t="n">
        <v>0</v>
      </c>
      <c r="I33" s="113" t="n">
        <v>0</v>
      </c>
      <c r="J33" s="114" t="n">
        <v>0</v>
      </c>
      <c r="K33" s="114" t="n">
        <v>0</v>
      </c>
      <c r="L33" s="113" t="n">
        <v>0</v>
      </c>
      <c r="M33" s="114" t="n">
        <v>0</v>
      </c>
      <c r="N33" s="114" t="n">
        <v>0</v>
      </c>
      <c r="O33" s="113">
        <f>L33+I33+F33+C33</f>
        <v/>
      </c>
      <c r="P33" s="114">
        <f>M33+J33+G33+D33</f>
        <v/>
      </c>
      <c r="Q33" s="114">
        <f>N33+K33+H33+E33</f>
        <v/>
      </c>
      <c r="R33" s="113">
        <f>SUMIFS('PO Log'!$E:$E,'PO Log'!$D:$D,'Category Table'!R$2,'PO Log'!$C:$C,'Category Table'!$A33)</f>
        <v/>
      </c>
      <c r="S33" s="114">
        <f>SUMIFS('PO Log'!$E:$E,'PO Log'!$D:$D,'Category Table'!S$2,'PO Log'!$C:$C,'Category Table'!$A33)</f>
        <v/>
      </c>
      <c r="T33" s="114">
        <f>SUMIFS('PO Log'!$E:$E,'PO Log'!$D:$D,'Category Table'!T$2,'PO Log'!$C:$C,'Category Table'!$A33)</f>
        <v/>
      </c>
      <c r="U33" s="113">
        <f>SUMIFS('Committments Dump'!$Q:$Q,'Committments Dump'!$C:$C,'Category Table'!U$2,'Committments Dump'!$B:$B,'Category Table'!$A33)</f>
        <v/>
      </c>
      <c r="V33" s="114">
        <f>SUMIFS('Committments Dump'!$Q:$Q,'Committments Dump'!$C:$C,'Category Table'!V$2,'Committments Dump'!$B:$B,'Category Table'!$A33)</f>
        <v/>
      </c>
      <c r="W33" s="114">
        <f>SUMIFS('Committments Dump'!$Q:$Q,'Committments Dump'!$C:$C,'Category Table'!W$2,'Committments Dump'!$B:$B,'Category Table'!$A33)</f>
        <v/>
      </c>
      <c r="X33" s="113">
        <f>SUMIFS('Committments Dump'!$R:$R,'Committments Dump'!$C:$C,'Category Table'!X$2,'Committments Dump'!$B:$B,'Category Table'!$A33)</f>
        <v/>
      </c>
      <c r="Y33" s="114">
        <f>SUMIFS('Committments Dump'!$R:$R,'Committments Dump'!$C:$C,'Category Table'!Y$2,'Committments Dump'!$B:$B,'Category Table'!$A33)</f>
        <v/>
      </c>
      <c r="Z33" s="114">
        <f>SUMIFS('Committments Dump'!$R:$R,'Committments Dump'!$C:$C,'Category Table'!Z$2,'Committments Dump'!$B:$B,'Category Table'!$A33)</f>
        <v/>
      </c>
      <c r="AA33" s="113">
        <f>SUMIFS('Committments Dump'!$S:$S,'Committments Dump'!$C:$C,'Category Table'!AA$2,'Committments Dump'!$B:$B,'Category Table'!$A33)</f>
        <v/>
      </c>
      <c r="AB33" s="114">
        <f>SUMIFS('Committments Dump'!$S:$S,'Committments Dump'!$C:$C,'Category Table'!AB$2,'Committments Dump'!$B:$B,'Category Table'!$A33)</f>
        <v/>
      </c>
      <c r="AC33" s="114">
        <f>SUMIFS('Committments Dump'!$S:$S,'Committments Dump'!$C:$C,'Category Table'!AC$2,'Committments Dump'!$B:$B,'Category Table'!$A33)</f>
        <v/>
      </c>
      <c r="AD33" s="113">
        <f>U33+X33+AA33</f>
        <v/>
      </c>
      <c r="AE33" s="114">
        <f>V33+Y33+AB33</f>
        <v/>
      </c>
      <c r="AF33" s="114">
        <f>W33+Z33+AC33</f>
        <v/>
      </c>
      <c r="AG33" s="113">
        <f>R33+AD33</f>
        <v/>
      </c>
      <c r="AH33" s="114">
        <f>S33+AE33</f>
        <v/>
      </c>
      <c r="AI33" s="114">
        <f>T33+AF33</f>
        <v/>
      </c>
      <c r="AJ33" s="113" t="n"/>
      <c r="AK33" s="114" t="n"/>
      <c r="AL33" s="114" t="n"/>
      <c r="AM33" s="113">
        <f>(O33-AG33)+AJ33</f>
        <v/>
      </c>
      <c r="AN33" s="114">
        <f>(P33-AH33)+AK33</f>
        <v/>
      </c>
      <c r="AO33" s="114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11" t="n">
        <v>0</v>
      </c>
      <c r="D34" s="112" t="n">
        <v>0</v>
      </c>
      <c r="E34" s="112" t="n">
        <v>0</v>
      </c>
      <c r="F34" s="111" t="n">
        <v>0</v>
      </c>
      <c r="G34" s="112" t="n">
        <v>0</v>
      </c>
      <c r="H34" s="112" t="n">
        <v>114488.16</v>
      </c>
      <c r="I34" s="111" t="n">
        <v>0</v>
      </c>
      <c r="J34" s="112" t="n">
        <v>0</v>
      </c>
      <c r="K34" s="112" t="n">
        <v>0</v>
      </c>
      <c r="L34" s="111" t="n">
        <v>0</v>
      </c>
      <c r="M34" s="112" t="n">
        <v>0</v>
      </c>
      <c r="N34" s="112" t="n">
        <v>0</v>
      </c>
      <c r="O34" s="111">
        <f>L34+I34+F34+C34</f>
        <v/>
      </c>
      <c r="P34" s="112">
        <f>M34+J34+G34+D34</f>
        <v/>
      </c>
      <c r="Q34" s="112">
        <f>N34+K34+H34+E34</f>
        <v/>
      </c>
      <c r="R34" s="111">
        <f>SUMIFS('PO Log'!$E:$E,'PO Log'!$D:$D,'Category Table'!R$2,'PO Log'!$C:$C,'Category Table'!$A34)</f>
        <v/>
      </c>
      <c r="S34" s="112">
        <f>SUMIFS('PO Log'!$E:$E,'PO Log'!$D:$D,'Category Table'!S$2,'PO Log'!$C:$C,'Category Table'!$A34)</f>
        <v/>
      </c>
      <c r="T34" s="112">
        <f>SUMIFS('PO Log'!$E:$E,'PO Log'!$D:$D,'Category Table'!T$2,'PO Log'!$C:$C,'Category Table'!$A34)</f>
        <v/>
      </c>
      <c r="U34" s="111">
        <f>SUMIFS('Committments Dump'!$Q:$Q,'Committments Dump'!$C:$C,'Category Table'!U$2,'Committments Dump'!$B:$B,'Category Table'!$A34)</f>
        <v/>
      </c>
      <c r="V34" s="112">
        <f>SUMIFS('Committments Dump'!$Q:$Q,'Committments Dump'!$C:$C,'Category Table'!V$2,'Committments Dump'!$B:$B,'Category Table'!$A34)</f>
        <v/>
      </c>
      <c r="W34" s="112">
        <f>SUMIFS('Committments Dump'!$Q:$Q,'Committments Dump'!$C:$C,'Category Table'!W$2,'Committments Dump'!$B:$B,'Category Table'!$A34)</f>
        <v/>
      </c>
      <c r="X34" s="111">
        <f>SUMIFS('Committments Dump'!$R:$R,'Committments Dump'!$C:$C,'Category Table'!X$2,'Committments Dump'!$B:$B,'Category Table'!$A34)</f>
        <v/>
      </c>
      <c r="Y34" s="112">
        <f>SUMIFS('Committments Dump'!$R:$R,'Committments Dump'!$C:$C,'Category Table'!Y$2,'Committments Dump'!$B:$B,'Category Table'!$A34)</f>
        <v/>
      </c>
      <c r="Z34" s="112">
        <f>SUMIFS('Committments Dump'!$R:$R,'Committments Dump'!$C:$C,'Category Table'!Z$2,'Committments Dump'!$B:$B,'Category Table'!$A34)</f>
        <v/>
      </c>
      <c r="AA34" s="111">
        <f>SUMIFS('Committments Dump'!$S:$S,'Committments Dump'!$C:$C,'Category Table'!AA$2,'Committments Dump'!$B:$B,'Category Table'!$A34)</f>
        <v/>
      </c>
      <c r="AB34" s="112">
        <f>SUMIFS('Committments Dump'!$S:$S,'Committments Dump'!$C:$C,'Category Table'!AB$2,'Committments Dump'!$B:$B,'Category Table'!$A34)</f>
        <v/>
      </c>
      <c r="AC34" s="112">
        <f>SUMIFS('Committments Dump'!$S:$S,'Committments Dump'!$C:$C,'Category Table'!AC$2,'Committments Dump'!$B:$B,'Category Table'!$A34)</f>
        <v/>
      </c>
      <c r="AD34" s="111">
        <f>U34+X34+AA34</f>
        <v/>
      </c>
      <c r="AE34" s="112">
        <f>V34+Y34+AB34</f>
        <v/>
      </c>
      <c r="AF34" s="112">
        <f>W34+Z34+AC34</f>
        <v/>
      </c>
      <c r="AG34" s="111">
        <f>R34+AD34</f>
        <v/>
      </c>
      <c r="AH34" s="112">
        <f>S34+AE34</f>
        <v/>
      </c>
      <c r="AI34" s="112">
        <f>T34+AF34</f>
        <v/>
      </c>
      <c r="AJ34" s="111" t="n"/>
      <c r="AK34" s="112" t="n"/>
      <c r="AL34" s="112" t="n"/>
      <c r="AM34" s="111">
        <f>(O34-AG34)+AJ34</f>
        <v/>
      </c>
      <c r="AN34" s="112">
        <f>(P34-AH34)+AK34</f>
        <v/>
      </c>
      <c r="AO34" s="112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13" t="n">
        <v>0</v>
      </c>
      <c r="D35" s="114" t="n">
        <v>0</v>
      </c>
      <c r="E35" s="114" t="n">
        <v>0</v>
      </c>
      <c r="F35" s="113" t="n">
        <v>0</v>
      </c>
      <c r="G35" s="114" t="n"/>
      <c r="H35" s="114" t="n">
        <v>0</v>
      </c>
      <c r="I35" s="113" t="n">
        <v>0</v>
      </c>
      <c r="J35" s="114" t="n">
        <v>0</v>
      </c>
      <c r="K35" s="114" t="n">
        <v>0</v>
      </c>
      <c r="L35" s="113" t="n">
        <v>0</v>
      </c>
      <c r="M35" s="114" t="n">
        <v>0</v>
      </c>
      <c r="N35" s="114" t="n">
        <v>0</v>
      </c>
      <c r="O35" s="113">
        <f>L35+I35+F35+C35</f>
        <v/>
      </c>
      <c r="P35" s="114">
        <f>M35+J35+G35+D35</f>
        <v/>
      </c>
      <c r="Q35" s="114">
        <f>N35+K35+H35+E35</f>
        <v/>
      </c>
      <c r="R35" s="113">
        <f>SUMIFS('PO Log'!$E:$E,'PO Log'!$D:$D,'Category Table'!R$2,'PO Log'!$C:$C,'Category Table'!$A35)</f>
        <v/>
      </c>
      <c r="S35" s="114">
        <f>SUMIFS('PO Log'!$E:$E,'PO Log'!$D:$D,'Category Table'!S$2,'PO Log'!$C:$C,'Category Table'!$A35)</f>
        <v/>
      </c>
      <c r="T35" s="114">
        <f>SUMIFS('PO Log'!$E:$E,'PO Log'!$D:$D,'Category Table'!T$2,'PO Log'!$C:$C,'Category Table'!$A35)</f>
        <v/>
      </c>
      <c r="U35" s="113">
        <f>SUMIFS('Committments Dump'!$Q:$Q,'Committments Dump'!$C:$C,'Category Table'!U$2,'Committments Dump'!$B:$B,'Category Table'!$A35)</f>
        <v/>
      </c>
      <c r="V35" s="114">
        <f>SUMIFS('Committments Dump'!$Q:$Q,'Committments Dump'!$C:$C,'Category Table'!V$2,'Committments Dump'!$B:$B,'Category Table'!$A35)</f>
        <v/>
      </c>
      <c r="W35" s="114">
        <f>SUMIFS('Committments Dump'!$Q:$Q,'Committments Dump'!$C:$C,'Category Table'!W$2,'Committments Dump'!$B:$B,'Category Table'!$A35)</f>
        <v/>
      </c>
      <c r="X35" s="113">
        <f>SUMIFS('Committments Dump'!$R:$R,'Committments Dump'!$C:$C,'Category Table'!X$2,'Committments Dump'!$B:$B,'Category Table'!$A35)</f>
        <v/>
      </c>
      <c r="Y35" s="114">
        <f>SUMIFS('Committments Dump'!$R:$R,'Committments Dump'!$C:$C,'Category Table'!Y$2,'Committments Dump'!$B:$B,'Category Table'!$A35)</f>
        <v/>
      </c>
      <c r="Z35" s="114">
        <f>SUMIFS('Committments Dump'!$R:$R,'Committments Dump'!$C:$C,'Category Table'!Z$2,'Committments Dump'!$B:$B,'Category Table'!$A35)</f>
        <v/>
      </c>
      <c r="AA35" s="113">
        <f>SUMIFS('Committments Dump'!$S:$S,'Committments Dump'!$C:$C,'Category Table'!AA$2,'Committments Dump'!$B:$B,'Category Table'!$A35)</f>
        <v/>
      </c>
      <c r="AB35" s="114">
        <f>SUMIFS('Committments Dump'!$S:$S,'Committments Dump'!$C:$C,'Category Table'!AB$2,'Committments Dump'!$B:$B,'Category Table'!$A35)</f>
        <v/>
      </c>
      <c r="AC35" s="114">
        <f>SUMIFS('Committments Dump'!$S:$S,'Committments Dump'!$C:$C,'Category Table'!AC$2,'Committments Dump'!$B:$B,'Category Table'!$A35)</f>
        <v/>
      </c>
      <c r="AD35" s="113">
        <f>U35+X35+AA35</f>
        <v/>
      </c>
      <c r="AE35" s="114">
        <f>V35+Y35+AB35</f>
        <v/>
      </c>
      <c r="AF35" s="114">
        <f>W35+Z35+AC35</f>
        <v/>
      </c>
      <c r="AG35" s="113">
        <f>R35+AD35</f>
        <v/>
      </c>
      <c r="AH35" s="114">
        <f>S35+AE35</f>
        <v/>
      </c>
      <c r="AI35" s="114">
        <f>T35+AF35</f>
        <v/>
      </c>
      <c r="AJ35" s="113" t="n"/>
      <c r="AK35" s="114" t="n"/>
      <c r="AL35" s="114" t="n"/>
      <c r="AM35" s="113">
        <f>(O35-AG35)+AJ35</f>
        <v/>
      </c>
      <c r="AN35" s="114">
        <f>(P35-AH35)+AK35</f>
        <v/>
      </c>
      <c r="AO35" s="114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11" t="n">
        <v>0</v>
      </c>
      <c r="D36" s="112" t="n">
        <v>0</v>
      </c>
      <c r="E36" s="112" t="n">
        <v>0</v>
      </c>
      <c r="F36" s="111" t="n">
        <v>0</v>
      </c>
      <c r="G36" s="112" t="n"/>
      <c r="H36" s="112" t="n">
        <v>0</v>
      </c>
      <c r="I36" s="111" t="n">
        <v>0</v>
      </c>
      <c r="J36" s="112" t="n">
        <v>0</v>
      </c>
      <c r="K36" s="112" t="n">
        <v>0</v>
      </c>
      <c r="L36" s="111" t="n">
        <v>0</v>
      </c>
      <c r="M36" s="112" t="n">
        <v>0</v>
      </c>
      <c r="N36" s="112" t="n">
        <v>0</v>
      </c>
      <c r="O36" s="111">
        <f>L36+I36+F36+C36</f>
        <v/>
      </c>
      <c r="P36" s="112">
        <f>M36+J36+G36+D36</f>
        <v/>
      </c>
      <c r="Q36" s="112">
        <f>N36+K36+H36+E36</f>
        <v/>
      </c>
      <c r="R36" s="111">
        <f>SUMIFS('PO Log'!$E:$E,'PO Log'!$D:$D,'Category Table'!R$2,'PO Log'!$C:$C,'Category Table'!$A36)</f>
        <v/>
      </c>
      <c r="S36" s="112">
        <f>SUMIFS('PO Log'!$E:$E,'PO Log'!$D:$D,'Category Table'!S$2,'PO Log'!$C:$C,'Category Table'!$A36)</f>
        <v/>
      </c>
      <c r="T36" s="112">
        <f>SUMIFS('PO Log'!$E:$E,'PO Log'!$D:$D,'Category Table'!T$2,'PO Log'!$C:$C,'Category Table'!$A36)</f>
        <v/>
      </c>
      <c r="U36" s="111">
        <f>SUMIFS('Committments Dump'!$Q:$Q,'Committments Dump'!$C:$C,'Category Table'!U$2,'Committments Dump'!$B:$B,'Category Table'!$A36)</f>
        <v/>
      </c>
      <c r="V36" s="112">
        <f>SUMIFS('Committments Dump'!$Q:$Q,'Committments Dump'!$C:$C,'Category Table'!V$2,'Committments Dump'!$B:$B,'Category Table'!$A36)</f>
        <v/>
      </c>
      <c r="W36" s="112">
        <f>SUMIFS('Committments Dump'!$Q:$Q,'Committments Dump'!$C:$C,'Category Table'!W$2,'Committments Dump'!$B:$B,'Category Table'!$A36)</f>
        <v/>
      </c>
      <c r="X36" s="111">
        <f>SUMIFS('Committments Dump'!$R:$R,'Committments Dump'!$C:$C,'Category Table'!X$2,'Committments Dump'!$B:$B,'Category Table'!$A36)</f>
        <v/>
      </c>
      <c r="Y36" s="112">
        <f>SUMIFS('Committments Dump'!$R:$R,'Committments Dump'!$C:$C,'Category Table'!Y$2,'Committments Dump'!$B:$B,'Category Table'!$A36)</f>
        <v/>
      </c>
      <c r="Z36" s="112">
        <f>SUMIFS('Committments Dump'!$R:$R,'Committments Dump'!$C:$C,'Category Table'!Z$2,'Committments Dump'!$B:$B,'Category Table'!$A36)</f>
        <v/>
      </c>
      <c r="AA36" s="111">
        <f>SUMIFS('Committments Dump'!$S:$S,'Committments Dump'!$C:$C,'Category Table'!AA$2,'Committments Dump'!$B:$B,'Category Table'!$A36)</f>
        <v/>
      </c>
      <c r="AB36" s="112">
        <f>SUMIFS('Committments Dump'!$S:$S,'Committments Dump'!$C:$C,'Category Table'!AB$2,'Committments Dump'!$B:$B,'Category Table'!$A36)</f>
        <v/>
      </c>
      <c r="AC36" s="112">
        <f>SUMIFS('Committments Dump'!$S:$S,'Committments Dump'!$C:$C,'Category Table'!AC$2,'Committments Dump'!$B:$B,'Category Table'!$A36)</f>
        <v/>
      </c>
      <c r="AD36" s="111">
        <f>U36+X36+AA36</f>
        <v/>
      </c>
      <c r="AE36" s="112">
        <f>V36+Y36+AB36</f>
        <v/>
      </c>
      <c r="AF36" s="112">
        <f>W36+Z36+AC36</f>
        <v/>
      </c>
      <c r="AG36" s="111">
        <f>R36+AD36</f>
        <v/>
      </c>
      <c r="AH36" s="112">
        <f>S36+AE36</f>
        <v/>
      </c>
      <c r="AI36" s="112">
        <f>T36+AF36</f>
        <v/>
      </c>
      <c r="AJ36" s="111" t="n"/>
      <c r="AK36" s="112" t="n"/>
      <c r="AL36" s="112" t="n"/>
      <c r="AM36" s="111">
        <f>(O36-AG36)+AJ36</f>
        <v/>
      </c>
      <c r="AN36" s="112">
        <f>(P36-AH36)+AK36</f>
        <v/>
      </c>
      <c r="AO36" s="112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13" t="n">
        <v>0</v>
      </c>
      <c r="D37" s="114" t="n">
        <v>0</v>
      </c>
      <c r="E37" s="114" t="n">
        <v>0</v>
      </c>
      <c r="F37" s="113" t="n">
        <v>0</v>
      </c>
      <c r="G37" s="114" t="n"/>
      <c r="H37" s="114" t="n">
        <v>0</v>
      </c>
      <c r="I37" s="113" t="n">
        <v>0</v>
      </c>
      <c r="J37" s="114" t="n">
        <v>0</v>
      </c>
      <c r="K37" s="114" t="n">
        <v>0</v>
      </c>
      <c r="L37" s="113" t="n">
        <v>0</v>
      </c>
      <c r="M37" s="114" t="n">
        <v>0</v>
      </c>
      <c r="N37" s="114" t="n">
        <v>0</v>
      </c>
      <c r="O37" s="113">
        <f>L37+I37+F37+C37</f>
        <v/>
      </c>
      <c r="P37" s="114">
        <f>M37+J37+G37+D37</f>
        <v/>
      </c>
      <c r="Q37" s="114">
        <f>N37+K37+H37+E37</f>
        <v/>
      </c>
      <c r="R37" s="113">
        <f>SUMIFS('PO Log'!$E:$E,'PO Log'!$D:$D,'Category Table'!R$2,'PO Log'!$C:$C,'Category Table'!$A37)</f>
        <v/>
      </c>
      <c r="S37" s="114">
        <f>SUMIFS('PO Log'!$E:$E,'PO Log'!$D:$D,'Category Table'!S$2,'PO Log'!$C:$C,'Category Table'!$A37)</f>
        <v/>
      </c>
      <c r="T37" s="114">
        <f>SUMIFS('PO Log'!$E:$E,'PO Log'!$D:$D,'Category Table'!T$2,'PO Log'!$C:$C,'Category Table'!$A37)</f>
        <v/>
      </c>
      <c r="U37" s="113">
        <f>SUMIFS('Committments Dump'!$Q:$Q,'Committments Dump'!$C:$C,'Category Table'!U$2,'Committments Dump'!$B:$B,'Category Table'!$A37)</f>
        <v/>
      </c>
      <c r="V37" s="114">
        <f>SUMIFS('Committments Dump'!$Q:$Q,'Committments Dump'!$C:$C,'Category Table'!V$2,'Committments Dump'!$B:$B,'Category Table'!$A37)</f>
        <v/>
      </c>
      <c r="W37" s="114">
        <f>SUMIFS('Committments Dump'!$Q:$Q,'Committments Dump'!$C:$C,'Category Table'!W$2,'Committments Dump'!$B:$B,'Category Table'!$A37)</f>
        <v/>
      </c>
      <c r="X37" s="113">
        <f>SUMIFS('Committments Dump'!$R:$R,'Committments Dump'!$C:$C,'Category Table'!X$2,'Committments Dump'!$B:$B,'Category Table'!$A37)</f>
        <v/>
      </c>
      <c r="Y37" s="114">
        <f>SUMIFS('Committments Dump'!$R:$R,'Committments Dump'!$C:$C,'Category Table'!Y$2,'Committments Dump'!$B:$B,'Category Table'!$A37)</f>
        <v/>
      </c>
      <c r="Z37" s="114">
        <f>SUMIFS('Committments Dump'!$R:$R,'Committments Dump'!$C:$C,'Category Table'!Z$2,'Committments Dump'!$B:$B,'Category Table'!$A37)</f>
        <v/>
      </c>
      <c r="AA37" s="113">
        <f>SUMIFS('Committments Dump'!$S:$S,'Committments Dump'!$C:$C,'Category Table'!AA$2,'Committments Dump'!$B:$B,'Category Table'!$A37)</f>
        <v/>
      </c>
      <c r="AB37" s="114">
        <f>SUMIFS('Committments Dump'!$S:$S,'Committments Dump'!$C:$C,'Category Table'!AB$2,'Committments Dump'!$B:$B,'Category Table'!$A37)</f>
        <v/>
      </c>
      <c r="AC37" s="114">
        <f>SUMIFS('Committments Dump'!$S:$S,'Committments Dump'!$C:$C,'Category Table'!AC$2,'Committments Dump'!$B:$B,'Category Table'!$A37)</f>
        <v/>
      </c>
      <c r="AD37" s="113">
        <f>U37+X37+AA37</f>
        <v/>
      </c>
      <c r="AE37" s="114">
        <f>V37+Y37+AB37</f>
        <v/>
      </c>
      <c r="AF37" s="114">
        <f>W37+Z37+AC37</f>
        <v/>
      </c>
      <c r="AG37" s="113">
        <f>R37+AD37</f>
        <v/>
      </c>
      <c r="AH37" s="114">
        <f>S37+AE37</f>
        <v/>
      </c>
      <c r="AI37" s="114">
        <f>T37+AF37</f>
        <v/>
      </c>
      <c r="AJ37" s="113" t="n"/>
      <c r="AK37" s="114" t="n"/>
      <c r="AL37" s="114" t="n"/>
      <c r="AM37" s="113">
        <f>(O37-AG37)+AJ37</f>
        <v/>
      </c>
      <c r="AN37" s="114">
        <f>(P37-AH37)+AK37</f>
        <v/>
      </c>
      <c r="AO37" s="114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11" t="n">
        <v>0</v>
      </c>
      <c r="D38" s="112" t="n">
        <v>0</v>
      </c>
      <c r="E38" s="112" t="n">
        <v>0</v>
      </c>
      <c r="F38" s="111" t="n">
        <v>0</v>
      </c>
      <c r="G38" s="112" t="n">
        <v>0</v>
      </c>
      <c r="H38" s="112" t="n">
        <v>0</v>
      </c>
      <c r="I38" s="111" t="n">
        <v>0</v>
      </c>
      <c r="J38" s="112" t="n">
        <v>0</v>
      </c>
      <c r="K38" s="112" t="n">
        <v>0</v>
      </c>
      <c r="L38" s="111" t="n">
        <v>0</v>
      </c>
      <c r="M38" s="112" t="n">
        <v>0</v>
      </c>
      <c r="N38" s="112" t="n">
        <v>0</v>
      </c>
      <c r="O38" s="111">
        <f>L38+I38+F38+C38</f>
        <v/>
      </c>
      <c r="P38" s="112">
        <f>M38+J38+G38+D38</f>
        <v/>
      </c>
      <c r="Q38" s="112">
        <f>N38+K38+H38+E38</f>
        <v/>
      </c>
      <c r="R38" s="111">
        <f>SUMIFS('PO Log'!$E:$E,'PO Log'!$D:$D,'Category Table'!R$2,'PO Log'!$C:$C,'Category Table'!$A38)</f>
        <v/>
      </c>
      <c r="S38" s="112">
        <f>SUMIFS('PO Log'!$E:$E,'PO Log'!$D:$D,'Category Table'!S$2,'PO Log'!$C:$C,'Category Table'!$A38)</f>
        <v/>
      </c>
      <c r="T38" s="112">
        <f>SUMIFS('PO Log'!$E:$E,'PO Log'!$D:$D,'Category Table'!T$2,'PO Log'!$C:$C,'Category Table'!$A38)</f>
        <v/>
      </c>
      <c r="U38" s="111">
        <f>SUMIFS('Committments Dump'!$Q:$Q,'Committments Dump'!$C:$C,'Category Table'!U$2,'Committments Dump'!$B:$B,'Category Table'!$A38)</f>
        <v/>
      </c>
      <c r="V38" s="112">
        <f>SUMIFS('Committments Dump'!$Q:$Q,'Committments Dump'!$C:$C,'Category Table'!V$2,'Committments Dump'!$B:$B,'Category Table'!$A38)</f>
        <v/>
      </c>
      <c r="W38" s="112">
        <f>SUMIFS('Committments Dump'!$Q:$Q,'Committments Dump'!$C:$C,'Category Table'!W$2,'Committments Dump'!$B:$B,'Category Table'!$A38)</f>
        <v/>
      </c>
      <c r="X38" s="111">
        <f>SUMIFS('Committments Dump'!$R:$R,'Committments Dump'!$C:$C,'Category Table'!X$2,'Committments Dump'!$B:$B,'Category Table'!$A38)</f>
        <v/>
      </c>
      <c r="Y38" s="112">
        <f>SUMIFS('Committments Dump'!$R:$R,'Committments Dump'!$C:$C,'Category Table'!Y$2,'Committments Dump'!$B:$B,'Category Table'!$A38)</f>
        <v/>
      </c>
      <c r="Z38" s="112">
        <f>SUMIFS('Committments Dump'!$R:$R,'Committments Dump'!$C:$C,'Category Table'!Z$2,'Committments Dump'!$B:$B,'Category Table'!$A38)</f>
        <v/>
      </c>
      <c r="AA38" s="111">
        <f>SUMIFS('Committments Dump'!$S:$S,'Committments Dump'!$C:$C,'Category Table'!AA$2,'Committments Dump'!$B:$B,'Category Table'!$A38)</f>
        <v/>
      </c>
      <c r="AB38" s="112">
        <f>SUMIFS('Committments Dump'!$S:$S,'Committments Dump'!$C:$C,'Category Table'!AB$2,'Committments Dump'!$B:$B,'Category Table'!$A38)</f>
        <v/>
      </c>
      <c r="AC38" s="112">
        <f>SUMIFS('Committments Dump'!$S:$S,'Committments Dump'!$C:$C,'Category Table'!AC$2,'Committments Dump'!$B:$B,'Category Table'!$A38)</f>
        <v/>
      </c>
      <c r="AD38" s="111">
        <f>U38+X38+AA38</f>
        <v/>
      </c>
      <c r="AE38" s="112">
        <f>V38+Y38+AB38</f>
        <v/>
      </c>
      <c r="AF38" s="112">
        <f>W38+Z38+AC38</f>
        <v/>
      </c>
      <c r="AG38" s="111">
        <f>R38+AD38</f>
        <v/>
      </c>
      <c r="AH38" s="112">
        <f>S38+AE38</f>
        <v/>
      </c>
      <c r="AI38" s="112">
        <f>T38+AF38</f>
        <v/>
      </c>
      <c r="AJ38" s="111" t="n"/>
      <c r="AK38" s="112" t="n"/>
      <c r="AL38" s="112" t="n"/>
      <c r="AM38" s="111">
        <f>(O38-AG38)+AJ38</f>
        <v/>
      </c>
      <c r="AN38" s="112">
        <f>(P38-AH38)+AK38</f>
        <v/>
      </c>
      <c r="AO38" s="112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13" t="n">
        <v>0</v>
      </c>
      <c r="D39" s="114" t="n">
        <v>0</v>
      </c>
      <c r="E39" s="114" t="n">
        <v>0</v>
      </c>
      <c r="F39" s="113" t="n">
        <v>0</v>
      </c>
      <c r="G39" s="114" t="n"/>
      <c r="H39" s="114" t="n">
        <v>0</v>
      </c>
      <c r="I39" s="113" t="n">
        <v>0</v>
      </c>
      <c r="J39" s="114" t="n">
        <v>0</v>
      </c>
      <c r="K39" s="114" t="n">
        <v>0</v>
      </c>
      <c r="L39" s="113" t="n">
        <v>0</v>
      </c>
      <c r="M39" s="114" t="n">
        <v>0</v>
      </c>
      <c r="N39" s="114" t="n">
        <v>0</v>
      </c>
      <c r="O39" s="113">
        <f>L39+I39+F39+C39</f>
        <v/>
      </c>
      <c r="P39" s="114">
        <f>M39+J39+G39+D39</f>
        <v/>
      </c>
      <c r="Q39" s="114">
        <f>N39+K39+H39+E39</f>
        <v/>
      </c>
      <c r="R39" s="113">
        <f>SUMIFS('PO Log'!$E:$E,'PO Log'!$D:$D,'Category Table'!R$2,'PO Log'!$C:$C,'Category Table'!$A39)</f>
        <v/>
      </c>
      <c r="S39" s="114">
        <f>SUMIFS('PO Log'!$E:$E,'PO Log'!$D:$D,'Category Table'!S$2,'PO Log'!$C:$C,'Category Table'!$A39)</f>
        <v/>
      </c>
      <c r="T39" s="114">
        <f>SUMIFS('PO Log'!$E:$E,'PO Log'!$D:$D,'Category Table'!T$2,'PO Log'!$C:$C,'Category Table'!$A39)</f>
        <v/>
      </c>
      <c r="U39" s="113">
        <f>SUMIFS('Committments Dump'!$Q:$Q,'Committments Dump'!$C:$C,'Category Table'!U$2,'Committments Dump'!$B:$B,'Category Table'!$A39)</f>
        <v/>
      </c>
      <c r="V39" s="114">
        <f>SUMIFS('Committments Dump'!$Q:$Q,'Committments Dump'!$C:$C,'Category Table'!V$2,'Committments Dump'!$B:$B,'Category Table'!$A39)</f>
        <v/>
      </c>
      <c r="W39" s="114">
        <f>SUMIFS('Committments Dump'!$Q:$Q,'Committments Dump'!$C:$C,'Category Table'!W$2,'Committments Dump'!$B:$B,'Category Table'!$A39)</f>
        <v/>
      </c>
      <c r="X39" s="113">
        <f>SUMIFS('Committments Dump'!$R:$R,'Committments Dump'!$C:$C,'Category Table'!X$2,'Committments Dump'!$B:$B,'Category Table'!$A39)</f>
        <v/>
      </c>
      <c r="Y39" s="114">
        <f>SUMIFS('Committments Dump'!$R:$R,'Committments Dump'!$C:$C,'Category Table'!Y$2,'Committments Dump'!$B:$B,'Category Table'!$A39)</f>
        <v/>
      </c>
      <c r="Z39" s="114">
        <f>SUMIFS('Committments Dump'!$R:$R,'Committments Dump'!$C:$C,'Category Table'!Z$2,'Committments Dump'!$B:$B,'Category Table'!$A39)</f>
        <v/>
      </c>
      <c r="AA39" s="113">
        <f>SUMIFS('Committments Dump'!$S:$S,'Committments Dump'!$C:$C,'Category Table'!AA$2,'Committments Dump'!$B:$B,'Category Table'!$A39)</f>
        <v/>
      </c>
      <c r="AB39" s="114">
        <f>SUMIFS('Committments Dump'!$S:$S,'Committments Dump'!$C:$C,'Category Table'!AB$2,'Committments Dump'!$B:$B,'Category Table'!$A39)</f>
        <v/>
      </c>
      <c r="AC39" s="114">
        <f>SUMIFS('Committments Dump'!$S:$S,'Committments Dump'!$C:$C,'Category Table'!AC$2,'Committments Dump'!$B:$B,'Category Table'!$A39)</f>
        <v/>
      </c>
      <c r="AD39" s="113">
        <f>U39+X39+AA39</f>
        <v/>
      </c>
      <c r="AE39" s="114">
        <f>V39+Y39+AB39</f>
        <v/>
      </c>
      <c r="AF39" s="114">
        <f>W39+Z39+AC39</f>
        <v/>
      </c>
      <c r="AG39" s="113">
        <f>R39+AD39</f>
        <v/>
      </c>
      <c r="AH39" s="114">
        <f>S39+AE39</f>
        <v/>
      </c>
      <c r="AI39" s="114">
        <f>T39+AF39</f>
        <v/>
      </c>
      <c r="AJ39" s="113" t="n"/>
      <c r="AK39" s="114" t="n"/>
      <c r="AL39" s="114" t="n"/>
      <c r="AM39" s="113">
        <f>(O39-AG39)+AJ39</f>
        <v/>
      </c>
      <c r="AN39" s="114">
        <f>(P39-AH39)+AK39</f>
        <v/>
      </c>
      <c r="AO39" s="114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11" t="n">
        <v>0</v>
      </c>
      <c r="D40" s="112" t="n">
        <v>0</v>
      </c>
      <c r="E40" s="112" t="n">
        <v>0</v>
      </c>
      <c r="F40" s="111" t="n">
        <v>0</v>
      </c>
      <c r="G40" s="112" t="n"/>
      <c r="H40" s="112" t="n">
        <v>0</v>
      </c>
      <c r="I40" s="111" t="n">
        <v>0</v>
      </c>
      <c r="J40" s="112" t="n">
        <v>0</v>
      </c>
      <c r="K40" s="112" t="n">
        <v>0</v>
      </c>
      <c r="L40" s="111" t="n">
        <v>0</v>
      </c>
      <c r="M40" s="112" t="n">
        <v>0</v>
      </c>
      <c r="N40" s="112" t="n">
        <v>0</v>
      </c>
      <c r="O40" s="111">
        <f>L40+I40+F40+C40</f>
        <v/>
      </c>
      <c r="P40" s="112">
        <f>M40+J40+G40+D40</f>
        <v/>
      </c>
      <c r="Q40" s="112">
        <f>N40+K40+H40+E40</f>
        <v/>
      </c>
      <c r="R40" s="111">
        <f>SUMIFS('PO Log'!$E:$E,'PO Log'!$D:$D,'Category Table'!R$2,'PO Log'!$C:$C,'Category Table'!$A40)</f>
        <v/>
      </c>
      <c r="S40" s="112">
        <f>SUMIFS('PO Log'!$E:$E,'PO Log'!$D:$D,'Category Table'!S$2,'PO Log'!$C:$C,'Category Table'!$A40)</f>
        <v/>
      </c>
      <c r="T40" s="112">
        <f>SUMIFS('PO Log'!$E:$E,'PO Log'!$D:$D,'Category Table'!T$2,'PO Log'!$C:$C,'Category Table'!$A40)</f>
        <v/>
      </c>
      <c r="U40" s="111">
        <f>SUMIFS('Committments Dump'!$Q:$Q,'Committments Dump'!$C:$C,'Category Table'!U$2,'Committments Dump'!$B:$B,'Category Table'!$A40)</f>
        <v/>
      </c>
      <c r="V40" s="112">
        <f>SUMIFS('Committments Dump'!$Q:$Q,'Committments Dump'!$C:$C,'Category Table'!V$2,'Committments Dump'!$B:$B,'Category Table'!$A40)</f>
        <v/>
      </c>
      <c r="W40" s="112">
        <f>SUMIFS('Committments Dump'!$Q:$Q,'Committments Dump'!$C:$C,'Category Table'!W$2,'Committments Dump'!$B:$B,'Category Table'!$A40)</f>
        <v/>
      </c>
      <c r="X40" s="111">
        <f>SUMIFS('Committments Dump'!$R:$R,'Committments Dump'!$C:$C,'Category Table'!X$2,'Committments Dump'!$B:$B,'Category Table'!$A40)</f>
        <v/>
      </c>
      <c r="Y40" s="112">
        <f>SUMIFS('Committments Dump'!$R:$R,'Committments Dump'!$C:$C,'Category Table'!Y$2,'Committments Dump'!$B:$B,'Category Table'!$A40)</f>
        <v/>
      </c>
      <c r="Z40" s="112">
        <f>SUMIFS('Committments Dump'!$R:$R,'Committments Dump'!$C:$C,'Category Table'!Z$2,'Committments Dump'!$B:$B,'Category Table'!$A40)</f>
        <v/>
      </c>
      <c r="AA40" s="111">
        <f>SUMIFS('Committments Dump'!$S:$S,'Committments Dump'!$C:$C,'Category Table'!AA$2,'Committments Dump'!$B:$B,'Category Table'!$A40)</f>
        <v/>
      </c>
      <c r="AB40" s="112">
        <f>SUMIFS('Committments Dump'!$S:$S,'Committments Dump'!$C:$C,'Category Table'!AB$2,'Committments Dump'!$B:$B,'Category Table'!$A40)</f>
        <v/>
      </c>
      <c r="AC40" s="112">
        <f>SUMIFS('Committments Dump'!$S:$S,'Committments Dump'!$C:$C,'Category Table'!AC$2,'Committments Dump'!$B:$B,'Category Table'!$A40)</f>
        <v/>
      </c>
      <c r="AD40" s="111">
        <f>U40+X40+AA40</f>
        <v/>
      </c>
      <c r="AE40" s="112">
        <f>V40+Y40+AB40</f>
        <v/>
      </c>
      <c r="AF40" s="112">
        <f>W40+Z40+AC40</f>
        <v/>
      </c>
      <c r="AG40" s="111">
        <f>R40+AD40</f>
        <v/>
      </c>
      <c r="AH40" s="112">
        <f>S40+AE40</f>
        <v/>
      </c>
      <c r="AI40" s="112">
        <f>T40+AF40</f>
        <v/>
      </c>
      <c r="AJ40" s="111" t="n"/>
      <c r="AK40" s="112" t="n"/>
      <c r="AL40" s="112" t="n"/>
      <c r="AM40" s="111">
        <f>(O40-AG40)+AJ40</f>
        <v/>
      </c>
      <c r="AN40" s="112">
        <f>(P40-AH40)+AK40</f>
        <v/>
      </c>
      <c r="AO40" s="112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13" t="n">
        <v>0</v>
      </c>
      <c r="D41" s="114" t="n">
        <v>0</v>
      </c>
      <c r="E41" s="114" t="n">
        <v>0</v>
      </c>
      <c r="F41" s="113" t="n">
        <v>0</v>
      </c>
      <c r="G41" s="114" t="n"/>
      <c r="H41" s="114" t="n">
        <v>0</v>
      </c>
      <c r="I41" s="113" t="n">
        <v>0</v>
      </c>
      <c r="J41" s="114" t="n">
        <v>0</v>
      </c>
      <c r="K41" s="114" t="n">
        <v>0</v>
      </c>
      <c r="L41" s="113" t="n">
        <v>0</v>
      </c>
      <c r="M41" s="114" t="n">
        <v>0</v>
      </c>
      <c r="N41" s="114" t="n">
        <v>0</v>
      </c>
      <c r="O41" s="113">
        <f>L41+I41+F41+C41</f>
        <v/>
      </c>
      <c r="P41" s="114">
        <f>M41+J41+G41+D41</f>
        <v/>
      </c>
      <c r="Q41" s="114">
        <f>N41+K41+H41+E41</f>
        <v/>
      </c>
      <c r="R41" s="113">
        <f>SUMIFS('PO Log'!$E:$E,'PO Log'!$D:$D,'Category Table'!R$2,'PO Log'!$C:$C,'Category Table'!$A41)</f>
        <v/>
      </c>
      <c r="S41" s="114">
        <f>SUMIFS('PO Log'!$E:$E,'PO Log'!$D:$D,'Category Table'!S$2,'PO Log'!$C:$C,'Category Table'!$A41)</f>
        <v/>
      </c>
      <c r="T41" s="114">
        <f>SUMIFS('PO Log'!$E:$E,'PO Log'!$D:$D,'Category Table'!T$2,'PO Log'!$C:$C,'Category Table'!$A41)</f>
        <v/>
      </c>
      <c r="U41" s="113">
        <f>SUMIFS('Committments Dump'!$Q:$Q,'Committments Dump'!$C:$C,'Category Table'!U$2,'Committments Dump'!$B:$B,'Category Table'!$A41)</f>
        <v/>
      </c>
      <c r="V41" s="114">
        <f>SUMIFS('Committments Dump'!$Q:$Q,'Committments Dump'!$C:$C,'Category Table'!V$2,'Committments Dump'!$B:$B,'Category Table'!$A41)</f>
        <v/>
      </c>
      <c r="W41" s="114">
        <f>SUMIFS('Committments Dump'!$Q:$Q,'Committments Dump'!$C:$C,'Category Table'!W$2,'Committments Dump'!$B:$B,'Category Table'!$A41)</f>
        <v/>
      </c>
      <c r="X41" s="113">
        <f>SUMIFS('Committments Dump'!$R:$R,'Committments Dump'!$C:$C,'Category Table'!X$2,'Committments Dump'!$B:$B,'Category Table'!$A41)</f>
        <v/>
      </c>
      <c r="Y41" s="114">
        <f>SUMIFS('Committments Dump'!$R:$R,'Committments Dump'!$C:$C,'Category Table'!Y$2,'Committments Dump'!$B:$B,'Category Table'!$A41)</f>
        <v/>
      </c>
      <c r="Z41" s="114">
        <f>SUMIFS('Committments Dump'!$R:$R,'Committments Dump'!$C:$C,'Category Table'!Z$2,'Committments Dump'!$B:$B,'Category Table'!$A41)</f>
        <v/>
      </c>
      <c r="AA41" s="113">
        <f>SUMIFS('Committments Dump'!$S:$S,'Committments Dump'!$C:$C,'Category Table'!AA$2,'Committments Dump'!$B:$B,'Category Table'!$A41)</f>
        <v/>
      </c>
      <c r="AB41" s="114">
        <f>SUMIFS('Committments Dump'!$S:$S,'Committments Dump'!$C:$C,'Category Table'!AB$2,'Committments Dump'!$B:$B,'Category Table'!$A41)</f>
        <v/>
      </c>
      <c r="AC41" s="114">
        <f>SUMIFS('Committments Dump'!$S:$S,'Committments Dump'!$C:$C,'Category Table'!AC$2,'Committments Dump'!$B:$B,'Category Table'!$A41)</f>
        <v/>
      </c>
      <c r="AD41" s="113">
        <f>U41+X41+AA41</f>
        <v/>
      </c>
      <c r="AE41" s="114">
        <f>V41+Y41+AB41</f>
        <v/>
      </c>
      <c r="AF41" s="114">
        <f>W41+Z41+AC41</f>
        <v/>
      </c>
      <c r="AG41" s="113">
        <f>R41+AD41</f>
        <v/>
      </c>
      <c r="AH41" s="114">
        <f>S41+AE41</f>
        <v/>
      </c>
      <c r="AI41" s="114">
        <f>T41+AF41</f>
        <v/>
      </c>
      <c r="AJ41" s="113" t="n"/>
      <c r="AK41" s="114" t="n"/>
      <c r="AL41" s="114" t="n"/>
      <c r="AM41" s="113">
        <f>(O41-AG41)+AJ41</f>
        <v/>
      </c>
      <c r="AN41" s="114">
        <f>(P41-AH41)+AK41</f>
        <v/>
      </c>
      <c r="AO41" s="114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11" t="n">
        <v>0</v>
      </c>
      <c r="D42" s="112" t="n">
        <v>0</v>
      </c>
      <c r="E42" s="112" t="n">
        <v>0</v>
      </c>
      <c r="F42" s="111" t="n">
        <v>0</v>
      </c>
      <c r="G42" s="112" t="n"/>
      <c r="H42" s="112" t="n">
        <v>0</v>
      </c>
      <c r="I42" s="111" t="n">
        <v>0</v>
      </c>
      <c r="J42" s="112" t="n">
        <v>0</v>
      </c>
      <c r="K42" s="112" t="n">
        <v>0</v>
      </c>
      <c r="L42" s="111" t="n">
        <v>0</v>
      </c>
      <c r="M42" s="112" t="n">
        <v>0</v>
      </c>
      <c r="N42" s="112" t="n">
        <v>0</v>
      </c>
      <c r="O42" s="111">
        <f>L42+I42+F42+C42</f>
        <v/>
      </c>
      <c r="P42" s="112">
        <f>M42+J42+G42+D42</f>
        <v/>
      </c>
      <c r="Q42" s="112">
        <f>N42+K42+H42+E42</f>
        <v/>
      </c>
      <c r="R42" s="111">
        <f>SUMIFS('PO Log'!$E:$E,'PO Log'!$D:$D,'Category Table'!R$2,'PO Log'!$C:$C,'Category Table'!$A42)</f>
        <v/>
      </c>
      <c r="S42" s="112">
        <f>SUMIFS('PO Log'!$E:$E,'PO Log'!$D:$D,'Category Table'!S$2,'PO Log'!$C:$C,'Category Table'!$A42)</f>
        <v/>
      </c>
      <c r="T42" s="112">
        <f>SUMIFS('PO Log'!$E:$E,'PO Log'!$D:$D,'Category Table'!T$2,'PO Log'!$C:$C,'Category Table'!$A42)</f>
        <v/>
      </c>
      <c r="U42" s="111">
        <f>SUMIFS('Committments Dump'!$Q:$Q,'Committments Dump'!$C:$C,'Category Table'!U$2,'Committments Dump'!$B:$B,'Category Table'!$A42)</f>
        <v/>
      </c>
      <c r="V42" s="112">
        <f>SUMIFS('Committments Dump'!$Q:$Q,'Committments Dump'!$C:$C,'Category Table'!V$2,'Committments Dump'!$B:$B,'Category Table'!$A42)</f>
        <v/>
      </c>
      <c r="W42" s="112">
        <f>SUMIFS('Committments Dump'!$Q:$Q,'Committments Dump'!$C:$C,'Category Table'!W$2,'Committments Dump'!$B:$B,'Category Table'!$A42)</f>
        <v/>
      </c>
      <c r="X42" s="111">
        <f>SUMIFS('Committments Dump'!$R:$R,'Committments Dump'!$C:$C,'Category Table'!X$2,'Committments Dump'!$B:$B,'Category Table'!$A42)</f>
        <v/>
      </c>
      <c r="Y42" s="112">
        <f>SUMIFS('Committments Dump'!$R:$R,'Committments Dump'!$C:$C,'Category Table'!Y$2,'Committments Dump'!$B:$B,'Category Table'!$A42)</f>
        <v/>
      </c>
      <c r="Z42" s="112">
        <f>SUMIFS('Committments Dump'!$R:$R,'Committments Dump'!$C:$C,'Category Table'!Z$2,'Committments Dump'!$B:$B,'Category Table'!$A42)</f>
        <v/>
      </c>
      <c r="AA42" s="111">
        <f>SUMIFS('Committments Dump'!$S:$S,'Committments Dump'!$C:$C,'Category Table'!AA$2,'Committments Dump'!$B:$B,'Category Table'!$A42)</f>
        <v/>
      </c>
      <c r="AB42" s="112">
        <f>SUMIFS('Committments Dump'!$S:$S,'Committments Dump'!$C:$C,'Category Table'!AB$2,'Committments Dump'!$B:$B,'Category Table'!$A42)</f>
        <v/>
      </c>
      <c r="AC42" s="112">
        <f>SUMIFS('Committments Dump'!$S:$S,'Committments Dump'!$C:$C,'Category Table'!AC$2,'Committments Dump'!$B:$B,'Category Table'!$A42)</f>
        <v/>
      </c>
      <c r="AD42" s="111">
        <f>U42+X42+AA42</f>
        <v/>
      </c>
      <c r="AE42" s="112">
        <f>V42+Y42+AB42</f>
        <v/>
      </c>
      <c r="AF42" s="112">
        <f>W42+Z42+AC42</f>
        <v/>
      </c>
      <c r="AG42" s="111">
        <f>R42+AD42</f>
        <v/>
      </c>
      <c r="AH42" s="112">
        <f>S42+AE42</f>
        <v/>
      </c>
      <c r="AI42" s="112">
        <f>T42+AF42</f>
        <v/>
      </c>
      <c r="AJ42" s="111" t="n"/>
      <c r="AK42" s="112" t="n"/>
      <c r="AL42" s="112" t="n"/>
      <c r="AM42" s="111">
        <f>(O42-AG42)+AJ42</f>
        <v/>
      </c>
      <c r="AN42" s="112">
        <f>(P42-AH42)+AK42</f>
        <v/>
      </c>
      <c r="AO42" s="112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13" t="n">
        <v>0</v>
      </c>
      <c r="D43" s="114" t="n">
        <v>0</v>
      </c>
      <c r="E43" s="114" t="n">
        <v>0</v>
      </c>
      <c r="F43" s="113" t="n">
        <v>0</v>
      </c>
      <c r="G43" s="114" t="n">
        <v>389.511331250018</v>
      </c>
      <c r="H43" s="114" t="n">
        <v>32475</v>
      </c>
      <c r="I43" s="113" t="n">
        <v>0</v>
      </c>
      <c r="J43" s="114" t="n">
        <v>0</v>
      </c>
      <c r="K43" s="114" t="n">
        <v>0</v>
      </c>
      <c r="L43" s="113" t="n">
        <v>0</v>
      </c>
      <c r="M43" s="114" t="n">
        <v>0</v>
      </c>
      <c r="N43" s="114" t="n">
        <v>0</v>
      </c>
      <c r="O43" s="113">
        <f>L43+I43+F43+C43</f>
        <v/>
      </c>
      <c r="P43" s="114">
        <f>M43+J43+G43+D43</f>
        <v/>
      </c>
      <c r="Q43" s="114">
        <f>N43+K43+H43+E43</f>
        <v/>
      </c>
      <c r="R43" s="113">
        <f>SUMIFS('PO Log'!$E:$E,'PO Log'!$D:$D,'Category Table'!R$2,'PO Log'!$C:$C,'Category Table'!$A43)</f>
        <v/>
      </c>
      <c r="S43" s="114">
        <f>SUMIFS('PO Log'!$E:$E,'PO Log'!$D:$D,'Category Table'!S$2,'PO Log'!$C:$C,'Category Table'!$A43)</f>
        <v/>
      </c>
      <c r="T43" s="114">
        <f>SUMIFS('PO Log'!$E:$E,'PO Log'!$D:$D,'Category Table'!T$2,'PO Log'!$C:$C,'Category Table'!$A43)</f>
        <v/>
      </c>
      <c r="U43" s="113">
        <f>SUMIFS('Committments Dump'!$Q:$Q,'Committments Dump'!$C:$C,'Category Table'!U$2,'Committments Dump'!$B:$B,'Category Table'!$A43)</f>
        <v/>
      </c>
      <c r="V43" s="114">
        <f>SUMIFS('Committments Dump'!$Q:$Q,'Committments Dump'!$C:$C,'Category Table'!V$2,'Committments Dump'!$B:$B,'Category Table'!$A43)</f>
        <v/>
      </c>
      <c r="W43" s="114">
        <f>SUMIFS('Committments Dump'!$Q:$Q,'Committments Dump'!$C:$C,'Category Table'!W$2,'Committments Dump'!$B:$B,'Category Table'!$A43)</f>
        <v/>
      </c>
      <c r="X43" s="113">
        <f>SUMIFS('Committments Dump'!$R:$R,'Committments Dump'!$C:$C,'Category Table'!X$2,'Committments Dump'!$B:$B,'Category Table'!$A43)</f>
        <v/>
      </c>
      <c r="Y43" s="114">
        <f>SUMIFS('Committments Dump'!$R:$R,'Committments Dump'!$C:$C,'Category Table'!Y$2,'Committments Dump'!$B:$B,'Category Table'!$A43)</f>
        <v/>
      </c>
      <c r="Z43" s="114">
        <f>SUMIFS('Committments Dump'!$R:$R,'Committments Dump'!$C:$C,'Category Table'!Z$2,'Committments Dump'!$B:$B,'Category Table'!$A43)</f>
        <v/>
      </c>
      <c r="AA43" s="113">
        <f>SUMIFS('Committments Dump'!$S:$S,'Committments Dump'!$C:$C,'Category Table'!AA$2,'Committments Dump'!$B:$B,'Category Table'!$A43)</f>
        <v/>
      </c>
      <c r="AB43" s="114">
        <f>SUMIFS('Committments Dump'!$S:$S,'Committments Dump'!$C:$C,'Category Table'!AB$2,'Committments Dump'!$B:$B,'Category Table'!$A43)</f>
        <v/>
      </c>
      <c r="AC43" s="114">
        <f>SUMIFS('Committments Dump'!$S:$S,'Committments Dump'!$C:$C,'Category Table'!AC$2,'Committments Dump'!$B:$B,'Category Table'!$A43)</f>
        <v/>
      </c>
      <c r="AD43" s="113">
        <f>U43+X43+AA43</f>
        <v/>
      </c>
      <c r="AE43" s="114">
        <f>V43+Y43+AB43</f>
        <v/>
      </c>
      <c r="AF43" s="114">
        <f>W43+Z43+AC43</f>
        <v/>
      </c>
      <c r="AG43" s="113">
        <f>R43+AD43</f>
        <v/>
      </c>
      <c r="AH43" s="114">
        <f>S43+AE43</f>
        <v/>
      </c>
      <c r="AI43" s="114">
        <f>T43+AF43</f>
        <v/>
      </c>
      <c r="AJ43" s="113" t="n"/>
      <c r="AK43" s="114" t="n"/>
      <c r="AL43" s="114" t="n"/>
      <c r="AM43" s="113">
        <f>(O43-AG43)+AJ43</f>
        <v/>
      </c>
      <c r="AN43" s="114">
        <f>(P43-AH43)+AK43</f>
        <v/>
      </c>
      <c r="AO43" s="114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11" t="n">
        <v>0</v>
      </c>
      <c r="D44" s="112" t="n">
        <v>0</v>
      </c>
      <c r="E44" s="112" t="n">
        <v>0</v>
      </c>
      <c r="F44" s="111" t="n">
        <v>0</v>
      </c>
      <c r="G44" s="112" t="n">
        <v>0</v>
      </c>
      <c r="H44" s="112" t="n">
        <v>0</v>
      </c>
      <c r="I44" s="111" t="n">
        <v>0</v>
      </c>
      <c r="J44" s="112" t="n">
        <v>0</v>
      </c>
      <c r="K44" s="112" t="n">
        <v>0</v>
      </c>
      <c r="L44" s="111" t="n">
        <v>0</v>
      </c>
      <c r="M44" s="112" t="n">
        <v>0</v>
      </c>
      <c r="N44" s="112" t="n">
        <v>0</v>
      </c>
      <c r="O44" s="111">
        <f>L44+I44+F44+C44</f>
        <v/>
      </c>
      <c r="P44" s="112">
        <f>M44+J44+G44+D44</f>
        <v/>
      </c>
      <c r="Q44" s="112">
        <f>N44+K44+H44+E44</f>
        <v/>
      </c>
      <c r="R44" s="111">
        <f>SUMIFS('PO Log'!$E:$E,'PO Log'!$D:$D,'Category Table'!R$2,'PO Log'!$C:$C,'Category Table'!$A44)</f>
        <v/>
      </c>
      <c r="S44" s="112">
        <f>SUMIFS('PO Log'!$E:$E,'PO Log'!$D:$D,'Category Table'!S$2,'PO Log'!$C:$C,'Category Table'!$A44)</f>
        <v/>
      </c>
      <c r="T44" s="112">
        <f>SUMIFS('PO Log'!$E:$E,'PO Log'!$D:$D,'Category Table'!T$2,'PO Log'!$C:$C,'Category Table'!$A44)</f>
        <v/>
      </c>
      <c r="U44" s="111">
        <f>SUMIFS('Committments Dump'!$Q:$Q,'Committments Dump'!$C:$C,'Category Table'!U$2,'Committments Dump'!$B:$B,'Category Table'!$A44)</f>
        <v/>
      </c>
      <c r="V44" s="112">
        <f>SUMIFS('Committments Dump'!$Q:$Q,'Committments Dump'!$C:$C,'Category Table'!V$2,'Committments Dump'!$B:$B,'Category Table'!$A44)</f>
        <v/>
      </c>
      <c r="W44" s="112">
        <f>SUMIFS('Committments Dump'!$Q:$Q,'Committments Dump'!$C:$C,'Category Table'!W$2,'Committments Dump'!$B:$B,'Category Table'!$A44)</f>
        <v/>
      </c>
      <c r="X44" s="111">
        <f>SUMIFS('Committments Dump'!$R:$R,'Committments Dump'!$C:$C,'Category Table'!X$2,'Committments Dump'!$B:$B,'Category Table'!$A44)</f>
        <v/>
      </c>
      <c r="Y44" s="112">
        <f>SUMIFS('Committments Dump'!$R:$R,'Committments Dump'!$C:$C,'Category Table'!Y$2,'Committments Dump'!$B:$B,'Category Table'!$A44)</f>
        <v/>
      </c>
      <c r="Z44" s="112">
        <f>SUMIFS('Committments Dump'!$R:$R,'Committments Dump'!$C:$C,'Category Table'!Z$2,'Committments Dump'!$B:$B,'Category Table'!$A44)</f>
        <v/>
      </c>
      <c r="AA44" s="111">
        <f>SUMIFS('Committments Dump'!$S:$S,'Committments Dump'!$C:$C,'Category Table'!AA$2,'Committments Dump'!$B:$B,'Category Table'!$A44)</f>
        <v/>
      </c>
      <c r="AB44" s="112">
        <f>SUMIFS('Committments Dump'!$S:$S,'Committments Dump'!$C:$C,'Category Table'!AB$2,'Committments Dump'!$B:$B,'Category Table'!$A44)</f>
        <v/>
      </c>
      <c r="AC44" s="112">
        <f>SUMIFS('Committments Dump'!$S:$S,'Committments Dump'!$C:$C,'Category Table'!AC$2,'Committments Dump'!$B:$B,'Category Table'!$A44)</f>
        <v/>
      </c>
      <c r="AD44" s="111">
        <f>U44+X44+AA44</f>
        <v/>
      </c>
      <c r="AE44" s="112">
        <f>V44+Y44+AB44</f>
        <v/>
      </c>
      <c r="AF44" s="112">
        <f>W44+Z44+AC44</f>
        <v/>
      </c>
      <c r="AG44" s="111">
        <f>R44+AD44</f>
        <v/>
      </c>
      <c r="AH44" s="112">
        <f>S44+AE44</f>
        <v/>
      </c>
      <c r="AI44" s="112">
        <f>T44+AF44</f>
        <v/>
      </c>
      <c r="AJ44" s="111" t="n"/>
      <c r="AK44" s="112" t="n"/>
      <c r="AL44" s="112" t="n"/>
      <c r="AM44" s="111">
        <f>(O44-AG44)+AJ44</f>
        <v/>
      </c>
      <c r="AN44" s="112">
        <f>(P44-AH44)+AK44</f>
        <v/>
      </c>
      <c r="AO44" s="112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13" t="n">
        <v>0</v>
      </c>
      <c r="D45" s="114" t="n">
        <v>0</v>
      </c>
      <c r="E45" s="114" t="n">
        <v>0</v>
      </c>
      <c r="F45" s="113" t="n">
        <v>0</v>
      </c>
      <c r="G45" s="114" t="n">
        <v>0</v>
      </c>
      <c r="H45" s="114" t="n">
        <v>0</v>
      </c>
      <c r="I45" s="113" t="n">
        <v>0</v>
      </c>
      <c r="J45" s="114" t="n">
        <v>0</v>
      </c>
      <c r="K45" s="114" t="n">
        <v>0</v>
      </c>
      <c r="L45" s="113" t="n">
        <v>0</v>
      </c>
      <c r="M45" s="114" t="n">
        <v>0</v>
      </c>
      <c r="N45" s="114" t="n">
        <v>0</v>
      </c>
      <c r="O45" s="113">
        <f>L45+I45+F45+C45</f>
        <v/>
      </c>
      <c r="P45" s="114">
        <f>M45+J45+G45+D45</f>
        <v/>
      </c>
      <c r="Q45" s="114">
        <f>N45+K45+H45+E45</f>
        <v/>
      </c>
      <c r="R45" s="113">
        <f>SUMIFS('PO Log'!$E:$E,'PO Log'!$D:$D,'Category Table'!R$2,'PO Log'!$C:$C,'Category Table'!$A45)</f>
        <v/>
      </c>
      <c r="S45" s="114">
        <f>SUMIFS('PO Log'!$E:$E,'PO Log'!$D:$D,'Category Table'!S$2,'PO Log'!$C:$C,'Category Table'!$A45)</f>
        <v/>
      </c>
      <c r="T45" s="114">
        <f>SUMIFS('PO Log'!$E:$E,'PO Log'!$D:$D,'Category Table'!T$2,'PO Log'!$C:$C,'Category Table'!$A45)</f>
        <v/>
      </c>
      <c r="U45" s="113">
        <f>SUMIFS('Committments Dump'!$Q:$Q,'Committments Dump'!$C:$C,'Category Table'!U$2,'Committments Dump'!$B:$B,'Category Table'!$A45)</f>
        <v/>
      </c>
      <c r="V45" s="114">
        <f>SUMIFS('Committments Dump'!$Q:$Q,'Committments Dump'!$C:$C,'Category Table'!V$2,'Committments Dump'!$B:$B,'Category Table'!$A45)</f>
        <v/>
      </c>
      <c r="W45" s="114">
        <f>SUMIFS('Committments Dump'!$Q:$Q,'Committments Dump'!$C:$C,'Category Table'!W$2,'Committments Dump'!$B:$B,'Category Table'!$A45)</f>
        <v/>
      </c>
      <c r="X45" s="113">
        <f>SUMIFS('Committments Dump'!$R:$R,'Committments Dump'!$C:$C,'Category Table'!X$2,'Committments Dump'!$B:$B,'Category Table'!$A45)</f>
        <v/>
      </c>
      <c r="Y45" s="114">
        <f>SUMIFS('Committments Dump'!$R:$R,'Committments Dump'!$C:$C,'Category Table'!Y$2,'Committments Dump'!$B:$B,'Category Table'!$A45)</f>
        <v/>
      </c>
      <c r="Z45" s="114">
        <f>SUMIFS('Committments Dump'!$R:$R,'Committments Dump'!$C:$C,'Category Table'!Z$2,'Committments Dump'!$B:$B,'Category Table'!$A45)</f>
        <v/>
      </c>
      <c r="AA45" s="113">
        <f>SUMIFS('Committments Dump'!$S:$S,'Committments Dump'!$C:$C,'Category Table'!AA$2,'Committments Dump'!$B:$B,'Category Table'!$A45)</f>
        <v/>
      </c>
      <c r="AB45" s="114">
        <f>SUMIFS('Committments Dump'!$S:$S,'Committments Dump'!$C:$C,'Category Table'!AB$2,'Committments Dump'!$B:$B,'Category Table'!$A45)</f>
        <v/>
      </c>
      <c r="AC45" s="114">
        <f>SUMIFS('Committments Dump'!$S:$S,'Committments Dump'!$C:$C,'Category Table'!AC$2,'Committments Dump'!$B:$B,'Category Table'!$A45)</f>
        <v/>
      </c>
      <c r="AD45" s="113">
        <f>U45+X45+AA45</f>
        <v/>
      </c>
      <c r="AE45" s="114">
        <f>V45+Y45+AB45</f>
        <v/>
      </c>
      <c r="AF45" s="114">
        <f>W45+Z45+AC45</f>
        <v/>
      </c>
      <c r="AG45" s="113">
        <f>R45+AD45</f>
        <v/>
      </c>
      <c r="AH45" s="114">
        <f>S45+AE45</f>
        <v/>
      </c>
      <c r="AI45" s="114">
        <f>T45+AF45</f>
        <v/>
      </c>
      <c r="AJ45" s="113" t="n"/>
      <c r="AK45" s="114" t="n"/>
      <c r="AL45" s="114" t="n"/>
      <c r="AM45" s="113">
        <f>(O45-AG45)+AJ45</f>
        <v/>
      </c>
      <c r="AN45" s="114">
        <f>(P45-AH45)+AK45</f>
        <v/>
      </c>
      <c r="AO45" s="114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11" t="n">
        <v>0</v>
      </c>
      <c r="D46" s="112" t="n">
        <v>0</v>
      </c>
      <c r="E46" s="112" t="n">
        <v>0</v>
      </c>
      <c r="F46" s="111" t="n">
        <v>0</v>
      </c>
      <c r="G46" s="112" t="n">
        <v>0</v>
      </c>
      <c r="H46" s="112" t="n">
        <v>0</v>
      </c>
      <c r="I46" s="111" t="n">
        <v>0</v>
      </c>
      <c r="J46" s="112" t="n">
        <v>0</v>
      </c>
      <c r="K46" s="112" t="n">
        <v>0</v>
      </c>
      <c r="L46" s="111" t="n">
        <v>0</v>
      </c>
      <c r="M46" s="112" t="n">
        <v>0</v>
      </c>
      <c r="N46" s="112" t="n">
        <v>0</v>
      </c>
      <c r="O46" s="111">
        <f>L46+I46+F46+C46</f>
        <v/>
      </c>
      <c r="P46" s="112">
        <f>M46+J46+G46+D46</f>
        <v/>
      </c>
      <c r="Q46" s="112">
        <f>N46+K46+H46+E46</f>
        <v/>
      </c>
      <c r="R46" s="111">
        <f>SUMIFS('PO Log'!$E:$E,'PO Log'!$D:$D,'Category Table'!R$2,'PO Log'!$C:$C,'Category Table'!$A46)</f>
        <v/>
      </c>
      <c r="S46" s="112">
        <f>SUMIFS('PO Log'!$E:$E,'PO Log'!$D:$D,'Category Table'!S$2,'PO Log'!$C:$C,'Category Table'!$A46)</f>
        <v/>
      </c>
      <c r="T46" s="112">
        <f>SUMIFS('PO Log'!$E:$E,'PO Log'!$D:$D,'Category Table'!T$2,'PO Log'!$C:$C,'Category Table'!$A46)</f>
        <v/>
      </c>
      <c r="U46" s="111">
        <f>SUMIFS('Committments Dump'!$Q:$Q,'Committments Dump'!$C:$C,'Category Table'!U$2,'Committments Dump'!$B:$B,'Category Table'!$A46)</f>
        <v/>
      </c>
      <c r="V46" s="112">
        <f>SUMIFS('Committments Dump'!$Q:$Q,'Committments Dump'!$C:$C,'Category Table'!V$2,'Committments Dump'!$B:$B,'Category Table'!$A46)</f>
        <v/>
      </c>
      <c r="W46" s="112">
        <f>SUMIFS('Committments Dump'!$Q:$Q,'Committments Dump'!$C:$C,'Category Table'!W$2,'Committments Dump'!$B:$B,'Category Table'!$A46)</f>
        <v/>
      </c>
      <c r="X46" s="111">
        <f>SUMIFS('Committments Dump'!$R:$R,'Committments Dump'!$C:$C,'Category Table'!X$2,'Committments Dump'!$B:$B,'Category Table'!$A46)</f>
        <v/>
      </c>
      <c r="Y46" s="112">
        <f>SUMIFS('Committments Dump'!$R:$R,'Committments Dump'!$C:$C,'Category Table'!Y$2,'Committments Dump'!$B:$B,'Category Table'!$A46)</f>
        <v/>
      </c>
      <c r="Z46" s="112">
        <f>SUMIFS('Committments Dump'!$R:$R,'Committments Dump'!$C:$C,'Category Table'!Z$2,'Committments Dump'!$B:$B,'Category Table'!$A46)</f>
        <v/>
      </c>
      <c r="AA46" s="111">
        <f>SUMIFS('Committments Dump'!$S:$S,'Committments Dump'!$C:$C,'Category Table'!AA$2,'Committments Dump'!$B:$B,'Category Table'!$A46)</f>
        <v/>
      </c>
      <c r="AB46" s="112">
        <f>SUMIFS('Committments Dump'!$S:$S,'Committments Dump'!$C:$C,'Category Table'!AB$2,'Committments Dump'!$B:$B,'Category Table'!$A46)</f>
        <v/>
      </c>
      <c r="AC46" s="112">
        <f>SUMIFS('Committments Dump'!$S:$S,'Committments Dump'!$C:$C,'Category Table'!AC$2,'Committments Dump'!$B:$B,'Category Table'!$A46)</f>
        <v/>
      </c>
      <c r="AD46" s="111">
        <f>U46+X46+AA46</f>
        <v/>
      </c>
      <c r="AE46" s="112">
        <f>V46+Y46+AB46</f>
        <v/>
      </c>
      <c r="AF46" s="112">
        <f>W46+Z46+AC46</f>
        <v/>
      </c>
      <c r="AG46" s="111">
        <f>R46+AD46</f>
        <v/>
      </c>
      <c r="AH46" s="112">
        <f>S46+AE46</f>
        <v/>
      </c>
      <c r="AI46" s="112">
        <f>T46+AF46</f>
        <v/>
      </c>
      <c r="AJ46" s="111" t="n"/>
      <c r="AK46" s="112" t="n"/>
      <c r="AL46" s="112" t="n"/>
      <c r="AM46" s="111">
        <f>(O46-AG46)+AJ46</f>
        <v/>
      </c>
      <c r="AN46" s="112">
        <f>(P46-AH46)+AK46</f>
        <v/>
      </c>
      <c r="AO46" s="112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13" t="n">
        <v>0</v>
      </c>
      <c r="D47" s="114" t="n">
        <v>0</v>
      </c>
      <c r="E47" s="114" t="n">
        <v>0</v>
      </c>
      <c r="F47" s="113" t="n">
        <v>0</v>
      </c>
      <c r="G47" s="114" t="n">
        <v>0</v>
      </c>
      <c r="H47" s="114" t="n">
        <v>0</v>
      </c>
      <c r="I47" s="113" t="n">
        <v>0</v>
      </c>
      <c r="J47" s="114" t="n">
        <v>0</v>
      </c>
      <c r="K47" s="114" t="n">
        <v>0</v>
      </c>
      <c r="L47" s="113" t="n">
        <v>0</v>
      </c>
      <c r="M47" s="114" t="n">
        <v>0</v>
      </c>
      <c r="N47" s="114" t="n">
        <v>0</v>
      </c>
      <c r="O47" s="113">
        <f>L47+I47+F47+C47</f>
        <v/>
      </c>
      <c r="P47" s="114">
        <f>M47+J47+G47+D47</f>
        <v/>
      </c>
      <c r="Q47" s="114">
        <f>N47+K47+H47+E47</f>
        <v/>
      </c>
      <c r="R47" s="113">
        <f>SUMIFS('PO Log'!$E:$E,'PO Log'!$D:$D,'Category Table'!R$2,'PO Log'!$C:$C,'Category Table'!$A47)</f>
        <v/>
      </c>
      <c r="S47" s="114">
        <f>SUMIFS('PO Log'!$E:$E,'PO Log'!$D:$D,'Category Table'!S$2,'PO Log'!$C:$C,'Category Table'!$A47)</f>
        <v/>
      </c>
      <c r="T47" s="114">
        <f>SUMIFS('PO Log'!$E:$E,'PO Log'!$D:$D,'Category Table'!T$2,'PO Log'!$C:$C,'Category Table'!$A47)</f>
        <v/>
      </c>
      <c r="U47" s="113">
        <f>SUMIFS('Committments Dump'!$Q:$Q,'Committments Dump'!$C:$C,'Category Table'!U$2,'Committments Dump'!$B:$B,'Category Table'!$A47)</f>
        <v/>
      </c>
      <c r="V47" s="114">
        <f>SUMIFS('Committments Dump'!$Q:$Q,'Committments Dump'!$C:$C,'Category Table'!V$2,'Committments Dump'!$B:$B,'Category Table'!$A47)</f>
        <v/>
      </c>
      <c r="W47" s="114">
        <f>SUMIFS('Committments Dump'!$Q:$Q,'Committments Dump'!$C:$C,'Category Table'!W$2,'Committments Dump'!$B:$B,'Category Table'!$A47)</f>
        <v/>
      </c>
      <c r="X47" s="113">
        <f>SUMIFS('Committments Dump'!$R:$R,'Committments Dump'!$C:$C,'Category Table'!X$2,'Committments Dump'!$B:$B,'Category Table'!$A47)</f>
        <v/>
      </c>
      <c r="Y47" s="114">
        <f>SUMIFS('Committments Dump'!$R:$R,'Committments Dump'!$C:$C,'Category Table'!Y$2,'Committments Dump'!$B:$B,'Category Table'!$A47)</f>
        <v/>
      </c>
      <c r="Z47" s="114">
        <f>SUMIFS('Committments Dump'!$R:$R,'Committments Dump'!$C:$C,'Category Table'!Z$2,'Committments Dump'!$B:$B,'Category Table'!$A47)</f>
        <v/>
      </c>
      <c r="AA47" s="113">
        <f>SUMIFS('Committments Dump'!$S:$S,'Committments Dump'!$C:$C,'Category Table'!AA$2,'Committments Dump'!$B:$B,'Category Table'!$A47)</f>
        <v/>
      </c>
      <c r="AB47" s="114">
        <f>SUMIFS('Committments Dump'!$S:$S,'Committments Dump'!$C:$C,'Category Table'!AB$2,'Committments Dump'!$B:$B,'Category Table'!$A47)</f>
        <v/>
      </c>
      <c r="AC47" s="114">
        <f>SUMIFS('Committments Dump'!$S:$S,'Committments Dump'!$C:$C,'Category Table'!AC$2,'Committments Dump'!$B:$B,'Category Table'!$A47)</f>
        <v/>
      </c>
      <c r="AD47" s="113">
        <f>U47+X47+AA47</f>
        <v/>
      </c>
      <c r="AE47" s="114">
        <f>V47+Y47+AB47</f>
        <v/>
      </c>
      <c r="AF47" s="114">
        <f>W47+Z47+AC47</f>
        <v/>
      </c>
      <c r="AG47" s="113">
        <f>R47+AD47</f>
        <v/>
      </c>
      <c r="AH47" s="114">
        <f>S47+AE47</f>
        <v/>
      </c>
      <c r="AI47" s="114">
        <f>T47+AF47</f>
        <v/>
      </c>
      <c r="AJ47" s="113" t="n"/>
      <c r="AK47" s="114" t="n"/>
      <c r="AL47" s="114" t="n"/>
      <c r="AM47" s="113">
        <f>(O47-AG47)+AJ47</f>
        <v/>
      </c>
      <c r="AN47" s="114">
        <f>(P47-AH47)+AK47</f>
        <v/>
      </c>
      <c r="AO47" s="114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11" t="n">
        <v>0</v>
      </c>
      <c r="D48" s="112" t="n">
        <v>0</v>
      </c>
      <c r="E48" s="112" t="n">
        <v>0</v>
      </c>
      <c r="F48" s="111" t="n">
        <v>0</v>
      </c>
      <c r="G48" s="112" t="n">
        <v>0</v>
      </c>
      <c r="H48" s="112" t="n">
        <v>0</v>
      </c>
      <c r="I48" s="111" t="n">
        <v>0</v>
      </c>
      <c r="J48" s="112" t="n">
        <v>0</v>
      </c>
      <c r="K48" s="112" t="n">
        <v>0</v>
      </c>
      <c r="L48" s="111" t="n">
        <v>0</v>
      </c>
      <c r="M48" s="112" t="n">
        <v>0</v>
      </c>
      <c r="N48" s="112" t="n">
        <v>0</v>
      </c>
      <c r="O48" s="111">
        <f>L48+I48+F48+C48</f>
        <v/>
      </c>
      <c r="P48" s="112">
        <f>M48+J48+G48+D48</f>
        <v/>
      </c>
      <c r="Q48" s="112">
        <f>N48+K48+H48+E48</f>
        <v/>
      </c>
      <c r="R48" s="111">
        <f>SUMIFS('PO Log'!$E:$E,'PO Log'!$D:$D,'Category Table'!R$2,'PO Log'!$C:$C,'Category Table'!$A48)</f>
        <v/>
      </c>
      <c r="S48" s="112">
        <f>SUMIFS('PO Log'!$E:$E,'PO Log'!$D:$D,'Category Table'!S$2,'PO Log'!$C:$C,'Category Table'!$A48)</f>
        <v/>
      </c>
      <c r="T48" s="112">
        <f>SUMIFS('PO Log'!$E:$E,'PO Log'!$D:$D,'Category Table'!T$2,'PO Log'!$C:$C,'Category Table'!$A48)</f>
        <v/>
      </c>
      <c r="U48" s="111">
        <f>SUMIFS('Committments Dump'!$Q:$Q,'Committments Dump'!$C:$C,'Category Table'!U$2,'Committments Dump'!$B:$B,'Category Table'!$A48)</f>
        <v/>
      </c>
      <c r="V48" s="112">
        <f>SUMIFS('Committments Dump'!$Q:$Q,'Committments Dump'!$C:$C,'Category Table'!V$2,'Committments Dump'!$B:$B,'Category Table'!$A48)</f>
        <v/>
      </c>
      <c r="W48" s="112">
        <f>SUMIFS('Committments Dump'!$Q:$Q,'Committments Dump'!$C:$C,'Category Table'!W$2,'Committments Dump'!$B:$B,'Category Table'!$A48)</f>
        <v/>
      </c>
      <c r="X48" s="111">
        <f>SUMIFS('Committments Dump'!$R:$R,'Committments Dump'!$C:$C,'Category Table'!X$2,'Committments Dump'!$B:$B,'Category Table'!$A48)</f>
        <v/>
      </c>
      <c r="Y48" s="112">
        <f>SUMIFS('Committments Dump'!$R:$R,'Committments Dump'!$C:$C,'Category Table'!Y$2,'Committments Dump'!$B:$B,'Category Table'!$A48)</f>
        <v/>
      </c>
      <c r="Z48" s="112">
        <f>SUMIFS('Committments Dump'!$R:$R,'Committments Dump'!$C:$C,'Category Table'!Z$2,'Committments Dump'!$B:$B,'Category Table'!$A48)</f>
        <v/>
      </c>
      <c r="AA48" s="111">
        <f>SUMIFS('Committments Dump'!$S:$S,'Committments Dump'!$C:$C,'Category Table'!AA$2,'Committments Dump'!$B:$B,'Category Table'!$A48)</f>
        <v/>
      </c>
      <c r="AB48" s="112">
        <f>SUMIFS('Committments Dump'!$S:$S,'Committments Dump'!$C:$C,'Category Table'!AB$2,'Committments Dump'!$B:$B,'Category Table'!$A48)</f>
        <v/>
      </c>
      <c r="AC48" s="112">
        <f>SUMIFS('Committments Dump'!$S:$S,'Committments Dump'!$C:$C,'Category Table'!AC$2,'Committments Dump'!$B:$B,'Category Table'!$A48)</f>
        <v/>
      </c>
      <c r="AD48" s="111">
        <f>U48+X48+AA48</f>
        <v/>
      </c>
      <c r="AE48" s="112">
        <f>V48+Y48+AB48</f>
        <v/>
      </c>
      <c r="AF48" s="112">
        <f>W48+Z48+AC48</f>
        <v/>
      </c>
      <c r="AG48" s="111">
        <f>R48+AD48</f>
        <v/>
      </c>
      <c r="AH48" s="112">
        <f>S48+AE48</f>
        <v/>
      </c>
      <c r="AI48" s="112">
        <f>T48+AF48</f>
        <v/>
      </c>
      <c r="AJ48" s="111" t="n"/>
      <c r="AK48" s="112" t="n"/>
      <c r="AL48" s="112" t="n"/>
      <c r="AM48" s="111">
        <f>(O48-AG48)+AJ48</f>
        <v/>
      </c>
      <c r="AN48" s="112">
        <f>(P48-AH48)+AK48</f>
        <v/>
      </c>
      <c r="AO48" s="112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13" t="n">
        <v>0</v>
      </c>
      <c r="D49" s="114" t="n">
        <v>0</v>
      </c>
      <c r="E49" s="114" t="n">
        <v>0</v>
      </c>
      <c r="F49" s="113" t="n">
        <v>0</v>
      </c>
      <c r="G49" s="114" t="n">
        <v>0</v>
      </c>
      <c r="H49" s="114" t="n">
        <v>0</v>
      </c>
      <c r="I49" s="113" t="n">
        <v>0</v>
      </c>
      <c r="J49" s="114" t="n">
        <v>0</v>
      </c>
      <c r="K49" s="114" t="n">
        <v>0</v>
      </c>
      <c r="L49" s="113" t="n">
        <v>0</v>
      </c>
      <c r="M49" s="114" t="n">
        <v>0</v>
      </c>
      <c r="N49" s="114" t="n">
        <v>0</v>
      </c>
      <c r="O49" s="113">
        <f>L49+I49+F49+C49</f>
        <v/>
      </c>
      <c r="P49" s="114">
        <f>M49+J49+G49+D49</f>
        <v/>
      </c>
      <c r="Q49" s="114">
        <f>N49+K49+H49+E49</f>
        <v/>
      </c>
      <c r="R49" s="113">
        <f>SUMIFS('PO Log'!$E:$E,'PO Log'!$D:$D,'Category Table'!R$2,'PO Log'!$C:$C,'Category Table'!$A49)</f>
        <v/>
      </c>
      <c r="S49" s="114">
        <f>SUMIFS('PO Log'!$E:$E,'PO Log'!$D:$D,'Category Table'!S$2,'PO Log'!$C:$C,'Category Table'!$A49)</f>
        <v/>
      </c>
      <c r="T49" s="114">
        <f>SUMIFS('PO Log'!$E:$E,'PO Log'!$D:$D,'Category Table'!T$2,'PO Log'!$C:$C,'Category Table'!$A49)</f>
        <v/>
      </c>
      <c r="U49" s="113">
        <f>SUMIFS('Committments Dump'!$Q:$Q,'Committments Dump'!$C:$C,'Category Table'!U$2,'Committments Dump'!$B:$B,'Category Table'!$A49)</f>
        <v/>
      </c>
      <c r="V49" s="114">
        <f>SUMIFS('Committments Dump'!$Q:$Q,'Committments Dump'!$C:$C,'Category Table'!V$2,'Committments Dump'!$B:$B,'Category Table'!$A49)</f>
        <v/>
      </c>
      <c r="W49" s="114">
        <f>SUMIFS('Committments Dump'!$Q:$Q,'Committments Dump'!$C:$C,'Category Table'!W$2,'Committments Dump'!$B:$B,'Category Table'!$A49)</f>
        <v/>
      </c>
      <c r="X49" s="113">
        <f>SUMIFS('Committments Dump'!$R:$R,'Committments Dump'!$C:$C,'Category Table'!X$2,'Committments Dump'!$B:$B,'Category Table'!$A49)</f>
        <v/>
      </c>
      <c r="Y49" s="114">
        <f>SUMIFS('Committments Dump'!$R:$R,'Committments Dump'!$C:$C,'Category Table'!Y$2,'Committments Dump'!$B:$B,'Category Table'!$A49)</f>
        <v/>
      </c>
      <c r="Z49" s="114">
        <f>SUMIFS('Committments Dump'!$R:$R,'Committments Dump'!$C:$C,'Category Table'!Z$2,'Committments Dump'!$B:$B,'Category Table'!$A49)</f>
        <v/>
      </c>
      <c r="AA49" s="113">
        <f>SUMIFS('Committments Dump'!$S:$S,'Committments Dump'!$C:$C,'Category Table'!AA$2,'Committments Dump'!$B:$B,'Category Table'!$A49)</f>
        <v/>
      </c>
      <c r="AB49" s="114">
        <f>SUMIFS('Committments Dump'!$S:$S,'Committments Dump'!$C:$C,'Category Table'!AB$2,'Committments Dump'!$B:$B,'Category Table'!$A49)</f>
        <v/>
      </c>
      <c r="AC49" s="114">
        <f>SUMIFS('Committments Dump'!$S:$S,'Committments Dump'!$C:$C,'Category Table'!AC$2,'Committments Dump'!$B:$B,'Category Table'!$A49)</f>
        <v/>
      </c>
      <c r="AD49" s="113">
        <f>U49+X49+AA49</f>
        <v/>
      </c>
      <c r="AE49" s="114">
        <f>V49+Y49+AB49</f>
        <v/>
      </c>
      <c r="AF49" s="114">
        <f>W49+Z49+AC49</f>
        <v/>
      </c>
      <c r="AG49" s="113">
        <f>R49+AD49</f>
        <v/>
      </c>
      <c r="AH49" s="114">
        <f>S49+AE49</f>
        <v/>
      </c>
      <c r="AI49" s="114">
        <f>T49+AF49</f>
        <v/>
      </c>
      <c r="AJ49" s="113" t="n"/>
      <c r="AK49" s="114" t="n"/>
      <c r="AL49" s="114" t="n"/>
      <c r="AM49" s="113">
        <f>(O49-AG49)+AJ49</f>
        <v/>
      </c>
      <c r="AN49" s="114">
        <f>(P49-AH49)+AK49</f>
        <v/>
      </c>
      <c r="AO49" s="114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11" t="n">
        <v>0</v>
      </c>
      <c r="D50" s="112" t="n">
        <v>0</v>
      </c>
      <c r="E50" s="112" t="n">
        <v>0</v>
      </c>
      <c r="F50" s="111" t="n">
        <v>0</v>
      </c>
      <c r="G50" s="112" t="n">
        <v>0</v>
      </c>
      <c r="H50" s="112" t="n">
        <v>0</v>
      </c>
      <c r="I50" s="111" t="n">
        <v>0</v>
      </c>
      <c r="J50" s="112" t="n">
        <v>0</v>
      </c>
      <c r="K50" s="112" t="n">
        <v>0</v>
      </c>
      <c r="L50" s="111" t="n">
        <v>0</v>
      </c>
      <c r="M50" s="112" t="n">
        <v>0</v>
      </c>
      <c r="N50" s="112" t="n">
        <v>0</v>
      </c>
      <c r="O50" s="111">
        <f>L50+I50+F50+C50</f>
        <v/>
      </c>
      <c r="P50" s="112">
        <f>M50+J50+G50+D50</f>
        <v/>
      </c>
      <c r="Q50" s="112">
        <f>N50+K50+H50+E50</f>
        <v/>
      </c>
      <c r="R50" s="111">
        <f>SUMIFS('PO Log'!$E:$E,'PO Log'!$D:$D,'Category Table'!R$2,'PO Log'!$C:$C,'Category Table'!$A50)</f>
        <v/>
      </c>
      <c r="S50" s="112">
        <f>SUMIFS('PO Log'!$E:$E,'PO Log'!$D:$D,'Category Table'!S$2,'PO Log'!$C:$C,'Category Table'!$A50)</f>
        <v/>
      </c>
      <c r="T50" s="112">
        <f>SUMIFS('PO Log'!$E:$E,'PO Log'!$D:$D,'Category Table'!T$2,'PO Log'!$C:$C,'Category Table'!$A50)</f>
        <v/>
      </c>
      <c r="U50" s="111">
        <f>SUMIFS('Committments Dump'!$Q:$Q,'Committments Dump'!$C:$C,'Category Table'!U$2,'Committments Dump'!$B:$B,'Category Table'!$A50)</f>
        <v/>
      </c>
      <c r="V50" s="112">
        <f>SUMIFS('Committments Dump'!$Q:$Q,'Committments Dump'!$C:$C,'Category Table'!V$2,'Committments Dump'!$B:$B,'Category Table'!$A50)</f>
        <v/>
      </c>
      <c r="W50" s="112">
        <f>SUMIFS('Committments Dump'!$Q:$Q,'Committments Dump'!$C:$C,'Category Table'!W$2,'Committments Dump'!$B:$B,'Category Table'!$A50)</f>
        <v/>
      </c>
      <c r="X50" s="111">
        <f>SUMIFS('Committments Dump'!$R:$R,'Committments Dump'!$C:$C,'Category Table'!X$2,'Committments Dump'!$B:$B,'Category Table'!$A50)</f>
        <v/>
      </c>
      <c r="Y50" s="112">
        <f>SUMIFS('Committments Dump'!$R:$R,'Committments Dump'!$C:$C,'Category Table'!Y$2,'Committments Dump'!$B:$B,'Category Table'!$A50)</f>
        <v/>
      </c>
      <c r="Z50" s="112">
        <f>SUMIFS('Committments Dump'!$R:$R,'Committments Dump'!$C:$C,'Category Table'!Z$2,'Committments Dump'!$B:$B,'Category Table'!$A50)</f>
        <v/>
      </c>
      <c r="AA50" s="111">
        <f>SUMIFS('Committments Dump'!$S:$S,'Committments Dump'!$C:$C,'Category Table'!AA$2,'Committments Dump'!$B:$B,'Category Table'!$A50)</f>
        <v/>
      </c>
      <c r="AB50" s="112">
        <f>SUMIFS('Committments Dump'!$S:$S,'Committments Dump'!$C:$C,'Category Table'!AB$2,'Committments Dump'!$B:$B,'Category Table'!$A50)</f>
        <v/>
      </c>
      <c r="AC50" s="112">
        <f>SUMIFS('Committments Dump'!$S:$S,'Committments Dump'!$C:$C,'Category Table'!AC$2,'Committments Dump'!$B:$B,'Category Table'!$A50)</f>
        <v/>
      </c>
      <c r="AD50" s="111">
        <f>U50+X50+AA50</f>
        <v/>
      </c>
      <c r="AE50" s="112">
        <f>V50+Y50+AB50</f>
        <v/>
      </c>
      <c r="AF50" s="112">
        <f>W50+Z50+AC50</f>
        <v/>
      </c>
      <c r="AG50" s="111">
        <f>R50+AD50</f>
        <v/>
      </c>
      <c r="AH50" s="112">
        <f>S50+AE50</f>
        <v/>
      </c>
      <c r="AI50" s="112">
        <f>T50+AF50</f>
        <v/>
      </c>
      <c r="AJ50" s="111" t="n"/>
      <c r="AK50" s="112" t="n"/>
      <c r="AL50" s="112" t="n"/>
      <c r="AM50" s="111">
        <f>(O50-AG50)+AJ50</f>
        <v/>
      </c>
      <c r="AN50" s="112">
        <f>(P50-AH50)+AK50</f>
        <v/>
      </c>
      <c r="AO50" s="112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13" t="n">
        <v>0</v>
      </c>
      <c r="D51" s="114" t="n">
        <v>0</v>
      </c>
      <c r="E51" s="114" t="n">
        <v>0</v>
      </c>
      <c r="F51" s="113" t="n">
        <v>0</v>
      </c>
      <c r="G51" s="114" t="n">
        <v>0</v>
      </c>
      <c r="H51" s="114" t="n">
        <v>0</v>
      </c>
      <c r="I51" s="113" t="n">
        <v>0</v>
      </c>
      <c r="J51" s="114" t="n">
        <v>0</v>
      </c>
      <c r="K51" s="114" t="n">
        <v>0</v>
      </c>
      <c r="L51" s="113" t="n">
        <v>0</v>
      </c>
      <c r="M51" s="114" t="n">
        <v>0</v>
      </c>
      <c r="N51" s="114" t="n">
        <v>0</v>
      </c>
      <c r="O51" s="113">
        <f>L51+I51+F51+C51</f>
        <v/>
      </c>
      <c r="P51" s="114">
        <f>M51+J51+G51+D51</f>
        <v/>
      </c>
      <c r="Q51" s="114">
        <f>N51+K51+H51+E51</f>
        <v/>
      </c>
      <c r="R51" s="113">
        <f>SUMIFS('PO Log'!$E:$E,'PO Log'!$D:$D,'Category Table'!R$2,'PO Log'!$C:$C,'Category Table'!$A51)</f>
        <v/>
      </c>
      <c r="S51" s="114">
        <f>SUMIFS('PO Log'!$E:$E,'PO Log'!$D:$D,'Category Table'!S$2,'PO Log'!$C:$C,'Category Table'!$A51)</f>
        <v/>
      </c>
      <c r="T51" s="114">
        <f>SUMIFS('PO Log'!$E:$E,'PO Log'!$D:$D,'Category Table'!T$2,'PO Log'!$C:$C,'Category Table'!$A51)</f>
        <v/>
      </c>
      <c r="U51" s="113">
        <f>SUMIFS('Committments Dump'!$Q:$Q,'Committments Dump'!$C:$C,'Category Table'!U$2,'Committments Dump'!$B:$B,'Category Table'!$A51)</f>
        <v/>
      </c>
      <c r="V51" s="114">
        <f>SUMIFS('Committments Dump'!$Q:$Q,'Committments Dump'!$C:$C,'Category Table'!V$2,'Committments Dump'!$B:$B,'Category Table'!$A51)</f>
        <v/>
      </c>
      <c r="W51" s="114">
        <f>SUMIFS('Committments Dump'!$Q:$Q,'Committments Dump'!$C:$C,'Category Table'!W$2,'Committments Dump'!$B:$B,'Category Table'!$A51)</f>
        <v/>
      </c>
      <c r="X51" s="113">
        <f>SUMIFS('Committments Dump'!$R:$R,'Committments Dump'!$C:$C,'Category Table'!X$2,'Committments Dump'!$B:$B,'Category Table'!$A51)</f>
        <v/>
      </c>
      <c r="Y51" s="114">
        <f>SUMIFS('Committments Dump'!$R:$R,'Committments Dump'!$C:$C,'Category Table'!Y$2,'Committments Dump'!$B:$B,'Category Table'!$A51)</f>
        <v/>
      </c>
      <c r="Z51" s="114">
        <f>SUMIFS('Committments Dump'!$R:$R,'Committments Dump'!$C:$C,'Category Table'!Z$2,'Committments Dump'!$B:$B,'Category Table'!$A51)</f>
        <v/>
      </c>
      <c r="AA51" s="113">
        <f>SUMIFS('Committments Dump'!$S:$S,'Committments Dump'!$C:$C,'Category Table'!AA$2,'Committments Dump'!$B:$B,'Category Table'!$A51)</f>
        <v/>
      </c>
      <c r="AB51" s="114">
        <f>SUMIFS('Committments Dump'!$S:$S,'Committments Dump'!$C:$C,'Category Table'!AB$2,'Committments Dump'!$B:$B,'Category Table'!$A51)</f>
        <v/>
      </c>
      <c r="AC51" s="114">
        <f>SUMIFS('Committments Dump'!$S:$S,'Committments Dump'!$C:$C,'Category Table'!AC$2,'Committments Dump'!$B:$B,'Category Table'!$A51)</f>
        <v/>
      </c>
      <c r="AD51" s="113">
        <f>U51+X51+AA51</f>
        <v/>
      </c>
      <c r="AE51" s="114">
        <f>V51+Y51+AB51</f>
        <v/>
      </c>
      <c r="AF51" s="114">
        <f>W51+Z51+AC51</f>
        <v/>
      </c>
      <c r="AG51" s="113">
        <f>R51+AD51</f>
        <v/>
      </c>
      <c r="AH51" s="114">
        <f>S51+AE51</f>
        <v/>
      </c>
      <c r="AI51" s="114">
        <f>T51+AF51</f>
        <v/>
      </c>
      <c r="AJ51" s="113" t="n"/>
      <c r="AK51" s="114" t="n"/>
      <c r="AL51" s="114" t="n"/>
      <c r="AM51" s="113">
        <f>(O51-AG51)+AJ51</f>
        <v/>
      </c>
      <c r="AN51" s="114">
        <f>(P51-AH51)+AK51</f>
        <v/>
      </c>
      <c r="AO51" s="114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11" t="n">
        <v>0</v>
      </c>
      <c r="D52" s="112" t="n">
        <v>0</v>
      </c>
      <c r="E52" s="112" t="n">
        <v>0</v>
      </c>
      <c r="F52" s="111" t="n">
        <v>0</v>
      </c>
      <c r="G52" s="112" t="n">
        <v>0</v>
      </c>
      <c r="H52" s="112" t="n">
        <v>0</v>
      </c>
      <c r="I52" s="111" t="n">
        <v>0</v>
      </c>
      <c r="J52" s="112" t="n">
        <v>0</v>
      </c>
      <c r="K52" s="112" t="n">
        <v>0</v>
      </c>
      <c r="L52" s="111" t="n">
        <v>0</v>
      </c>
      <c r="M52" s="112" t="n">
        <v>0</v>
      </c>
      <c r="N52" s="112" t="n">
        <v>0</v>
      </c>
      <c r="O52" s="111">
        <f>L52+I52+F52+C52</f>
        <v/>
      </c>
      <c r="P52" s="112">
        <f>M52+J52+G52+D52</f>
        <v/>
      </c>
      <c r="Q52" s="112">
        <f>N52+K52+H52+E52</f>
        <v/>
      </c>
      <c r="R52" s="111">
        <f>SUMIFS('PO Log'!$E:$E,'PO Log'!$D:$D,'Category Table'!R$2,'PO Log'!$C:$C,'Category Table'!$A52)</f>
        <v/>
      </c>
      <c r="S52" s="112">
        <f>SUMIFS('PO Log'!$E:$E,'PO Log'!$D:$D,'Category Table'!S$2,'PO Log'!$C:$C,'Category Table'!$A52)</f>
        <v/>
      </c>
      <c r="T52" s="112">
        <f>SUMIFS('PO Log'!$E:$E,'PO Log'!$D:$D,'Category Table'!T$2,'PO Log'!$C:$C,'Category Table'!$A52)</f>
        <v/>
      </c>
      <c r="U52" s="111">
        <f>SUMIFS('Committments Dump'!$Q:$Q,'Committments Dump'!$C:$C,'Category Table'!U$2,'Committments Dump'!$B:$B,'Category Table'!$A52)</f>
        <v/>
      </c>
      <c r="V52" s="112">
        <f>SUMIFS('Committments Dump'!$Q:$Q,'Committments Dump'!$C:$C,'Category Table'!V$2,'Committments Dump'!$B:$B,'Category Table'!$A52)</f>
        <v/>
      </c>
      <c r="W52" s="112">
        <f>SUMIFS('Committments Dump'!$Q:$Q,'Committments Dump'!$C:$C,'Category Table'!W$2,'Committments Dump'!$B:$B,'Category Table'!$A52)</f>
        <v/>
      </c>
      <c r="X52" s="111">
        <f>SUMIFS('Committments Dump'!$R:$R,'Committments Dump'!$C:$C,'Category Table'!X$2,'Committments Dump'!$B:$B,'Category Table'!$A52)</f>
        <v/>
      </c>
      <c r="Y52" s="112">
        <f>SUMIFS('Committments Dump'!$R:$R,'Committments Dump'!$C:$C,'Category Table'!Y$2,'Committments Dump'!$B:$B,'Category Table'!$A52)</f>
        <v/>
      </c>
      <c r="Z52" s="112">
        <f>SUMIFS('Committments Dump'!$R:$R,'Committments Dump'!$C:$C,'Category Table'!Z$2,'Committments Dump'!$B:$B,'Category Table'!$A52)</f>
        <v/>
      </c>
      <c r="AA52" s="111">
        <f>SUMIFS('Committments Dump'!$S:$S,'Committments Dump'!$C:$C,'Category Table'!AA$2,'Committments Dump'!$B:$B,'Category Table'!$A52)</f>
        <v/>
      </c>
      <c r="AB52" s="112">
        <f>SUMIFS('Committments Dump'!$S:$S,'Committments Dump'!$C:$C,'Category Table'!AB$2,'Committments Dump'!$B:$B,'Category Table'!$A52)</f>
        <v/>
      </c>
      <c r="AC52" s="112">
        <f>SUMIFS('Committments Dump'!$S:$S,'Committments Dump'!$C:$C,'Category Table'!AC$2,'Committments Dump'!$B:$B,'Category Table'!$A52)</f>
        <v/>
      </c>
      <c r="AD52" s="111">
        <f>U52+X52+AA52</f>
        <v/>
      </c>
      <c r="AE52" s="112">
        <f>V52+Y52+AB52</f>
        <v/>
      </c>
      <c r="AF52" s="112">
        <f>W52+Z52+AC52</f>
        <v/>
      </c>
      <c r="AG52" s="111">
        <f>R52+AD52</f>
        <v/>
      </c>
      <c r="AH52" s="112">
        <f>S52+AE52</f>
        <v/>
      </c>
      <c r="AI52" s="112">
        <f>T52+AF52</f>
        <v/>
      </c>
      <c r="AJ52" s="111" t="n"/>
      <c r="AK52" s="112" t="n"/>
      <c r="AL52" s="112" t="n"/>
      <c r="AM52" s="111">
        <f>(O52-AG52)+AJ52</f>
        <v/>
      </c>
      <c r="AN52" s="112">
        <f>(P52-AH52)+AK52</f>
        <v/>
      </c>
      <c r="AO52" s="112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13" t="n">
        <v>0</v>
      </c>
      <c r="D53" s="114" t="n">
        <v>0</v>
      </c>
      <c r="E53" s="114" t="n">
        <v>0</v>
      </c>
      <c r="F53" s="113" t="n">
        <v>0</v>
      </c>
      <c r="G53" s="114" t="n">
        <v>0</v>
      </c>
      <c r="H53" s="114" t="n">
        <v>59537.5</v>
      </c>
      <c r="I53" s="113" t="n">
        <v>0</v>
      </c>
      <c r="J53" s="114" t="n">
        <v>0</v>
      </c>
      <c r="K53" s="114" t="n">
        <v>0</v>
      </c>
      <c r="L53" s="113" t="n">
        <v>0</v>
      </c>
      <c r="M53" s="114" t="n">
        <v>0</v>
      </c>
      <c r="N53" s="114" t="n">
        <v>0</v>
      </c>
      <c r="O53" s="113">
        <f>L53+I53+F53+C53</f>
        <v/>
      </c>
      <c r="P53" s="114">
        <f>M53+J53+G53+D53</f>
        <v/>
      </c>
      <c r="Q53" s="114">
        <f>N53+K53+H53+E53</f>
        <v/>
      </c>
      <c r="R53" s="113">
        <f>SUMIFS('PO Log'!$E:$E,'PO Log'!$D:$D,'Category Table'!R$2,'PO Log'!$C:$C,'Category Table'!$A53)</f>
        <v/>
      </c>
      <c r="S53" s="114">
        <f>SUMIFS('PO Log'!$E:$E,'PO Log'!$D:$D,'Category Table'!S$2,'PO Log'!$C:$C,'Category Table'!$A53)</f>
        <v/>
      </c>
      <c r="T53" s="114">
        <f>SUMIFS('PO Log'!$E:$E,'PO Log'!$D:$D,'Category Table'!T$2,'PO Log'!$C:$C,'Category Table'!$A53)</f>
        <v/>
      </c>
      <c r="U53" s="113">
        <f>SUMIFS('Committments Dump'!$Q:$Q,'Committments Dump'!$C:$C,'Category Table'!U$2,'Committments Dump'!$B:$B,'Category Table'!$A53)</f>
        <v/>
      </c>
      <c r="V53" s="114">
        <f>SUMIFS('Committments Dump'!$Q:$Q,'Committments Dump'!$C:$C,'Category Table'!V$2,'Committments Dump'!$B:$B,'Category Table'!$A53)</f>
        <v/>
      </c>
      <c r="W53" s="114">
        <f>SUMIFS('Committments Dump'!$Q:$Q,'Committments Dump'!$C:$C,'Category Table'!W$2,'Committments Dump'!$B:$B,'Category Table'!$A53)</f>
        <v/>
      </c>
      <c r="X53" s="113">
        <f>SUMIFS('Committments Dump'!$R:$R,'Committments Dump'!$C:$C,'Category Table'!X$2,'Committments Dump'!$B:$B,'Category Table'!$A53)</f>
        <v/>
      </c>
      <c r="Y53" s="114">
        <f>SUMIFS('Committments Dump'!$R:$R,'Committments Dump'!$C:$C,'Category Table'!Y$2,'Committments Dump'!$B:$B,'Category Table'!$A53)</f>
        <v/>
      </c>
      <c r="Z53" s="114">
        <f>SUMIFS('Committments Dump'!$R:$R,'Committments Dump'!$C:$C,'Category Table'!Z$2,'Committments Dump'!$B:$B,'Category Table'!$A53)</f>
        <v/>
      </c>
      <c r="AA53" s="113">
        <f>SUMIFS('Committments Dump'!$S:$S,'Committments Dump'!$C:$C,'Category Table'!AA$2,'Committments Dump'!$B:$B,'Category Table'!$A53)</f>
        <v/>
      </c>
      <c r="AB53" s="114">
        <f>SUMIFS('Committments Dump'!$S:$S,'Committments Dump'!$C:$C,'Category Table'!AB$2,'Committments Dump'!$B:$B,'Category Table'!$A53)</f>
        <v/>
      </c>
      <c r="AC53" s="114">
        <f>SUMIFS('Committments Dump'!$S:$S,'Committments Dump'!$C:$C,'Category Table'!AC$2,'Committments Dump'!$B:$B,'Category Table'!$A53)</f>
        <v/>
      </c>
      <c r="AD53" s="113">
        <f>U53+X53+AA53</f>
        <v/>
      </c>
      <c r="AE53" s="114">
        <f>V53+Y53+AB53</f>
        <v/>
      </c>
      <c r="AF53" s="114">
        <f>W53+Z53+AC53</f>
        <v/>
      </c>
      <c r="AG53" s="113">
        <f>R53+AD53</f>
        <v/>
      </c>
      <c r="AH53" s="114">
        <f>S53+AE53</f>
        <v/>
      </c>
      <c r="AI53" s="114">
        <f>T53+AF53</f>
        <v/>
      </c>
      <c r="AJ53" s="113" t="n"/>
      <c r="AK53" s="114" t="n"/>
      <c r="AL53" s="114" t="n"/>
      <c r="AM53" s="113">
        <f>(O53-AG53)+AJ53</f>
        <v/>
      </c>
      <c r="AN53" s="114">
        <f>(P53-AH53)+AK53</f>
        <v/>
      </c>
      <c r="AO53" s="114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11" t="n">
        <v>0</v>
      </c>
      <c r="D54" s="112" t="n">
        <v>0</v>
      </c>
      <c r="E54" s="112" t="n">
        <v>0</v>
      </c>
      <c r="F54" s="111" t="n">
        <v>0</v>
      </c>
      <c r="G54" s="112" t="n">
        <v>3621.988444444491</v>
      </c>
      <c r="H54" s="112" t="n">
        <v>0</v>
      </c>
      <c r="I54" s="111" t="n">
        <v>0</v>
      </c>
      <c r="J54" s="112" t="n">
        <v>0</v>
      </c>
      <c r="K54" s="112" t="n">
        <v>0</v>
      </c>
      <c r="L54" s="111" t="n">
        <v>0</v>
      </c>
      <c r="M54" s="112" t="n">
        <v>0</v>
      </c>
      <c r="N54" s="112" t="n">
        <v>0</v>
      </c>
      <c r="O54" s="111">
        <f>L54+I54+F54+C54</f>
        <v/>
      </c>
      <c r="P54" s="112">
        <f>M54+J54+G54+D54</f>
        <v/>
      </c>
      <c r="Q54" s="112">
        <f>N54+K54+H54+E54</f>
        <v/>
      </c>
      <c r="R54" s="111">
        <f>SUMIFS('PO Log'!$E:$E,'PO Log'!$D:$D,'Category Table'!R$2,'PO Log'!$C:$C,'Category Table'!$A54)</f>
        <v/>
      </c>
      <c r="S54" s="112">
        <f>SUMIFS('PO Log'!$E:$E,'PO Log'!$D:$D,'Category Table'!S$2,'PO Log'!$C:$C,'Category Table'!$A54)</f>
        <v/>
      </c>
      <c r="T54" s="112">
        <f>SUMIFS('PO Log'!$E:$E,'PO Log'!$D:$D,'Category Table'!T$2,'PO Log'!$C:$C,'Category Table'!$A54)</f>
        <v/>
      </c>
      <c r="U54" s="111">
        <f>SUMIFS('Committments Dump'!$Q:$Q,'Committments Dump'!$C:$C,'Category Table'!U$2,'Committments Dump'!$B:$B,'Category Table'!$A54)</f>
        <v/>
      </c>
      <c r="V54" s="112">
        <f>SUMIFS('Committments Dump'!$Q:$Q,'Committments Dump'!$C:$C,'Category Table'!V$2,'Committments Dump'!$B:$B,'Category Table'!$A54)</f>
        <v/>
      </c>
      <c r="W54" s="112">
        <f>SUMIFS('Committments Dump'!$Q:$Q,'Committments Dump'!$C:$C,'Category Table'!W$2,'Committments Dump'!$B:$B,'Category Table'!$A54)</f>
        <v/>
      </c>
      <c r="X54" s="111">
        <f>SUMIFS('Committments Dump'!$R:$R,'Committments Dump'!$C:$C,'Category Table'!X$2,'Committments Dump'!$B:$B,'Category Table'!$A54)</f>
        <v/>
      </c>
      <c r="Y54" s="112">
        <f>SUMIFS('Committments Dump'!$R:$R,'Committments Dump'!$C:$C,'Category Table'!Y$2,'Committments Dump'!$B:$B,'Category Table'!$A54)</f>
        <v/>
      </c>
      <c r="Z54" s="112">
        <f>SUMIFS('Committments Dump'!$R:$R,'Committments Dump'!$C:$C,'Category Table'!Z$2,'Committments Dump'!$B:$B,'Category Table'!$A54)</f>
        <v/>
      </c>
      <c r="AA54" s="111">
        <f>SUMIFS('Committments Dump'!$S:$S,'Committments Dump'!$C:$C,'Category Table'!AA$2,'Committments Dump'!$B:$B,'Category Table'!$A54)</f>
        <v/>
      </c>
      <c r="AB54" s="112">
        <f>SUMIFS('Committments Dump'!$S:$S,'Committments Dump'!$C:$C,'Category Table'!AB$2,'Committments Dump'!$B:$B,'Category Table'!$A54)</f>
        <v/>
      </c>
      <c r="AC54" s="112">
        <f>SUMIFS('Committments Dump'!$S:$S,'Committments Dump'!$C:$C,'Category Table'!AC$2,'Committments Dump'!$B:$B,'Category Table'!$A54)</f>
        <v/>
      </c>
      <c r="AD54" s="111">
        <f>U54+X54+AA54</f>
        <v/>
      </c>
      <c r="AE54" s="112">
        <f>V54+Y54+AB54</f>
        <v/>
      </c>
      <c r="AF54" s="112">
        <f>W54+Z54+AC54</f>
        <v/>
      </c>
      <c r="AG54" s="111">
        <f>R54+AD54</f>
        <v/>
      </c>
      <c r="AH54" s="112">
        <f>S54+AE54</f>
        <v/>
      </c>
      <c r="AI54" s="112">
        <f>T54+AF54</f>
        <v/>
      </c>
      <c r="AJ54" s="111" t="n"/>
      <c r="AK54" s="112" t="n"/>
      <c r="AL54" s="112" t="n"/>
      <c r="AM54" s="111">
        <f>(O54-AG54)+AJ54</f>
        <v/>
      </c>
      <c r="AN54" s="112">
        <f>(P54-AH54)+AK54</f>
        <v/>
      </c>
      <c r="AO54" s="112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13" t="n">
        <v>0</v>
      </c>
      <c r="D55" s="114" t="n">
        <v>0</v>
      </c>
      <c r="E55" s="114" t="n">
        <v>0</v>
      </c>
      <c r="F55" s="113" t="n">
        <v>0</v>
      </c>
      <c r="G55" s="114" t="n">
        <v>0</v>
      </c>
      <c r="H55" s="114" t="n">
        <v>0</v>
      </c>
      <c r="I55" s="113" t="n">
        <v>0</v>
      </c>
      <c r="J55" s="114" t="n">
        <v>0</v>
      </c>
      <c r="K55" s="114" t="n">
        <v>0</v>
      </c>
      <c r="L55" s="113" t="n">
        <v>0</v>
      </c>
      <c r="M55" s="114" t="n">
        <v>0</v>
      </c>
      <c r="N55" s="114" t="n">
        <v>0</v>
      </c>
      <c r="O55" s="113">
        <f>L55+I55+F55+C55</f>
        <v/>
      </c>
      <c r="P55" s="114">
        <f>M55+J55+G55+D55</f>
        <v/>
      </c>
      <c r="Q55" s="114">
        <f>N55+K55+H55+E55</f>
        <v/>
      </c>
      <c r="R55" s="113">
        <f>SUMIFS('PO Log'!$E:$E,'PO Log'!$D:$D,'Category Table'!R$2,'PO Log'!$C:$C,'Category Table'!$A55)</f>
        <v/>
      </c>
      <c r="S55" s="114">
        <f>SUMIFS('PO Log'!$E:$E,'PO Log'!$D:$D,'Category Table'!S$2,'PO Log'!$C:$C,'Category Table'!$A55)</f>
        <v/>
      </c>
      <c r="T55" s="114">
        <f>SUMIFS('PO Log'!$E:$E,'PO Log'!$D:$D,'Category Table'!T$2,'PO Log'!$C:$C,'Category Table'!$A55)</f>
        <v/>
      </c>
      <c r="U55" s="113">
        <f>SUMIFS('Committments Dump'!$Q:$Q,'Committments Dump'!$C:$C,'Category Table'!U$2,'Committments Dump'!$B:$B,'Category Table'!$A55)</f>
        <v/>
      </c>
      <c r="V55" s="114">
        <f>SUMIFS('Committments Dump'!$Q:$Q,'Committments Dump'!$C:$C,'Category Table'!V$2,'Committments Dump'!$B:$B,'Category Table'!$A55)</f>
        <v/>
      </c>
      <c r="W55" s="114">
        <f>SUMIFS('Committments Dump'!$Q:$Q,'Committments Dump'!$C:$C,'Category Table'!W$2,'Committments Dump'!$B:$B,'Category Table'!$A55)</f>
        <v/>
      </c>
      <c r="X55" s="113">
        <f>SUMIFS('Committments Dump'!$R:$R,'Committments Dump'!$C:$C,'Category Table'!X$2,'Committments Dump'!$B:$B,'Category Table'!$A55)</f>
        <v/>
      </c>
      <c r="Y55" s="114">
        <f>SUMIFS('Committments Dump'!$R:$R,'Committments Dump'!$C:$C,'Category Table'!Y$2,'Committments Dump'!$B:$B,'Category Table'!$A55)</f>
        <v/>
      </c>
      <c r="Z55" s="114">
        <f>SUMIFS('Committments Dump'!$R:$R,'Committments Dump'!$C:$C,'Category Table'!Z$2,'Committments Dump'!$B:$B,'Category Table'!$A55)</f>
        <v/>
      </c>
      <c r="AA55" s="113">
        <f>SUMIFS('Committments Dump'!$S:$S,'Committments Dump'!$C:$C,'Category Table'!AA$2,'Committments Dump'!$B:$B,'Category Table'!$A55)</f>
        <v/>
      </c>
      <c r="AB55" s="114">
        <f>SUMIFS('Committments Dump'!$S:$S,'Committments Dump'!$C:$C,'Category Table'!AB$2,'Committments Dump'!$B:$B,'Category Table'!$A55)</f>
        <v/>
      </c>
      <c r="AC55" s="114">
        <f>SUMIFS('Committments Dump'!$S:$S,'Committments Dump'!$C:$C,'Category Table'!AC$2,'Committments Dump'!$B:$B,'Category Table'!$A55)</f>
        <v/>
      </c>
      <c r="AD55" s="113">
        <f>U55+X55+AA55</f>
        <v/>
      </c>
      <c r="AE55" s="114">
        <f>V55+Y55+AB55</f>
        <v/>
      </c>
      <c r="AF55" s="114">
        <f>W55+Z55+AC55</f>
        <v/>
      </c>
      <c r="AG55" s="113">
        <f>R55+AD55</f>
        <v/>
      </c>
      <c r="AH55" s="114">
        <f>S55+AE55</f>
        <v/>
      </c>
      <c r="AI55" s="114">
        <f>T55+AF55</f>
        <v/>
      </c>
      <c r="AJ55" s="113" t="n"/>
      <c r="AK55" s="114" t="n"/>
      <c r="AL55" s="114" t="n"/>
      <c r="AM55" s="113">
        <f>(O55-AG55)+AJ55</f>
        <v/>
      </c>
      <c r="AN55" s="114">
        <f>(P55-AH55)+AK55</f>
        <v/>
      </c>
      <c r="AO55" s="114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11" t="n">
        <v>0</v>
      </c>
      <c r="D56" s="112" t="n">
        <v>0</v>
      </c>
      <c r="E56" s="112" t="n">
        <v>0</v>
      </c>
      <c r="F56" s="111" t="n">
        <v>0</v>
      </c>
      <c r="G56" s="112" t="n">
        <v>0</v>
      </c>
      <c r="H56" s="112" t="n">
        <v>0</v>
      </c>
      <c r="I56" s="111" t="n">
        <v>0</v>
      </c>
      <c r="J56" s="112" t="n">
        <v>0</v>
      </c>
      <c r="K56" s="112" t="n">
        <v>0</v>
      </c>
      <c r="L56" s="111" t="n">
        <v>0</v>
      </c>
      <c r="M56" s="112" t="n">
        <v>0</v>
      </c>
      <c r="N56" s="112" t="n">
        <v>0</v>
      </c>
      <c r="O56" s="111">
        <f>L56+I56+F56+C56</f>
        <v/>
      </c>
      <c r="P56" s="112">
        <f>M56+J56+G56+D56</f>
        <v/>
      </c>
      <c r="Q56" s="112">
        <f>N56+K56+H56+E56</f>
        <v/>
      </c>
      <c r="R56" s="111">
        <f>SUMIFS('PO Log'!$E:$E,'PO Log'!$D:$D,'Category Table'!R$2,'PO Log'!$C:$C,'Category Table'!$A56)</f>
        <v/>
      </c>
      <c r="S56" s="112">
        <f>SUMIFS('PO Log'!$E:$E,'PO Log'!$D:$D,'Category Table'!S$2,'PO Log'!$C:$C,'Category Table'!$A56)</f>
        <v/>
      </c>
      <c r="T56" s="112">
        <f>SUMIFS('PO Log'!$E:$E,'PO Log'!$D:$D,'Category Table'!T$2,'PO Log'!$C:$C,'Category Table'!$A56)</f>
        <v/>
      </c>
      <c r="U56" s="111">
        <f>SUMIFS('Committments Dump'!$Q:$Q,'Committments Dump'!$C:$C,'Category Table'!U$2,'Committments Dump'!$B:$B,'Category Table'!$A56)</f>
        <v/>
      </c>
      <c r="V56" s="112">
        <f>SUMIFS('Committments Dump'!$Q:$Q,'Committments Dump'!$C:$C,'Category Table'!V$2,'Committments Dump'!$B:$B,'Category Table'!$A56)</f>
        <v/>
      </c>
      <c r="W56" s="112">
        <f>SUMIFS('Committments Dump'!$Q:$Q,'Committments Dump'!$C:$C,'Category Table'!W$2,'Committments Dump'!$B:$B,'Category Table'!$A56)</f>
        <v/>
      </c>
      <c r="X56" s="111">
        <f>SUMIFS('Committments Dump'!$R:$R,'Committments Dump'!$C:$C,'Category Table'!X$2,'Committments Dump'!$B:$B,'Category Table'!$A56)</f>
        <v/>
      </c>
      <c r="Y56" s="112">
        <f>SUMIFS('Committments Dump'!$R:$R,'Committments Dump'!$C:$C,'Category Table'!Y$2,'Committments Dump'!$B:$B,'Category Table'!$A56)</f>
        <v/>
      </c>
      <c r="Z56" s="112">
        <f>SUMIFS('Committments Dump'!$R:$R,'Committments Dump'!$C:$C,'Category Table'!Z$2,'Committments Dump'!$B:$B,'Category Table'!$A56)</f>
        <v/>
      </c>
      <c r="AA56" s="111">
        <f>SUMIFS('Committments Dump'!$S:$S,'Committments Dump'!$C:$C,'Category Table'!AA$2,'Committments Dump'!$B:$B,'Category Table'!$A56)</f>
        <v/>
      </c>
      <c r="AB56" s="112">
        <f>SUMIFS('Committments Dump'!$S:$S,'Committments Dump'!$C:$C,'Category Table'!AB$2,'Committments Dump'!$B:$B,'Category Table'!$A56)</f>
        <v/>
      </c>
      <c r="AC56" s="112">
        <f>SUMIFS('Committments Dump'!$S:$S,'Committments Dump'!$C:$C,'Category Table'!AC$2,'Committments Dump'!$B:$B,'Category Table'!$A56)</f>
        <v/>
      </c>
      <c r="AD56" s="111">
        <f>U56+X56+AA56</f>
        <v/>
      </c>
      <c r="AE56" s="112">
        <f>V56+Y56+AB56</f>
        <v/>
      </c>
      <c r="AF56" s="112">
        <f>W56+Z56+AC56</f>
        <v/>
      </c>
      <c r="AG56" s="111">
        <f>R56+AD56</f>
        <v/>
      </c>
      <c r="AH56" s="112">
        <f>S56+AE56</f>
        <v/>
      </c>
      <c r="AI56" s="112">
        <f>T56+AF56</f>
        <v/>
      </c>
      <c r="AJ56" s="111" t="n"/>
      <c r="AK56" s="112" t="n"/>
      <c r="AL56" s="112" t="n"/>
      <c r="AM56" s="111">
        <f>(O56-AG56)+AJ56</f>
        <v/>
      </c>
      <c r="AN56" s="112">
        <f>(P56-AH56)+AK56</f>
        <v/>
      </c>
      <c r="AO56" s="112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13" t="n">
        <v>0</v>
      </c>
      <c r="D57" s="114" t="n">
        <v>0</v>
      </c>
      <c r="E57" s="114" t="n">
        <v>0</v>
      </c>
      <c r="F57" s="113" t="n">
        <v>0</v>
      </c>
      <c r="G57" s="114" t="n">
        <v>0</v>
      </c>
      <c r="H57" s="114" t="n">
        <v>0</v>
      </c>
      <c r="I57" s="113" t="n">
        <v>0</v>
      </c>
      <c r="J57" s="114" t="n">
        <v>0</v>
      </c>
      <c r="K57" s="114" t="n">
        <v>0</v>
      </c>
      <c r="L57" s="113" t="n">
        <v>0</v>
      </c>
      <c r="M57" s="114" t="n">
        <v>0</v>
      </c>
      <c r="N57" s="114" t="n">
        <v>0</v>
      </c>
      <c r="O57" s="113">
        <f>L57+I57+F57+C57</f>
        <v/>
      </c>
      <c r="P57" s="114">
        <f>M57+J57+G57+D57</f>
        <v/>
      </c>
      <c r="Q57" s="114">
        <f>N57+K57+H57+E57</f>
        <v/>
      </c>
      <c r="R57" s="113">
        <f>SUMIFS('PO Log'!$E:$E,'PO Log'!$D:$D,'Category Table'!R$2,'PO Log'!$C:$C,'Category Table'!$A57)</f>
        <v/>
      </c>
      <c r="S57" s="114">
        <f>SUMIFS('PO Log'!$E:$E,'PO Log'!$D:$D,'Category Table'!S$2,'PO Log'!$C:$C,'Category Table'!$A57)</f>
        <v/>
      </c>
      <c r="T57" s="114">
        <f>SUMIFS('PO Log'!$E:$E,'PO Log'!$D:$D,'Category Table'!T$2,'PO Log'!$C:$C,'Category Table'!$A57)</f>
        <v/>
      </c>
      <c r="U57" s="113">
        <f>SUMIFS('Committments Dump'!$Q:$Q,'Committments Dump'!$C:$C,'Category Table'!U$2,'Committments Dump'!$B:$B,'Category Table'!$A57)</f>
        <v/>
      </c>
      <c r="V57" s="114">
        <f>SUMIFS('Committments Dump'!$Q:$Q,'Committments Dump'!$C:$C,'Category Table'!V$2,'Committments Dump'!$B:$B,'Category Table'!$A57)</f>
        <v/>
      </c>
      <c r="W57" s="114">
        <f>SUMIFS('Committments Dump'!$Q:$Q,'Committments Dump'!$C:$C,'Category Table'!W$2,'Committments Dump'!$B:$B,'Category Table'!$A57)</f>
        <v/>
      </c>
      <c r="X57" s="113">
        <f>SUMIFS('Committments Dump'!$R:$R,'Committments Dump'!$C:$C,'Category Table'!X$2,'Committments Dump'!$B:$B,'Category Table'!$A57)</f>
        <v/>
      </c>
      <c r="Y57" s="114">
        <f>SUMIFS('Committments Dump'!$R:$R,'Committments Dump'!$C:$C,'Category Table'!Y$2,'Committments Dump'!$B:$B,'Category Table'!$A57)</f>
        <v/>
      </c>
      <c r="Z57" s="114">
        <f>SUMIFS('Committments Dump'!$R:$R,'Committments Dump'!$C:$C,'Category Table'!Z$2,'Committments Dump'!$B:$B,'Category Table'!$A57)</f>
        <v/>
      </c>
      <c r="AA57" s="113">
        <f>SUMIFS('Committments Dump'!$S:$S,'Committments Dump'!$C:$C,'Category Table'!AA$2,'Committments Dump'!$B:$B,'Category Table'!$A57)</f>
        <v/>
      </c>
      <c r="AB57" s="114">
        <f>SUMIFS('Committments Dump'!$S:$S,'Committments Dump'!$C:$C,'Category Table'!AB$2,'Committments Dump'!$B:$B,'Category Table'!$A57)</f>
        <v/>
      </c>
      <c r="AC57" s="114">
        <f>SUMIFS('Committments Dump'!$S:$S,'Committments Dump'!$C:$C,'Category Table'!AC$2,'Committments Dump'!$B:$B,'Category Table'!$A57)</f>
        <v/>
      </c>
      <c r="AD57" s="113">
        <f>U57+X57+AA57</f>
        <v/>
      </c>
      <c r="AE57" s="114">
        <f>V57+Y57+AB57</f>
        <v/>
      </c>
      <c r="AF57" s="114">
        <f>W57+Z57+AC57</f>
        <v/>
      </c>
      <c r="AG57" s="113">
        <f>R57+AD57</f>
        <v/>
      </c>
      <c r="AH57" s="114">
        <f>S57+AE57</f>
        <v/>
      </c>
      <c r="AI57" s="114">
        <f>T57+AF57</f>
        <v/>
      </c>
      <c r="AJ57" s="113" t="n"/>
      <c r="AK57" s="114" t="n"/>
      <c r="AL57" s="114" t="n"/>
      <c r="AM57" s="113">
        <f>(O57-AG57)+AJ57</f>
        <v/>
      </c>
      <c r="AN57" s="114">
        <f>(P57-AH57)+AK57</f>
        <v/>
      </c>
      <c r="AO57" s="114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11" t="n">
        <v>0</v>
      </c>
      <c r="D58" s="112" t="n">
        <v>0</v>
      </c>
      <c r="E58" s="112" t="n">
        <v>0</v>
      </c>
      <c r="F58" s="111" t="n">
        <v>0</v>
      </c>
      <c r="G58" s="112" t="n">
        <v>108.6131645569694</v>
      </c>
      <c r="H58" s="112" t="n">
        <v>0</v>
      </c>
      <c r="I58" s="111" t="n">
        <v>0</v>
      </c>
      <c r="J58" s="112" t="n">
        <v>0</v>
      </c>
      <c r="K58" s="112" t="n">
        <v>0</v>
      </c>
      <c r="L58" s="111" t="n">
        <v>0</v>
      </c>
      <c r="M58" s="112" t="n">
        <v>0</v>
      </c>
      <c r="N58" s="112" t="n">
        <v>0</v>
      </c>
      <c r="O58" s="111">
        <f>L58+I58+F58+C58</f>
        <v/>
      </c>
      <c r="P58" s="112">
        <f>M58+J58+G58+D58</f>
        <v/>
      </c>
      <c r="Q58" s="112">
        <f>N58+K58+H58+E58</f>
        <v/>
      </c>
      <c r="R58" s="111">
        <f>SUMIFS('PO Log'!$E:$E,'PO Log'!$D:$D,'Category Table'!R$2,'PO Log'!$C:$C,'Category Table'!$A58)</f>
        <v/>
      </c>
      <c r="S58" s="112">
        <f>SUMIFS('PO Log'!$E:$E,'PO Log'!$D:$D,'Category Table'!S$2,'PO Log'!$C:$C,'Category Table'!$A58)</f>
        <v/>
      </c>
      <c r="T58" s="112">
        <f>SUMIFS('PO Log'!$E:$E,'PO Log'!$D:$D,'Category Table'!T$2,'PO Log'!$C:$C,'Category Table'!$A58)</f>
        <v/>
      </c>
      <c r="U58" s="111">
        <f>SUMIFS('Committments Dump'!$Q:$Q,'Committments Dump'!$C:$C,'Category Table'!U$2,'Committments Dump'!$B:$B,'Category Table'!$A58)</f>
        <v/>
      </c>
      <c r="V58" s="112">
        <f>SUMIFS('Committments Dump'!$Q:$Q,'Committments Dump'!$C:$C,'Category Table'!V$2,'Committments Dump'!$B:$B,'Category Table'!$A58)</f>
        <v/>
      </c>
      <c r="W58" s="112">
        <f>SUMIFS('Committments Dump'!$Q:$Q,'Committments Dump'!$C:$C,'Category Table'!W$2,'Committments Dump'!$B:$B,'Category Table'!$A58)</f>
        <v/>
      </c>
      <c r="X58" s="111">
        <f>SUMIFS('Committments Dump'!$R:$R,'Committments Dump'!$C:$C,'Category Table'!X$2,'Committments Dump'!$B:$B,'Category Table'!$A58)</f>
        <v/>
      </c>
      <c r="Y58" s="112">
        <f>SUMIFS('Committments Dump'!$R:$R,'Committments Dump'!$C:$C,'Category Table'!Y$2,'Committments Dump'!$B:$B,'Category Table'!$A58)</f>
        <v/>
      </c>
      <c r="Z58" s="112">
        <f>SUMIFS('Committments Dump'!$R:$R,'Committments Dump'!$C:$C,'Category Table'!Z$2,'Committments Dump'!$B:$B,'Category Table'!$A58)</f>
        <v/>
      </c>
      <c r="AA58" s="111">
        <f>SUMIFS('Committments Dump'!$S:$S,'Committments Dump'!$C:$C,'Category Table'!AA$2,'Committments Dump'!$B:$B,'Category Table'!$A58)</f>
        <v/>
      </c>
      <c r="AB58" s="112">
        <f>SUMIFS('Committments Dump'!$S:$S,'Committments Dump'!$C:$C,'Category Table'!AB$2,'Committments Dump'!$B:$B,'Category Table'!$A58)</f>
        <v/>
      </c>
      <c r="AC58" s="112">
        <f>SUMIFS('Committments Dump'!$S:$S,'Committments Dump'!$C:$C,'Category Table'!AC$2,'Committments Dump'!$B:$B,'Category Table'!$A58)</f>
        <v/>
      </c>
      <c r="AD58" s="111">
        <f>U58+X58+AA58</f>
        <v/>
      </c>
      <c r="AE58" s="112">
        <f>V58+Y58+AB58</f>
        <v/>
      </c>
      <c r="AF58" s="112">
        <f>W58+Z58+AC58</f>
        <v/>
      </c>
      <c r="AG58" s="111">
        <f>R58+AD58</f>
        <v/>
      </c>
      <c r="AH58" s="112">
        <f>S58+AE58</f>
        <v/>
      </c>
      <c r="AI58" s="112">
        <f>T58+AF58</f>
        <v/>
      </c>
      <c r="AJ58" s="111" t="n"/>
      <c r="AK58" s="112" t="n"/>
      <c r="AL58" s="112" t="n"/>
      <c r="AM58" s="111">
        <f>(O58-AG58)+AJ58</f>
        <v/>
      </c>
      <c r="AN58" s="112">
        <f>(P58-AH58)+AK58</f>
        <v/>
      </c>
      <c r="AO58" s="112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13" t="n">
        <v>0</v>
      </c>
      <c r="D59" s="114" t="n">
        <v>0</v>
      </c>
      <c r="E59" s="114" t="n">
        <v>0</v>
      </c>
      <c r="F59" s="113" t="n">
        <v>0</v>
      </c>
      <c r="G59" s="114" t="n"/>
      <c r="H59" s="114" t="n">
        <v>0</v>
      </c>
      <c r="I59" s="113" t="n">
        <v>0</v>
      </c>
      <c r="J59" s="114" t="n">
        <v>0</v>
      </c>
      <c r="K59" s="114" t="n">
        <v>0</v>
      </c>
      <c r="L59" s="113" t="n">
        <v>0</v>
      </c>
      <c r="M59" s="114" t="n">
        <v>0</v>
      </c>
      <c r="N59" s="114" t="n">
        <v>0</v>
      </c>
      <c r="O59" s="113">
        <f>L59+I59+F59+C59</f>
        <v/>
      </c>
      <c r="P59" s="114">
        <f>M59+J59+G59+D59</f>
        <v/>
      </c>
      <c r="Q59" s="114">
        <f>N59+K59+H59+E59</f>
        <v/>
      </c>
      <c r="R59" s="113">
        <f>SUMIFS('PO Log'!$E:$E,'PO Log'!$D:$D,'Category Table'!R$2,'PO Log'!$C:$C,'Category Table'!$A59)</f>
        <v/>
      </c>
      <c r="S59" s="114">
        <f>SUMIFS('PO Log'!$E:$E,'PO Log'!$D:$D,'Category Table'!S$2,'PO Log'!$C:$C,'Category Table'!$A59)</f>
        <v/>
      </c>
      <c r="T59" s="114">
        <f>SUMIFS('PO Log'!$E:$E,'PO Log'!$D:$D,'Category Table'!T$2,'PO Log'!$C:$C,'Category Table'!$A59)</f>
        <v/>
      </c>
      <c r="U59" s="113">
        <f>SUMIFS('Committments Dump'!$Q:$Q,'Committments Dump'!$C:$C,'Category Table'!U$2,'Committments Dump'!$B:$B,'Category Table'!$A59)</f>
        <v/>
      </c>
      <c r="V59" s="114">
        <f>SUMIFS('Committments Dump'!$Q:$Q,'Committments Dump'!$C:$C,'Category Table'!V$2,'Committments Dump'!$B:$B,'Category Table'!$A59)</f>
        <v/>
      </c>
      <c r="W59" s="114">
        <f>SUMIFS('Committments Dump'!$Q:$Q,'Committments Dump'!$C:$C,'Category Table'!W$2,'Committments Dump'!$B:$B,'Category Table'!$A59)</f>
        <v/>
      </c>
      <c r="X59" s="113">
        <f>SUMIFS('Committments Dump'!$R:$R,'Committments Dump'!$C:$C,'Category Table'!X$2,'Committments Dump'!$B:$B,'Category Table'!$A59)</f>
        <v/>
      </c>
      <c r="Y59" s="114">
        <f>SUMIFS('Committments Dump'!$R:$R,'Committments Dump'!$C:$C,'Category Table'!Y$2,'Committments Dump'!$B:$B,'Category Table'!$A59)</f>
        <v/>
      </c>
      <c r="Z59" s="114">
        <f>SUMIFS('Committments Dump'!$R:$R,'Committments Dump'!$C:$C,'Category Table'!Z$2,'Committments Dump'!$B:$B,'Category Table'!$A59)</f>
        <v/>
      </c>
      <c r="AA59" s="113">
        <f>SUMIFS('Committments Dump'!$S:$S,'Committments Dump'!$C:$C,'Category Table'!AA$2,'Committments Dump'!$B:$B,'Category Table'!$A59)</f>
        <v/>
      </c>
      <c r="AB59" s="114">
        <f>SUMIFS('Committments Dump'!$S:$S,'Committments Dump'!$C:$C,'Category Table'!AB$2,'Committments Dump'!$B:$B,'Category Table'!$A59)</f>
        <v/>
      </c>
      <c r="AC59" s="114">
        <f>SUMIFS('Committments Dump'!$S:$S,'Committments Dump'!$C:$C,'Category Table'!AC$2,'Committments Dump'!$B:$B,'Category Table'!$A59)</f>
        <v/>
      </c>
      <c r="AD59" s="113">
        <f>U59+X59+AA59</f>
        <v/>
      </c>
      <c r="AE59" s="114">
        <f>V59+Y59+AB59</f>
        <v/>
      </c>
      <c r="AF59" s="114">
        <f>W59+Z59+AC59</f>
        <v/>
      </c>
      <c r="AG59" s="113">
        <f>R59+AD59</f>
        <v/>
      </c>
      <c r="AH59" s="114">
        <f>S59+AE59</f>
        <v/>
      </c>
      <c r="AI59" s="114">
        <f>T59+AF59</f>
        <v/>
      </c>
      <c r="AJ59" s="113" t="n"/>
      <c r="AK59" s="114" t="n"/>
      <c r="AL59" s="114" t="n"/>
      <c r="AM59" s="113">
        <f>(O59-AG59)+AJ59</f>
        <v/>
      </c>
      <c r="AN59" s="114">
        <f>(P59-AH59)+AK59</f>
        <v/>
      </c>
      <c r="AO59" s="114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11" t="n">
        <v>0</v>
      </c>
      <c r="D60" s="112" t="n">
        <v>0</v>
      </c>
      <c r="E60" s="112" t="n">
        <v>0</v>
      </c>
      <c r="F60" s="111" t="n">
        <v>0</v>
      </c>
      <c r="G60" s="112" t="n"/>
      <c r="H60" s="112" t="n">
        <v>147627.24</v>
      </c>
      <c r="I60" s="111" t="n">
        <v>0</v>
      </c>
      <c r="J60" s="112" t="n">
        <v>0</v>
      </c>
      <c r="K60" s="112" t="n">
        <v>0</v>
      </c>
      <c r="L60" s="111" t="n">
        <v>0</v>
      </c>
      <c r="M60" s="112" t="n">
        <v>0</v>
      </c>
      <c r="N60" s="112" t="n">
        <v>0</v>
      </c>
      <c r="O60" s="111">
        <f>L60+I60+F60+C60</f>
        <v/>
      </c>
      <c r="P60" s="112">
        <f>M60+J60+G60+D60</f>
        <v/>
      </c>
      <c r="Q60" s="112">
        <f>N60+K60+H60+E60</f>
        <v/>
      </c>
      <c r="R60" s="111">
        <f>SUMIFS('PO Log'!$E:$E,'PO Log'!$D:$D,'Category Table'!R$2,'PO Log'!$C:$C,'Category Table'!$A60)</f>
        <v/>
      </c>
      <c r="S60" s="112">
        <f>SUMIFS('PO Log'!$E:$E,'PO Log'!$D:$D,'Category Table'!S$2,'PO Log'!$C:$C,'Category Table'!$A60)</f>
        <v/>
      </c>
      <c r="T60" s="112">
        <f>SUMIFS('PO Log'!$E:$E,'PO Log'!$D:$D,'Category Table'!T$2,'PO Log'!$C:$C,'Category Table'!$A60)</f>
        <v/>
      </c>
      <c r="U60" s="111">
        <f>SUMIFS('Committments Dump'!$Q:$Q,'Committments Dump'!$C:$C,'Category Table'!U$2,'Committments Dump'!$B:$B,'Category Table'!$A60)</f>
        <v/>
      </c>
      <c r="V60" s="112">
        <f>SUMIFS('Committments Dump'!$Q:$Q,'Committments Dump'!$C:$C,'Category Table'!V$2,'Committments Dump'!$B:$B,'Category Table'!$A60)</f>
        <v/>
      </c>
      <c r="W60" s="112">
        <f>SUMIFS('Committments Dump'!$Q:$Q,'Committments Dump'!$C:$C,'Category Table'!W$2,'Committments Dump'!$B:$B,'Category Table'!$A60)</f>
        <v/>
      </c>
      <c r="X60" s="111">
        <f>SUMIFS('Committments Dump'!$R:$R,'Committments Dump'!$C:$C,'Category Table'!X$2,'Committments Dump'!$B:$B,'Category Table'!$A60)</f>
        <v/>
      </c>
      <c r="Y60" s="112">
        <f>SUMIFS('Committments Dump'!$R:$R,'Committments Dump'!$C:$C,'Category Table'!Y$2,'Committments Dump'!$B:$B,'Category Table'!$A60)</f>
        <v/>
      </c>
      <c r="Z60" s="112">
        <f>SUMIFS('Committments Dump'!$R:$R,'Committments Dump'!$C:$C,'Category Table'!Z$2,'Committments Dump'!$B:$B,'Category Table'!$A60)</f>
        <v/>
      </c>
      <c r="AA60" s="111">
        <f>SUMIFS('Committments Dump'!$S:$S,'Committments Dump'!$C:$C,'Category Table'!AA$2,'Committments Dump'!$B:$B,'Category Table'!$A60)</f>
        <v/>
      </c>
      <c r="AB60" s="112">
        <f>SUMIFS('Committments Dump'!$S:$S,'Committments Dump'!$C:$C,'Category Table'!AB$2,'Committments Dump'!$B:$B,'Category Table'!$A60)</f>
        <v/>
      </c>
      <c r="AC60" s="112">
        <f>SUMIFS('Committments Dump'!$S:$S,'Committments Dump'!$C:$C,'Category Table'!AC$2,'Committments Dump'!$B:$B,'Category Table'!$A60)</f>
        <v/>
      </c>
      <c r="AD60" s="111">
        <f>U60+X60+AA60</f>
        <v/>
      </c>
      <c r="AE60" s="112">
        <f>V60+Y60+AB60</f>
        <v/>
      </c>
      <c r="AF60" s="112">
        <f>W60+Z60+AC60</f>
        <v/>
      </c>
      <c r="AG60" s="111">
        <f>R60+AD60</f>
        <v/>
      </c>
      <c r="AH60" s="112">
        <f>S60+AE60</f>
        <v/>
      </c>
      <c r="AI60" s="112">
        <f>T60+AF60</f>
        <v/>
      </c>
      <c r="AJ60" s="111" t="n"/>
      <c r="AK60" s="112" t="n"/>
      <c r="AL60" s="112" t="n"/>
      <c r="AM60" s="111">
        <f>(O60-AG60)+AJ60</f>
        <v/>
      </c>
      <c r="AN60" s="112">
        <f>(P60-AH60)+AK60</f>
        <v/>
      </c>
      <c r="AO60" s="112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13" t="n">
        <v>0</v>
      </c>
      <c r="D61" s="114" t="n">
        <v>0</v>
      </c>
      <c r="E61" s="114" t="n">
        <v>0</v>
      </c>
      <c r="F61" s="113" t="n">
        <v>0</v>
      </c>
      <c r="G61" s="114" t="n">
        <v>0</v>
      </c>
      <c r="H61" s="114" t="n">
        <v>0</v>
      </c>
      <c r="I61" s="113" t="n">
        <v>0</v>
      </c>
      <c r="J61" s="114" t="n">
        <v>0</v>
      </c>
      <c r="K61" s="114" t="n">
        <v>0</v>
      </c>
      <c r="L61" s="113" t="n">
        <v>0</v>
      </c>
      <c r="M61" s="114" t="n">
        <v>0</v>
      </c>
      <c r="N61" s="114" t="n">
        <v>0</v>
      </c>
      <c r="O61" s="113">
        <f>L61+I61+F61+C61</f>
        <v/>
      </c>
      <c r="P61" s="114">
        <f>M61+J61+G61+D61</f>
        <v/>
      </c>
      <c r="Q61" s="114">
        <f>N61+K61+H61+E61</f>
        <v/>
      </c>
      <c r="R61" s="113">
        <f>SUMIFS('PO Log'!$E:$E,'PO Log'!$D:$D,'Category Table'!R$2,'PO Log'!$C:$C,'Category Table'!$A61)</f>
        <v/>
      </c>
      <c r="S61" s="114">
        <f>SUMIFS('PO Log'!$E:$E,'PO Log'!$D:$D,'Category Table'!S$2,'PO Log'!$C:$C,'Category Table'!$A61)</f>
        <v/>
      </c>
      <c r="T61" s="114">
        <f>SUMIFS('PO Log'!$E:$E,'PO Log'!$D:$D,'Category Table'!T$2,'PO Log'!$C:$C,'Category Table'!$A61)</f>
        <v/>
      </c>
      <c r="U61" s="113">
        <f>SUMIFS('Committments Dump'!$Q:$Q,'Committments Dump'!$C:$C,'Category Table'!U$2,'Committments Dump'!$B:$B,'Category Table'!$A61)</f>
        <v/>
      </c>
      <c r="V61" s="114">
        <f>SUMIFS('Committments Dump'!$Q:$Q,'Committments Dump'!$C:$C,'Category Table'!V$2,'Committments Dump'!$B:$B,'Category Table'!$A61)</f>
        <v/>
      </c>
      <c r="W61" s="114">
        <f>SUMIFS('Committments Dump'!$Q:$Q,'Committments Dump'!$C:$C,'Category Table'!W$2,'Committments Dump'!$B:$B,'Category Table'!$A61)</f>
        <v/>
      </c>
      <c r="X61" s="113">
        <f>SUMIFS('Committments Dump'!$R:$R,'Committments Dump'!$C:$C,'Category Table'!X$2,'Committments Dump'!$B:$B,'Category Table'!$A61)</f>
        <v/>
      </c>
      <c r="Y61" s="114">
        <f>SUMIFS('Committments Dump'!$R:$R,'Committments Dump'!$C:$C,'Category Table'!Y$2,'Committments Dump'!$B:$B,'Category Table'!$A61)</f>
        <v/>
      </c>
      <c r="Z61" s="114">
        <f>SUMIFS('Committments Dump'!$R:$R,'Committments Dump'!$C:$C,'Category Table'!Z$2,'Committments Dump'!$B:$B,'Category Table'!$A61)</f>
        <v/>
      </c>
      <c r="AA61" s="113">
        <f>SUMIFS('Committments Dump'!$S:$S,'Committments Dump'!$C:$C,'Category Table'!AA$2,'Committments Dump'!$B:$B,'Category Table'!$A61)</f>
        <v/>
      </c>
      <c r="AB61" s="114">
        <f>SUMIFS('Committments Dump'!$S:$S,'Committments Dump'!$C:$C,'Category Table'!AB$2,'Committments Dump'!$B:$B,'Category Table'!$A61)</f>
        <v/>
      </c>
      <c r="AC61" s="114">
        <f>SUMIFS('Committments Dump'!$S:$S,'Committments Dump'!$C:$C,'Category Table'!AC$2,'Committments Dump'!$B:$B,'Category Table'!$A61)</f>
        <v/>
      </c>
      <c r="AD61" s="113">
        <f>U61+X61+AA61</f>
        <v/>
      </c>
      <c r="AE61" s="114">
        <f>V61+Y61+AB61</f>
        <v/>
      </c>
      <c r="AF61" s="114">
        <f>W61+Z61+AC61</f>
        <v/>
      </c>
      <c r="AG61" s="113">
        <f>R61+AD61</f>
        <v/>
      </c>
      <c r="AH61" s="114">
        <f>S61+AE61</f>
        <v/>
      </c>
      <c r="AI61" s="114">
        <f>T61+AF61</f>
        <v/>
      </c>
      <c r="AJ61" s="113" t="n"/>
      <c r="AK61" s="114" t="n"/>
      <c r="AL61" s="114" t="n"/>
      <c r="AM61" s="113">
        <f>(O61-AG61)+AJ61</f>
        <v/>
      </c>
      <c r="AN61" s="114">
        <f>(P61-AH61)+AK61</f>
        <v/>
      </c>
      <c r="AO61" s="114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11" t="n">
        <v>0</v>
      </c>
      <c r="D62" s="112" t="n">
        <v>0</v>
      </c>
      <c r="E62" s="112" t="n">
        <v>0</v>
      </c>
      <c r="F62" s="111" t="n">
        <v>0</v>
      </c>
      <c r="G62" s="112" t="n">
        <v>0</v>
      </c>
      <c r="H62" s="112" t="n">
        <v>0</v>
      </c>
      <c r="I62" s="111" t="n">
        <v>0</v>
      </c>
      <c r="J62" s="112" t="n">
        <v>0</v>
      </c>
      <c r="K62" s="112" t="n">
        <v>0</v>
      </c>
      <c r="L62" s="111" t="n">
        <v>0</v>
      </c>
      <c r="M62" s="112" t="n">
        <v>0</v>
      </c>
      <c r="N62" s="112" t="n">
        <v>0</v>
      </c>
      <c r="O62" s="111">
        <f>L62+I62+F62+C62</f>
        <v/>
      </c>
      <c r="P62" s="112">
        <f>M62+J62+G62+D62</f>
        <v/>
      </c>
      <c r="Q62" s="112">
        <f>N62+K62+H62+E62</f>
        <v/>
      </c>
      <c r="R62" s="111">
        <f>SUMIFS('PO Log'!$E:$E,'PO Log'!$D:$D,'Category Table'!R$2,'PO Log'!$C:$C,'Category Table'!$A62)</f>
        <v/>
      </c>
      <c r="S62" s="112">
        <f>SUMIFS('PO Log'!$E:$E,'PO Log'!$D:$D,'Category Table'!S$2,'PO Log'!$C:$C,'Category Table'!$A62)</f>
        <v/>
      </c>
      <c r="T62" s="112">
        <f>SUMIFS('PO Log'!$E:$E,'PO Log'!$D:$D,'Category Table'!T$2,'PO Log'!$C:$C,'Category Table'!$A62)</f>
        <v/>
      </c>
      <c r="U62" s="111">
        <f>SUMIFS('Committments Dump'!$Q:$Q,'Committments Dump'!$C:$C,'Category Table'!U$2,'Committments Dump'!$B:$B,'Category Table'!$A62)</f>
        <v/>
      </c>
      <c r="V62" s="112">
        <f>SUMIFS('Committments Dump'!$Q:$Q,'Committments Dump'!$C:$C,'Category Table'!V$2,'Committments Dump'!$B:$B,'Category Table'!$A62)</f>
        <v/>
      </c>
      <c r="W62" s="112">
        <f>SUMIFS('Committments Dump'!$Q:$Q,'Committments Dump'!$C:$C,'Category Table'!W$2,'Committments Dump'!$B:$B,'Category Table'!$A62)</f>
        <v/>
      </c>
      <c r="X62" s="111">
        <f>SUMIFS('Committments Dump'!$R:$R,'Committments Dump'!$C:$C,'Category Table'!X$2,'Committments Dump'!$B:$B,'Category Table'!$A62)</f>
        <v/>
      </c>
      <c r="Y62" s="112">
        <f>SUMIFS('Committments Dump'!$R:$R,'Committments Dump'!$C:$C,'Category Table'!Y$2,'Committments Dump'!$B:$B,'Category Table'!$A62)</f>
        <v/>
      </c>
      <c r="Z62" s="112">
        <f>SUMIFS('Committments Dump'!$R:$R,'Committments Dump'!$C:$C,'Category Table'!Z$2,'Committments Dump'!$B:$B,'Category Table'!$A62)</f>
        <v/>
      </c>
      <c r="AA62" s="111">
        <f>SUMIFS('Committments Dump'!$S:$S,'Committments Dump'!$C:$C,'Category Table'!AA$2,'Committments Dump'!$B:$B,'Category Table'!$A62)</f>
        <v/>
      </c>
      <c r="AB62" s="112">
        <f>SUMIFS('Committments Dump'!$S:$S,'Committments Dump'!$C:$C,'Category Table'!AB$2,'Committments Dump'!$B:$B,'Category Table'!$A62)</f>
        <v/>
      </c>
      <c r="AC62" s="112">
        <f>SUMIFS('Committments Dump'!$S:$S,'Committments Dump'!$C:$C,'Category Table'!AC$2,'Committments Dump'!$B:$B,'Category Table'!$A62)</f>
        <v/>
      </c>
      <c r="AD62" s="111">
        <f>U62+X62+AA62</f>
        <v/>
      </c>
      <c r="AE62" s="112">
        <f>V62+Y62+AB62</f>
        <v/>
      </c>
      <c r="AF62" s="112">
        <f>W62+Z62+AC62</f>
        <v/>
      </c>
      <c r="AG62" s="111">
        <f>R62+AD62</f>
        <v/>
      </c>
      <c r="AH62" s="112">
        <f>S62+AE62</f>
        <v/>
      </c>
      <c r="AI62" s="112">
        <f>T62+AF62</f>
        <v/>
      </c>
      <c r="AJ62" s="111" t="n"/>
      <c r="AK62" s="112" t="n"/>
      <c r="AL62" s="112" t="n"/>
      <c r="AM62" s="111">
        <f>(O62-AG62)+AJ62</f>
        <v/>
      </c>
      <c r="AN62" s="112">
        <f>(P62-AH62)+AK62</f>
        <v/>
      </c>
      <c r="AO62" s="112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13" t="n">
        <v>0</v>
      </c>
      <c r="D63" s="114" t="n">
        <v>0</v>
      </c>
      <c r="E63" s="114" t="n">
        <v>0</v>
      </c>
      <c r="F63" s="113" t="n">
        <v>0</v>
      </c>
      <c r="G63" s="114" t="n">
        <v>0</v>
      </c>
      <c r="H63" s="114" t="n">
        <v>2877.540000000037</v>
      </c>
      <c r="I63" s="113" t="n">
        <v>0</v>
      </c>
      <c r="J63" s="114" t="n">
        <v>0</v>
      </c>
      <c r="K63" s="114" t="n">
        <v>0</v>
      </c>
      <c r="L63" s="113" t="n">
        <v>0</v>
      </c>
      <c r="M63" s="114" t="n">
        <v>0</v>
      </c>
      <c r="N63" s="114" t="n">
        <v>0</v>
      </c>
      <c r="O63" s="113">
        <f>L63+I63+F63+C63</f>
        <v/>
      </c>
      <c r="P63" s="114">
        <f>M63+J63+G63+D63</f>
        <v/>
      </c>
      <c r="Q63" s="114">
        <f>N63+K63+H63+E63</f>
        <v/>
      </c>
      <c r="R63" s="113">
        <f>SUMIFS('PO Log'!$E:$E,'PO Log'!$D:$D,'Category Table'!R$2,'PO Log'!$C:$C,'Category Table'!$A63)</f>
        <v/>
      </c>
      <c r="S63" s="114">
        <f>SUMIFS('PO Log'!$E:$E,'PO Log'!$D:$D,'Category Table'!S$2,'PO Log'!$C:$C,'Category Table'!$A63)</f>
        <v/>
      </c>
      <c r="T63" s="114">
        <f>SUMIFS('PO Log'!$E:$E,'PO Log'!$D:$D,'Category Table'!T$2,'PO Log'!$C:$C,'Category Table'!$A63)</f>
        <v/>
      </c>
      <c r="U63" s="113">
        <f>SUMIFS('Committments Dump'!$Q:$Q,'Committments Dump'!$C:$C,'Category Table'!U$2,'Committments Dump'!$B:$B,'Category Table'!$A63)</f>
        <v/>
      </c>
      <c r="V63" s="114">
        <f>SUMIFS('Committments Dump'!$Q:$Q,'Committments Dump'!$C:$C,'Category Table'!V$2,'Committments Dump'!$B:$B,'Category Table'!$A63)</f>
        <v/>
      </c>
      <c r="W63" s="114">
        <f>SUMIFS('Committments Dump'!$Q:$Q,'Committments Dump'!$C:$C,'Category Table'!W$2,'Committments Dump'!$B:$B,'Category Table'!$A63)</f>
        <v/>
      </c>
      <c r="X63" s="113">
        <f>SUMIFS('Committments Dump'!$R:$R,'Committments Dump'!$C:$C,'Category Table'!X$2,'Committments Dump'!$B:$B,'Category Table'!$A63)</f>
        <v/>
      </c>
      <c r="Y63" s="114">
        <f>SUMIFS('Committments Dump'!$R:$R,'Committments Dump'!$C:$C,'Category Table'!Y$2,'Committments Dump'!$B:$B,'Category Table'!$A63)</f>
        <v/>
      </c>
      <c r="Z63" s="114">
        <f>SUMIFS('Committments Dump'!$R:$R,'Committments Dump'!$C:$C,'Category Table'!Z$2,'Committments Dump'!$B:$B,'Category Table'!$A63)</f>
        <v/>
      </c>
      <c r="AA63" s="113">
        <f>SUMIFS('Committments Dump'!$S:$S,'Committments Dump'!$C:$C,'Category Table'!AA$2,'Committments Dump'!$B:$B,'Category Table'!$A63)</f>
        <v/>
      </c>
      <c r="AB63" s="114">
        <f>SUMIFS('Committments Dump'!$S:$S,'Committments Dump'!$C:$C,'Category Table'!AB$2,'Committments Dump'!$B:$B,'Category Table'!$A63)</f>
        <v/>
      </c>
      <c r="AC63" s="114">
        <f>SUMIFS('Committments Dump'!$S:$S,'Committments Dump'!$C:$C,'Category Table'!AC$2,'Committments Dump'!$B:$B,'Category Table'!$A63)</f>
        <v/>
      </c>
      <c r="AD63" s="113">
        <f>U63+X63+AA63</f>
        <v/>
      </c>
      <c r="AE63" s="114">
        <f>V63+Y63+AB63</f>
        <v/>
      </c>
      <c r="AF63" s="114">
        <f>W63+Z63+AC63</f>
        <v/>
      </c>
      <c r="AG63" s="113">
        <f>R63+AD63</f>
        <v/>
      </c>
      <c r="AH63" s="114">
        <f>S63+AE63</f>
        <v/>
      </c>
      <c r="AI63" s="114">
        <f>T63+AF63</f>
        <v/>
      </c>
      <c r="AJ63" s="113" t="n"/>
      <c r="AK63" s="114" t="n"/>
      <c r="AL63" s="114" t="n"/>
      <c r="AM63" s="113">
        <f>(O63-AG63)+AJ63</f>
        <v/>
      </c>
      <c r="AN63" s="114">
        <f>(P63-AH63)+AK63</f>
        <v/>
      </c>
      <c r="AO63" s="114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11" t="n">
        <v>0</v>
      </c>
      <c r="D64" s="112" t="n">
        <v>0</v>
      </c>
      <c r="E64" s="112" t="n">
        <v>0</v>
      </c>
      <c r="F64" s="111" t="n">
        <v>22500</v>
      </c>
      <c r="G64" s="112" t="n">
        <v>200836.63</v>
      </c>
      <c r="H64" s="112" t="n">
        <v>1735000</v>
      </c>
      <c r="I64" s="111" t="n">
        <v>0</v>
      </c>
      <c r="J64" s="112" t="n">
        <v>0</v>
      </c>
      <c r="K64" s="112" t="n">
        <v>0</v>
      </c>
      <c r="L64" s="111" t="n">
        <v>0</v>
      </c>
      <c r="M64" s="112" t="n">
        <v>0</v>
      </c>
      <c r="N64" s="112" t="n">
        <v>0</v>
      </c>
      <c r="O64" s="111">
        <f>L64+I64+F64+C64</f>
        <v/>
      </c>
      <c r="P64" s="112">
        <f>M64+J64+G64+D64</f>
        <v/>
      </c>
      <c r="Q64" s="112">
        <f>N64+K64+H64+E64</f>
        <v/>
      </c>
      <c r="R64" s="111">
        <f>SUMIFS('PO Log'!$E:$E,'PO Log'!$D:$D,'Category Table'!R$2,'PO Log'!$C:$C,'Category Table'!$A64)</f>
        <v/>
      </c>
      <c r="S64" s="112">
        <f>SUMIFS('PO Log'!$E:$E,'PO Log'!$D:$D,'Category Table'!S$2,'PO Log'!$C:$C,'Category Table'!$A64)</f>
        <v/>
      </c>
      <c r="T64" s="112">
        <f>SUMIFS('PO Log'!$E:$E,'PO Log'!$D:$D,'Category Table'!T$2,'PO Log'!$C:$C,'Category Table'!$A64)</f>
        <v/>
      </c>
      <c r="U64" s="111">
        <f>SUMIFS('Committments Dump'!$Q:$Q,'Committments Dump'!$C:$C,'Category Table'!U$2,'Committments Dump'!$B:$B,'Category Table'!$A64)</f>
        <v/>
      </c>
      <c r="V64" s="112">
        <f>SUMIFS('Committments Dump'!$Q:$Q,'Committments Dump'!$C:$C,'Category Table'!V$2,'Committments Dump'!$B:$B,'Category Table'!$A64)</f>
        <v/>
      </c>
      <c r="W64" s="112">
        <f>SUMIFS('Committments Dump'!$Q:$Q,'Committments Dump'!$C:$C,'Category Table'!W$2,'Committments Dump'!$B:$B,'Category Table'!$A64)</f>
        <v/>
      </c>
      <c r="X64" s="111">
        <f>SUMIFS('Committments Dump'!$R:$R,'Committments Dump'!$C:$C,'Category Table'!X$2,'Committments Dump'!$B:$B,'Category Table'!$A64)</f>
        <v/>
      </c>
      <c r="Y64" s="112">
        <f>SUMIFS('Committments Dump'!$R:$R,'Committments Dump'!$C:$C,'Category Table'!Y$2,'Committments Dump'!$B:$B,'Category Table'!$A64)</f>
        <v/>
      </c>
      <c r="Z64" s="112">
        <f>SUMIFS('Committments Dump'!$R:$R,'Committments Dump'!$C:$C,'Category Table'!Z$2,'Committments Dump'!$B:$B,'Category Table'!$A64)</f>
        <v/>
      </c>
      <c r="AA64" s="111">
        <f>SUMIFS('Committments Dump'!$S:$S,'Committments Dump'!$C:$C,'Category Table'!AA$2,'Committments Dump'!$B:$B,'Category Table'!$A64)</f>
        <v/>
      </c>
      <c r="AB64" s="112">
        <f>SUMIFS('Committments Dump'!$S:$S,'Committments Dump'!$C:$C,'Category Table'!AB$2,'Committments Dump'!$B:$B,'Category Table'!$A64)</f>
        <v/>
      </c>
      <c r="AC64" s="112">
        <f>SUMIFS('Committments Dump'!$S:$S,'Committments Dump'!$C:$C,'Category Table'!AC$2,'Committments Dump'!$B:$B,'Category Table'!$A64)</f>
        <v/>
      </c>
      <c r="AD64" s="111">
        <f>U64+X64+AA64</f>
        <v/>
      </c>
      <c r="AE64" s="112">
        <f>V64+Y64+AB64</f>
        <v/>
      </c>
      <c r="AF64" s="112">
        <f>W64+Z64+AC64</f>
        <v/>
      </c>
      <c r="AG64" s="111">
        <f>R64+AD64</f>
        <v/>
      </c>
      <c r="AH64" s="112">
        <f>S64+AE64</f>
        <v/>
      </c>
      <c r="AI64" s="112">
        <f>T64+AF64</f>
        <v/>
      </c>
      <c r="AJ64" s="111" t="n"/>
      <c r="AK64" s="112" t="n"/>
      <c r="AL64" s="112" t="n"/>
      <c r="AM64" s="111">
        <f>(O64-AG64)+AJ64</f>
        <v/>
      </c>
      <c r="AN64" s="112">
        <f>(P64-AH64)+AK64</f>
        <v/>
      </c>
      <c r="AO64" s="112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13" t="n">
        <v>0</v>
      </c>
      <c r="D65" s="114" t="n">
        <v>0</v>
      </c>
      <c r="E65" s="114" t="n">
        <v>0</v>
      </c>
      <c r="F65" s="113" t="n">
        <v>0</v>
      </c>
      <c r="G65" s="114" t="n">
        <v>0</v>
      </c>
      <c r="H65" s="114" t="n">
        <v>150000</v>
      </c>
      <c r="I65" s="113" t="n">
        <v>0</v>
      </c>
      <c r="J65" s="114" t="n">
        <v>0</v>
      </c>
      <c r="K65" s="114" t="n">
        <v>0</v>
      </c>
      <c r="L65" s="113" t="n">
        <v>0</v>
      </c>
      <c r="M65" s="114" t="n">
        <v>0</v>
      </c>
      <c r="N65" s="114" t="n">
        <v>0</v>
      </c>
      <c r="O65" s="113">
        <f>L65+I65+F65+C65</f>
        <v/>
      </c>
      <c r="P65" s="114">
        <f>M65+J65+G65+D65</f>
        <v/>
      </c>
      <c r="Q65" s="114">
        <f>N65+K65+H65+E65</f>
        <v/>
      </c>
      <c r="R65" s="113">
        <f>SUMIFS('PO Log'!$E:$E,'PO Log'!$D:$D,'Category Table'!R$2,'PO Log'!$C:$C,'Category Table'!$A65)</f>
        <v/>
      </c>
      <c r="S65" s="114">
        <f>SUMIFS('PO Log'!$E:$E,'PO Log'!$D:$D,'Category Table'!S$2,'PO Log'!$C:$C,'Category Table'!$A65)</f>
        <v/>
      </c>
      <c r="T65" s="114">
        <f>SUMIFS('PO Log'!$E:$E,'PO Log'!$D:$D,'Category Table'!T$2,'PO Log'!$C:$C,'Category Table'!$A65)</f>
        <v/>
      </c>
      <c r="U65" s="113">
        <f>SUMIFS('Committments Dump'!$Q:$Q,'Committments Dump'!$C:$C,'Category Table'!U$2,'Committments Dump'!$B:$B,'Category Table'!$A65)</f>
        <v/>
      </c>
      <c r="V65" s="114">
        <f>SUMIFS('Committments Dump'!$Q:$Q,'Committments Dump'!$C:$C,'Category Table'!V$2,'Committments Dump'!$B:$B,'Category Table'!$A65)</f>
        <v/>
      </c>
      <c r="W65" s="114">
        <f>SUMIFS('Committments Dump'!$Q:$Q,'Committments Dump'!$C:$C,'Category Table'!W$2,'Committments Dump'!$B:$B,'Category Table'!$A65)</f>
        <v/>
      </c>
      <c r="X65" s="113">
        <f>SUMIFS('Committments Dump'!$R:$R,'Committments Dump'!$C:$C,'Category Table'!X$2,'Committments Dump'!$B:$B,'Category Table'!$A65)</f>
        <v/>
      </c>
      <c r="Y65" s="114">
        <f>SUMIFS('Committments Dump'!$R:$R,'Committments Dump'!$C:$C,'Category Table'!Y$2,'Committments Dump'!$B:$B,'Category Table'!$A65)</f>
        <v/>
      </c>
      <c r="Z65" s="114">
        <f>SUMIFS('Committments Dump'!$R:$R,'Committments Dump'!$C:$C,'Category Table'!Z$2,'Committments Dump'!$B:$B,'Category Table'!$A65)</f>
        <v/>
      </c>
      <c r="AA65" s="113">
        <f>SUMIFS('Committments Dump'!$S:$S,'Committments Dump'!$C:$C,'Category Table'!AA$2,'Committments Dump'!$B:$B,'Category Table'!$A65)</f>
        <v/>
      </c>
      <c r="AB65" s="114">
        <f>SUMIFS('Committments Dump'!$S:$S,'Committments Dump'!$C:$C,'Category Table'!AB$2,'Committments Dump'!$B:$B,'Category Table'!$A65)</f>
        <v/>
      </c>
      <c r="AC65" s="114">
        <f>SUMIFS('Committments Dump'!$S:$S,'Committments Dump'!$C:$C,'Category Table'!AC$2,'Committments Dump'!$B:$B,'Category Table'!$A65)</f>
        <v/>
      </c>
      <c r="AD65" s="113">
        <f>U65+X65+AA65</f>
        <v/>
      </c>
      <c r="AE65" s="114">
        <f>V65+Y65+AB65</f>
        <v/>
      </c>
      <c r="AF65" s="114">
        <f>W65+Z65+AC65</f>
        <v/>
      </c>
      <c r="AG65" s="113">
        <f>R65+AD65</f>
        <v/>
      </c>
      <c r="AH65" s="114">
        <f>S65+AE65</f>
        <v/>
      </c>
      <c r="AI65" s="114">
        <f>T65+AF65</f>
        <v/>
      </c>
      <c r="AJ65" s="113" t="n"/>
      <c r="AK65" s="114" t="n"/>
      <c r="AL65" s="114" t="n"/>
      <c r="AM65" s="113">
        <f>(O65-AG65)+AJ65</f>
        <v/>
      </c>
      <c r="AN65" s="114">
        <f>(P65-AH65)+AK65</f>
        <v/>
      </c>
      <c r="AO65" s="114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11" t="n">
        <v>0</v>
      </c>
      <c r="D66" s="112" t="n">
        <v>274.5</v>
      </c>
      <c r="E66" s="112" t="n">
        <v>0</v>
      </c>
      <c r="F66" s="111" t="n">
        <v>0</v>
      </c>
      <c r="G66" s="112" t="n">
        <v>0</v>
      </c>
      <c r="H66" s="112" t="n">
        <v>70000</v>
      </c>
      <c r="I66" s="111" t="n">
        <v>0</v>
      </c>
      <c r="J66" s="112" t="n">
        <v>-304.7</v>
      </c>
      <c r="K66" s="112" t="n">
        <v>54063.48</v>
      </c>
      <c r="L66" s="111" t="n">
        <v>0</v>
      </c>
      <c r="M66" s="112" t="n">
        <v>609.71</v>
      </c>
      <c r="N66" s="112" t="n">
        <v>119487.57</v>
      </c>
      <c r="O66" s="111">
        <f>L66+I66+F66+C66</f>
        <v/>
      </c>
      <c r="P66" s="112">
        <f>M66+J66+G66+D66</f>
        <v/>
      </c>
      <c r="Q66" s="112">
        <f>N66+K66+H66+E66</f>
        <v/>
      </c>
      <c r="R66" s="111">
        <f>SUMIFS('PO Log'!$E:$E,'PO Log'!$D:$D,'Category Table'!R$2,'PO Log'!$C:$C,'Category Table'!$A66)</f>
        <v/>
      </c>
      <c r="S66" s="112">
        <f>SUMIFS('PO Log'!$E:$E,'PO Log'!$D:$D,'Category Table'!S$2,'PO Log'!$C:$C,'Category Table'!$A66)</f>
        <v/>
      </c>
      <c r="T66" s="112">
        <f>SUMIFS('PO Log'!$E:$E,'PO Log'!$D:$D,'Category Table'!T$2,'PO Log'!$C:$C,'Category Table'!$A66)</f>
        <v/>
      </c>
      <c r="U66" s="111">
        <f>SUMIFS('Committments Dump'!$Q:$Q,'Committments Dump'!$C:$C,'Category Table'!U$2,'Committments Dump'!$B:$B,'Category Table'!$A66)</f>
        <v/>
      </c>
      <c r="V66" s="112">
        <f>SUMIFS('Committments Dump'!$Q:$Q,'Committments Dump'!$C:$C,'Category Table'!V$2,'Committments Dump'!$B:$B,'Category Table'!$A66)</f>
        <v/>
      </c>
      <c r="W66" s="112">
        <f>SUMIFS('Committments Dump'!$Q:$Q,'Committments Dump'!$C:$C,'Category Table'!W$2,'Committments Dump'!$B:$B,'Category Table'!$A66)</f>
        <v/>
      </c>
      <c r="X66" s="111">
        <f>SUMIFS('Committments Dump'!$R:$R,'Committments Dump'!$C:$C,'Category Table'!X$2,'Committments Dump'!$B:$B,'Category Table'!$A66)</f>
        <v/>
      </c>
      <c r="Y66" s="112">
        <f>SUMIFS('Committments Dump'!$R:$R,'Committments Dump'!$C:$C,'Category Table'!Y$2,'Committments Dump'!$B:$B,'Category Table'!$A66)</f>
        <v/>
      </c>
      <c r="Z66" s="112">
        <f>SUMIFS('Committments Dump'!$R:$R,'Committments Dump'!$C:$C,'Category Table'!Z$2,'Committments Dump'!$B:$B,'Category Table'!$A66)</f>
        <v/>
      </c>
      <c r="AA66" s="111">
        <f>SUMIFS('Committments Dump'!$S:$S,'Committments Dump'!$C:$C,'Category Table'!AA$2,'Committments Dump'!$B:$B,'Category Table'!$A66)</f>
        <v/>
      </c>
      <c r="AB66" s="112">
        <f>SUMIFS('Committments Dump'!$S:$S,'Committments Dump'!$C:$C,'Category Table'!AB$2,'Committments Dump'!$B:$B,'Category Table'!$A66)</f>
        <v/>
      </c>
      <c r="AC66" s="112">
        <f>SUMIFS('Committments Dump'!$S:$S,'Committments Dump'!$C:$C,'Category Table'!AC$2,'Committments Dump'!$B:$B,'Category Table'!$A66)</f>
        <v/>
      </c>
      <c r="AD66" s="111">
        <f>U66+X66+AA66</f>
        <v/>
      </c>
      <c r="AE66" s="112">
        <f>V66+Y66+AB66</f>
        <v/>
      </c>
      <c r="AF66" s="112">
        <f>W66+Z66+AC66</f>
        <v/>
      </c>
      <c r="AG66" s="111">
        <f>R66+AD66</f>
        <v/>
      </c>
      <c r="AH66" s="112">
        <f>S66+AE66</f>
        <v/>
      </c>
      <c r="AI66" s="112">
        <f>T66+AF66</f>
        <v/>
      </c>
      <c r="AJ66" s="111" t="n"/>
      <c r="AK66" s="112" t="n"/>
      <c r="AL66" s="112" t="n"/>
      <c r="AM66" s="111">
        <f>(O66-AG66)+AJ66</f>
        <v/>
      </c>
      <c r="AN66" s="112">
        <f>(P66-AH66)+AK66</f>
        <v/>
      </c>
      <c r="AO66" s="112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13" t="n">
        <v>0</v>
      </c>
      <c r="D67" s="114" t="n">
        <v>0</v>
      </c>
      <c r="E67" s="114" t="n">
        <v>0</v>
      </c>
      <c r="F67" s="113" t="n">
        <v>231000</v>
      </c>
      <c r="G67" s="114" t="n">
        <v>0</v>
      </c>
      <c r="H67" s="114" t="n">
        <v>0</v>
      </c>
      <c r="I67" s="113" t="n">
        <v>0</v>
      </c>
      <c r="J67" s="114" t="n">
        <v>0</v>
      </c>
      <c r="K67" s="114" t="n">
        <v>0</v>
      </c>
      <c r="L67" s="113" t="n">
        <v>0</v>
      </c>
      <c r="M67" s="114" t="n">
        <v>0</v>
      </c>
      <c r="N67" s="114" t="n">
        <v>0</v>
      </c>
      <c r="O67" s="113">
        <f>L67+I67+F67+C67</f>
        <v/>
      </c>
      <c r="P67" s="114">
        <f>M67+J67+G67+D67</f>
        <v/>
      </c>
      <c r="Q67" s="114">
        <f>N67+K67+H67+E67</f>
        <v/>
      </c>
      <c r="R67" s="113">
        <f>SUMIFS('PO Log'!$E:$E,'PO Log'!$D:$D,'Category Table'!R$2,'PO Log'!$C:$C,'Category Table'!$A67)</f>
        <v/>
      </c>
      <c r="S67" s="114">
        <f>SUMIFS('PO Log'!$E:$E,'PO Log'!$D:$D,'Category Table'!S$2,'PO Log'!$C:$C,'Category Table'!$A67)</f>
        <v/>
      </c>
      <c r="T67" s="114">
        <f>SUMIFS('PO Log'!$E:$E,'PO Log'!$D:$D,'Category Table'!T$2,'PO Log'!$C:$C,'Category Table'!$A67)</f>
        <v/>
      </c>
      <c r="U67" s="113">
        <f>SUMIFS('Committments Dump'!$Q:$Q,'Committments Dump'!$C:$C,'Category Table'!U$2,'Committments Dump'!$B:$B,'Category Table'!$A67)</f>
        <v/>
      </c>
      <c r="V67" s="114">
        <f>SUMIFS('Committments Dump'!$Q:$Q,'Committments Dump'!$C:$C,'Category Table'!V$2,'Committments Dump'!$B:$B,'Category Table'!$A67)</f>
        <v/>
      </c>
      <c r="W67" s="114">
        <f>SUMIFS('Committments Dump'!$Q:$Q,'Committments Dump'!$C:$C,'Category Table'!W$2,'Committments Dump'!$B:$B,'Category Table'!$A67)</f>
        <v/>
      </c>
      <c r="X67" s="113">
        <f>SUMIFS('Committments Dump'!$R:$R,'Committments Dump'!$C:$C,'Category Table'!X$2,'Committments Dump'!$B:$B,'Category Table'!$A67)</f>
        <v/>
      </c>
      <c r="Y67" s="114">
        <f>SUMIFS('Committments Dump'!$R:$R,'Committments Dump'!$C:$C,'Category Table'!Y$2,'Committments Dump'!$B:$B,'Category Table'!$A67)</f>
        <v/>
      </c>
      <c r="Z67" s="114">
        <f>SUMIFS('Committments Dump'!$R:$R,'Committments Dump'!$C:$C,'Category Table'!Z$2,'Committments Dump'!$B:$B,'Category Table'!$A67)</f>
        <v/>
      </c>
      <c r="AA67" s="113">
        <f>SUMIFS('Committments Dump'!$S:$S,'Committments Dump'!$C:$C,'Category Table'!AA$2,'Committments Dump'!$B:$B,'Category Table'!$A67)</f>
        <v/>
      </c>
      <c r="AB67" s="114">
        <f>SUMIFS('Committments Dump'!$S:$S,'Committments Dump'!$C:$C,'Category Table'!AB$2,'Committments Dump'!$B:$B,'Category Table'!$A67)</f>
        <v/>
      </c>
      <c r="AC67" s="114">
        <f>SUMIFS('Committments Dump'!$S:$S,'Committments Dump'!$C:$C,'Category Table'!AC$2,'Committments Dump'!$B:$B,'Category Table'!$A67)</f>
        <v/>
      </c>
      <c r="AD67" s="113">
        <f>U67+X67+AA67</f>
        <v/>
      </c>
      <c r="AE67" s="114">
        <f>V67+Y67+AB67</f>
        <v/>
      </c>
      <c r="AF67" s="114">
        <f>W67+Z67+AC67</f>
        <v/>
      </c>
      <c r="AG67" s="113">
        <f>R67+AD67</f>
        <v/>
      </c>
      <c r="AH67" s="114">
        <f>S67+AE67</f>
        <v/>
      </c>
      <c r="AI67" s="114">
        <f>T67+AF67</f>
        <v/>
      </c>
      <c r="AJ67" s="113" t="n"/>
      <c r="AK67" s="114" t="n"/>
      <c r="AL67" s="114" t="n"/>
      <c r="AM67" s="113">
        <f>(O67-AG67)+AJ67</f>
        <v/>
      </c>
      <c r="AN67" s="114">
        <f>(P67-AH67)+AK67</f>
        <v/>
      </c>
      <c r="AO67" s="114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11" t="n">
        <v>0</v>
      </c>
      <c r="D68" s="112" t="n">
        <v>0</v>
      </c>
      <c r="E68" s="112" t="n">
        <v>0</v>
      </c>
      <c r="F68" s="111" t="n">
        <v>0</v>
      </c>
      <c r="G68" s="112" t="n">
        <v>8004.849999999977</v>
      </c>
      <c r="H68" s="112" t="n">
        <v>0</v>
      </c>
      <c r="I68" s="111" t="n">
        <v>0</v>
      </c>
      <c r="J68" s="112" t="n">
        <v>0</v>
      </c>
      <c r="K68" s="112" t="n">
        <v>0</v>
      </c>
      <c r="L68" s="111" t="n">
        <v>0</v>
      </c>
      <c r="M68" s="112" t="n">
        <v>0</v>
      </c>
      <c r="N68" s="112" t="n">
        <v>0</v>
      </c>
      <c r="O68" s="111">
        <f>L68+I68+F68+C68</f>
        <v/>
      </c>
      <c r="P68" s="112">
        <f>M68+J68+G68+D68</f>
        <v/>
      </c>
      <c r="Q68" s="112">
        <f>N68+K68+H68+E68</f>
        <v/>
      </c>
      <c r="R68" s="111">
        <f>SUMIFS('PO Log'!$E:$E,'PO Log'!$D:$D,'Category Table'!R$2,'PO Log'!$C:$C,'Category Table'!$A68)</f>
        <v/>
      </c>
      <c r="S68" s="112">
        <f>SUMIFS('PO Log'!$E:$E,'PO Log'!$D:$D,'Category Table'!S$2,'PO Log'!$C:$C,'Category Table'!$A68)</f>
        <v/>
      </c>
      <c r="T68" s="112">
        <f>SUMIFS('PO Log'!$E:$E,'PO Log'!$D:$D,'Category Table'!T$2,'PO Log'!$C:$C,'Category Table'!$A68)</f>
        <v/>
      </c>
      <c r="U68" s="111">
        <f>SUMIFS('Committments Dump'!$Q:$Q,'Committments Dump'!$C:$C,'Category Table'!U$2,'Committments Dump'!$B:$B,'Category Table'!$A68)</f>
        <v/>
      </c>
      <c r="V68" s="112">
        <f>SUMIFS('Committments Dump'!$Q:$Q,'Committments Dump'!$C:$C,'Category Table'!V$2,'Committments Dump'!$B:$B,'Category Table'!$A68)</f>
        <v/>
      </c>
      <c r="W68" s="112">
        <f>SUMIFS('Committments Dump'!$Q:$Q,'Committments Dump'!$C:$C,'Category Table'!W$2,'Committments Dump'!$B:$B,'Category Table'!$A68)</f>
        <v/>
      </c>
      <c r="X68" s="111">
        <f>SUMIFS('Committments Dump'!$R:$R,'Committments Dump'!$C:$C,'Category Table'!X$2,'Committments Dump'!$B:$B,'Category Table'!$A68)</f>
        <v/>
      </c>
      <c r="Y68" s="112">
        <f>SUMIFS('Committments Dump'!$R:$R,'Committments Dump'!$C:$C,'Category Table'!Y$2,'Committments Dump'!$B:$B,'Category Table'!$A68)</f>
        <v/>
      </c>
      <c r="Z68" s="112">
        <f>SUMIFS('Committments Dump'!$R:$R,'Committments Dump'!$C:$C,'Category Table'!Z$2,'Committments Dump'!$B:$B,'Category Table'!$A68)</f>
        <v/>
      </c>
      <c r="AA68" s="111">
        <f>SUMIFS('Committments Dump'!$S:$S,'Committments Dump'!$C:$C,'Category Table'!AA$2,'Committments Dump'!$B:$B,'Category Table'!$A68)</f>
        <v/>
      </c>
      <c r="AB68" s="112">
        <f>SUMIFS('Committments Dump'!$S:$S,'Committments Dump'!$C:$C,'Category Table'!AB$2,'Committments Dump'!$B:$B,'Category Table'!$A68)</f>
        <v/>
      </c>
      <c r="AC68" s="112">
        <f>SUMIFS('Committments Dump'!$S:$S,'Committments Dump'!$C:$C,'Category Table'!AC$2,'Committments Dump'!$B:$B,'Category Table'!$A68)</f>
        <v/>
      </c>
      <c r="AD68" s="111">
        <f>U68+X68+AA68</f>
        <v/>
      </c>
      <c r="AE68" s="112">
        <f>V68+Y68+AB68</f>
        <v/>
      </c>
      <c r="AF68" s="112">
        <f>W68+Z68+AC68</f>
        <v/>
      </c>
      <c r="AG68" s="111">
        <f>R68+AD68</f>
        <v/>
      </c>
      <c r="AH68" s="112">
        <f>S68+AE68</f>
        <v/>
      </c>
      <c r="AI68" s="112">
        <f>T68+AF68</f>
        <v/>
      </c>
      <c r="AJ68" s="111" t="n"/>
      <c r="AK68" s="112" t="n"/>
      <c r="AL68" s="112" t="n"/>
      <c r="AM68" s="111">
        <f>(O68-AG68)+AJ68</f>
        <v/>
      </c>
      <c r="AN68" s="112">
        <f>(P68-AH68)+AK68</f>
        <v/>
      </c>
      <c r="AO68" s="112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13" t="n">
        <v>0</v>
      </c>
      <c r="D69" s="114" t="n">
        <v>0</v>
      </c>
      <c r="E69" s="114" t="n">
        <v>0</v>
      </c>
      <c r="F69" s="113" t="n">
        <v>0</v>
      </c>
      <c r="G69" s="114" t="n">
        <v>0</v>
      </c>
      <c r="H69" s="114" t="n">
        <v>0</v>
      </c>
      <c r="I69" s="113" t="n">
        <v>0</v>
      </c>
      <c r="J69" s="114" t="n">
        <v>0</v>
      </c>
      <c r="K69" s="114" t="n">
        <v>0</v>
      </c>
      <c r="L69" s="113" t="n">
        <v>0</v>
      </c>
      <c r="M69" s="114" t="n">
        <v>0</v>
      </c>
      <c r="N69" s="114" t="n">
        <v>0</v>
      </c>
      <c r="O69" s="113">
        <f>L69+I69+F69+C69</f>
        <v/>
      </c>
      <c r="P69" s="114">
        <f>M69+J69+G69+D69</f>
        <v/>
      </c>
      <c r="Q69" s="114">
        <f>N69+K69+H69+E69</f>
        <v/>
      </c>
      <c r="R69" s="113">
        <f>SUMIFS('PO Log'!$E:$E,'PO Log'!$D:$D,'Category Table'!R$2,'PO Log'!$C:$C,'Category Table'!$A69)</f>
        <v/>
      </c>
      <c r="S69" s="114">
        <f>SUMIFS('PO Log'!$E:$E,'PO Log'!$D:$D,'Category Table'!S$2,'PO Log'!$C:$C,'Category Table'!$A69)</f>
        <v/>
      </c>
      <c r="T69" s="114">
        <f>SUMIFS('PO Log'!$E:$E,'PO Log'!$D:$D,'Category Table'!T$2,'PO Log'!$C:$C,'Category Table'!$A69)</f>
        <v/>
      </c>
      <c r="U69" s="113">
        <f>SUMIFS('Committments Dump'!$Q:$Q,'Committments Dump'!$C:$C,'Category Table'!U$2,'Committments Dump'!$B:$B,'Category Table'!$A69)</f>
        <v/>
      </c>
      <c r="V69" s="114">
        <f>SUMIFS('Committments Dump'!$Q:$Q,'Committments Dump'!$C:$C,'Category Table'!V$2,'Committments Dump'!$B:$B,'Category Table'!$A69)</f>
        <v/>
      </c>
      <c r="W69" s="114">
        <f>SUMIFS('Committments Dump'!$Q:$Q,'Committments Dump'!$C:$C,'Category Table'!W$2,'Committments Dump'!$B:$B,'Category Table'!$A69)</f>
        <v/>
      </c>
      <c r="X69" s="113">
        <f>SUMIFS('Committments Dump'!$R:$R,'Committments Dump'!$C:$C,'Category Table'!X$2,'Committments Dump'!$B:$B,'Category Table'!$A69)</f>
        <v/>
      </c>
      <c r="Y69" s="114">
        <f>SUMIFS('Committments Dump'!$R:$R,'Committments Dump'!$C:$C,'Category Table'!Y$2,'Committments Dump'!$B:$B,'Category Table'!$A69)</f>
        <v/>
      </c>
      <c r="Z69" s="114">
        <f>SUMIFS('Committments Dump'!$R:$R,'Committments Dump'!$C:$C,'Category Table'!Z$2,'Committments Dump'!$B:$B,'Category Table'!$A69)</f>
        <v/>
      </c>
      <c r="AA69" s="113">
        <f>SUMIFS('Committments Dump'!$S:$S,'Committments Dump'!$C:$C,'Category Table'!AA$2,'Committments Dump'!$B:$B,'Category Table'!$A69)</f>
        <v/>
      </c>
      <c r="AB69" s="114">
        <f>SUMIFS('Committments Dump'!$S:$S,'Committments Dump'!$C:$C,'Category Table'!AB$2,'Committments Dump'!$B:$B,'Category Table'!$A69)</f>
        <v/>
      </c>
      <c r="AC69" s="114">
        <f>SUMIFS('Committments Dump'!$S:$S,'Committments Dump'!$C:$C,'Category Table'!AC$2,'Committments Dump'!$B:$B,'Category Table'!$A69)</f>
        <v/>
      </c>
      <c r="AD69" s="113">
        <f>U69+X69+AA69</f>
        <v/>
      </c>
      <c r="AE69" s="114">
        <f>V69+Y69+AB69</f>
        <v/>
      </c>
      <c r="AF69" s="114">
        <f>W69+Z69+AC69</f>
        <v/>
      </c>
      <c r="AG69" s="113">
        <f>R69+AD69</f>
        <v/>
      </c>
      <c r="AH69" s="114">
        <f>S69+AE69</f>
        <v/>
      </c>
      <c r="AI69" s="114">
        <f>T69+AF69</f>
        <v/>
      </c>
      <c r="AJ69" s="113" t="n"/>
      <c r="AK69" s="114" t="n"/>
      <c r="AL69" s="114" t="n"/>
      <c r="AM69" s="113">
        <f>(O69-AG69)+AJ69</f>
        <v/>
      </c>
      <c r="AN69" s="114">
        <f>(P69-AH69)+AK69</f>
        <v/>
      </c>
      <c r="AO69" s="114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11" t="n">
        <v>0</v>
      </c>
      <c r="D70" s="112" t="n">
        <v>0</v>
      </c>
      <c r="E70" s="112" t="n">
        <v>0</v>
      </c>
      <c r="F70" s="111" t="n">
        <v>0</v>
      </c>
      <c r="G70" s="112" t="n">
        <v>3096.413830000209</v>
      </c>
      <c r="H70" s="112" t="n">
        <v>0</v>
      </c>
      <c r="I70" s="111" t="n">
        <v>0</v>
      </c>
      <c r="J70" s="112" t="n">
        <v>0</v>
      </c>
      <c r="K70" s="112" t="n">
        <v>0</v>
      </c>
      <c r="L70" s="111" t="n">
        <v>0</v>
      </c>
      <c r="M70" s="112" t="n">
        <v>0</v>
      </c>
      <c r="N70" s="112" t="n">
        <v>0</v>
      </c>
      <c r="O70" s="111">
        <f>L70+I70+F70+C70</f>
        <v/>
      </c>
      <c r="P70" s="112">
        <f>M70+J70+G70+D70</f>
        <v/>
      </c>
      <c r="Q70" s="112">
        <f>N70+K70+H70+E70</f>
        <v/>
      </c>
      <c r="R70" s="111">
        <f>SUMIFS('PO Log'!$E:$E,'PO Log'!$D:$D,'Category Table'!R$2,'PO Log'!$C:$C,'Category Table'!$A70)</f>
        <v/>
      </c>
      <c r="S70" s="112">
        <f>SUMIFS('PO Log'!$E:$E,'PO Log'!$D:$D,'Category Table'!S$2,'PO Log'!$C:$C,'Category Table'!$A70)</f>
        <v/>
      </c>
      <c r="T70" s="112">
        <f>SUMIFS('PO Log'!$E:$E,'PO Log'!$D:$D,'Category Table'!T$2,'PO Log'!$C:$C,'Category Table'!$A70)</f>
        <v/>
      </c>
      <c r="U70" s="111">
        <f>SUMIFS('Committments Dump'!$Q:$Q,'Committments Dump'!$C:$C,'Category Table'!U$2,'Committments Dump'!$B:$B,'Category Table'!$A70)</f>
        <v/>
      </c>
      <c r="V70" s="112">
        <f>SUMIFS('Committments Dump'!$Q:$Q,'Committments Dump'!$C:$C,'Category Table'!V$2,'Committments Dump'!$B:$B,'Category Table'!$A70)</f>
        <v/>
      </c>
      <c r="W70" s="112">
        <f>SUMIFS('Committments Dump'!$Q:$Q,'Committments Dump'!$C:$C,'Category Table'!W$2,'Committments Dump'!$B:$B,'Category Table'!$A70)</f>
        <v/>
      </c>
      <c r="X70" s="111">
        <f>SUMIFS('Committments Dump'!$R:$R,'Committments Dump'!$C:$C,'Category Table'!X$2,'Committments Dump'!$B:$B,'Category Table'!$A70)</f>
        <v/>
      </c>
      <c r="Y70" s="112">
        <f>SUMIFS('Committments Dump'!$R:$R,'Committments Dump'!$C:$C,'Category Table'!Y$2,'Committments Dump'!$B:$B,'Category Table'!$A70)</f>
        <v/>
      </c>
      <c r="Z70" s="112">
        <f>SUMIFS('Committments Dump'!$R:$R,'Committments Dump'!$C:$C,'Category Table'!Z$2,'Committments Dump'!$B:$B,'Category Table'!$A70)</f>
        <v/>
      </c>
      <c r="AA70" s="111">
        <f>SUMIFS('Committments Dump'!$S:$S,'Committments Dump'!$C:$C,'Category Table'!AA$2,'Committments Dump'!$B:$B,'Category Table'!$A70)</f>
        <v/>
      </c>
      <c r="AB70" s="112">
        <f>SUMIFS('Committments Dump'!$S:$S,'Committments Dump'!$C:$C,'Category Table'!AB$2,'Committments Dump'!$B:$B,'Category Table'!$A70)</f>
        <v/>
      </c>
      <c r="AC70" s="112">
        <f>SUMIFS('Committments Dump'!$S:$S,'Committments Dump'!$C:$C,'Category Table'!AC$2,'Committments Dump'!$B:$B,'Category Table'!$A70)</f>
        <v/>
      </c>
      <c r="AD70" s="111">
        <f>U70+X70+AA70</f>
        <v/>
      </c>
      <c r="AE70" s="112">
        <f>V70+Y70+AB70</f>
        <v/>
      </c>
      <c r="AF70" s="112">
        <f>W70+Z70+AC70</f>
        <v/>
      </c>
      <c r="AG70" s="111">
        <f>R70+AD70</f>
        <v/>
      </c>
      <c r="AH70" s="112">
        <f>S70+AE70</f>
        <v/>
      </c>
      <c r="AI70" s="112">
        <f>T70+AF70</f>
        <v/>
      </c>
      <c r="AJ70" s="111" t="n"/>
      <c r="AK70" s="112" t="n"/>
      <c r="AL70" s="112" t="n"/>
      <c r="AM70" s="111">
        <f>(O70-AG70)+AJ70</f>
        <v/>
      </c>
      <c r="AN70" s="112">
        <f>(P70-AH70)+AK70</f>
        <v/>
      </c>
      <c r="AO70" s="112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13" t="n">
        <v>0</v>
      </c>
      <c r="D71" s="114" t="n">
        <v>0</v>
      </c>
      <c r="E71" s="114" t="n">
        <v>0</v>
      </c>
      <c r="F71" s="113" t="n">
        <v>0</v>
      </c>
      <c r="G71" s="114" t="n">
        <v>0</v>
      </c>
      <c r="H71" s="114" t="n">
        <v>59537.5</v>
      </c>
      <c r="I71" s="113" t="n">
        <v>0</v>
      </c>
      <c r="J71" s="114" t="n">
        <v>0</v>
      </c>
      <c r="K71" s="114" t="n">
        <v>0</v>
      </c>
      <c r="L71" s="113" t="n">
        <v>0</v>
      </c>
      <c r="M71" s="114" t="n">
        <v>0</v>
      </c>
      <c r="N71" s="114" t="n">
        <v>0</v>
      </c>
      <c r="O71" s="113">
        <f>L71+I71+F71+C71</f>
        <v/>
      </c>
      <c r="P71" s="114">
        <f>M71+J71+G71+D71</f>
        <v/>
      </c>
      <c r="Q71" s="114">
        <f>N71+K71+H71+E71</f>
        <v/>
      </c>
      <c r="R71" s="113">
        <f>SUMIFS('PO Log'!$E:$E,'PO Log'!$D:$D,'Category Table'!R$2,'PO Log'!$C:$C,'Category Table'!$A71)</f>
        <v/>
      </c>
      <c r="S71" s="114">
        <f>SUMIFS('PO Log'!$E:$E,'PO Log'!$D:$D,'Category Table'!S$2,'PO Log'!$C:$C,'Category Table'!$A71)</f>
        <v/>
      </c>
      <c r="T71" s="114">
        <f>SUMIFS('PO Log'!$E:$E,'PO Log'!$D:$D,'Category Table'!T$2,'PO Log'!$C:$C,'Category Table'!$A71)</f>
        <v/>
      </c>
      <c r="U71" s="113">
        <f>SUMIFS('Committments Dump'!$Q:$Q,'Committments Dump'!$C:$C,'Category Table'!U$2,'Committments Dump'!$B:$B,'Category Table'!$A71)</f>
        <v/>
      </c>
      <c r="V71" s="114">
        <f>SUMIFS('Committments Dump'!$Q:$Q,'Committments Dump'!$C:$C,'Category Table'!V$2,'Committments Dump'!$B:$B,'Category Table'!$A71)</f>
        <v/>
      </c>
      <c r="W71" s="114">
        <f>SUMIFS('Committments Dump'!$Q:$Q,'Committments Dump'!$C:$C,'Category Table'!W$2,'Committments Dump'!$B:$B,'Category Table'!$A71)</f>
        <v/>
      </c>
      <c r="X71" s="113">
        <f>SUMIFS('Committments Dump'!$R:$R,'Committments Dump'!$C:$C,'Category Table'!X$2,'Committments Dump'!$B:$B,'Category Table'!$A71)</f>
        <v/>
      </c>
      <c r="Y71" s="114">
        <f>SUMIFS('Committments Dump'!$R:$R,'Committments Dump'!$C:$C,'Category Table'!Y$2,'Committments Dump'!$B:$B,'Category Table'!$A71)</f>
        <v/>
      </c>
      <c r="Z71" s="114">
        <f>SUMIFS('Committments Dump'!$R:$R,'Committments Dump'!$C:$C,'Category Table'!Z$2,'Committments Dump'!$B:$B,'Category Table'!$A71)</f>
        <v/>
      </c>
      <c r="AA71" s="113">
        <f>SUMIFS('Committments Dump'!$S:$S,'Committments Dump'!$C:$C,'Category Table'!AA$2,'Committments Dump'!$B:$B,'Category Table'!$A71)</f>
        <v/>
      </c>
      <c r="AB71" s="114">
        <f>SUMIFS('Committments Dump'!$S:$S,'Committments Dump'!$C:$C,'Category Table'!AB$2,'Committments Dump'!$B:$B,'Category Table'!$A71)</f>
        <v/>
      </c>
      <c r="AC71" s="114">
        <f>SUMIFS('Committments Dump'!$S:$S,'Committments Dump'!$C:$C,'Category Table'!AC$2,'Committments Dump'!$B:$B,'Category Table'!$A71)</f>
        <v/>
      </c>
      <c r="AD71" s="113">
        <f>U71+X71+AA71</f>
        <v/>
      </c>
      <c r="AE71" s="114">
        <f>V71+Y71+AB71</f>
        <v/>
      </c>
      <c r="AF71" s="114">
        <f>W71+Z71+AC71</f>
        <v/>
      </c>
      <c r="AG71" s="113">
        <f>R71+AD71</f>
        <v/>
      </c>
      <c r="AH71" s="114">
        <f>S71+AE71</f>
        <v/>
      </c>
      <c r="AI71" s="114">
        <f>T71+AF71</f>
        <v/>
      </c>
      <c r="AJ71" s="113" t="n"/>
      <c r="AK71" s="114" t="n"/>
      <c r="AL71" s="114" t="n"/>
      <c r="AM71" s="113">
        <f>(O71-AG71)+AJ71</f>
        <v/>
      </c>
      <c r="AN71" s="114">
        <f>(P71-AH71)+AK71</f>
        <v/>
      </c>
      <c r="AO71" s="114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11" t="n">
        <v>0</v>
      </c>
      <c r="D72" s="112" t="n">
        <v>0</v>
      </c>
      <c r="E72" s="112" t="n">
        <v>0</v>
      </c>
      <c r="F72" s="111" t="n">
        <v>0</v>
      </c>
      <c r="G72" s="112" t="n">
        <v>0</v>
      </c>
      <c r="H72" s="112" t="n">
        <v>8182.95</v>
      </c>
      <c r="I72" s="111" t="n">
        <v>0</v>
      </c>
      <c r="J72" s="112" t="n">
        <v>0</v>
      </c>
      <c r="K72" s="112" t="n">
        <v>0</v>
      </c>
      <c r="L72" s="111" t="n">
        <v>0</v>
      </c>
      <c r="M72" s="112" t="n">
        <v>0</v>
      </c>
      <c r="N72" s="112" t="n">
        <v>0</v>
      </c>
      <c r="O72" s="111">
        <f>L72+I72+F72+C72</f>
        <v/>
      </c>
      <c r="P72" s="112">
        <f>M72+J72+G72+D72</f>
        <v/>
      </c>
      <c r="Q72" s="112">
        <f>N72+K72+H72+E72</f>
        <v/>
      </c>
      <c r="R72" s="111">
        <f>SUMIFS('PO Log'!$E:$E,'PO Log'!$D:$D,'Category Table'!R$2,'PO Log'!$C:$C,'Category Table'!$A72)</f>
        <v/>
      </c>
      <c r="S72" s="112">
        <f>SUMIFS('PO Log'!$E:$E,'PO Log'!$D:$D,'Category Table'!S$2,'PO Log'!$C:$C,'Category Table'!$A72)</f>
        <v/>
      </c>
      <c r="T72" s="112">
        <f>SUMIFS('PO Log'!$E:$E,'PO Log'!$D:$D,'Category Table'!T$2,'PO Log'!$C:$C,'Category Table'!$A72)</f>
        <v/>
      </c>
      <c r="U72" s="111">
        <f>SUMIFS('Committments Dump'!$Q:$Q,'Committments Dump'!$C:$C,'Category Table'!U$2,'Committments Dump'!$B:$B,'Category Table'!$A72)</f>
        <v/>
      </c>
      <c r="V72" s="112">
        <f>SUMIFS('Committments Dump'!$Q:$Q,'Committments Dump'!$C:$C,'Category Table'!V$2,'Committments Dump'!$B:$B,'Category Table'!$A72)</f>
        <v/>
      </c>
      <c r="W72" s="112">
        <f>SUMIFS('Committments Dump'!$Q:$Q,'Committments Dump'!$C:$C,'Category Table'!W$2,'Committments Dump'!$B:$B,'Category Table'!$A72)</f>
        <v/>
      </c>
      <c r="X72" s="111">
        <f>SUMIFS('Committments Dump'!$R:$R,'Committments Dump'!$C:$C,'Category Table'!X$2,'Committments Dump'!$B:$B,'Category Table'!$A72)</f>
        <v/>
      </c>
      <c r="Y72" s="112">
        <f>SUMIFS('Committments Dump'!$R:$R,'Committments Dump'!$C:$C,'Category Table'!Y$2,'Committments Dump'!$B:$B,'Category Table'!$A72)</f>
        <v/>
      </c>
      <c r="Z72" s="112">
        <f>SUMIFS('Committments Dump'!$R:$R,'Committments Dump'!$C:$C,'Category Table'!Z$2,'Committments Dump'!$B:$B,'Category Table'!$A72)</f>
        <v/>
      </c>
      <c r="AA72" s="111">
        <f>SUMIFS('Committments Dump'!$S:$S,'Committments Dump'!$C:$C,'Category Table'!AA$2,'Committments Dump'!$B:$B,'Category Table'!$A72)</f>
        <v/>
      </c>
      <c r="AB72" s="112">
        <f>SUMIFS('Committments Dump'!$S:$S,'Committments Dump'!$C:$C,'Category Table'!AB$2,'Committments Dump'!$B:$B,'Category Table'!$A72)</f>
        <v/>
      </c>
      <c r="AC72" s="112">
        <f>SUMIFS('Committments Dump'!$S:$S,'Committments Dump'!$C:$C,'Category Table'!AC$2,'Committments Dump'!$B:$B,'Category Table'!$A72)</f>
        <v/>
      </c>
      <c r="AD72" s="111">
        <f>U72+X72+AA72</f>
        <v/>
      </c>
      <c r="AE72" s="112">
        <f>V72+Y72+AB72</f>
        <v/>
      </c>
      <c r="AF72" s="112">
        <f>W72+Z72+AC72</f>
        <v/>
      </c>
      <c r="AG72" s="111">
        <f>R72+AD72</f>
        <v/>
      </c>
      <c r="AH72" s="112">
        <f>S72+AE72</f>
        <v/>
      </c>
      <c r="AI72" s="112">
        <f>T72+AF72</f>
        <v/>
      </c>
      <c r="AJ72" s="111" t="n"/>
      <c r="AK72" s="112" t="n"/>
      <c r="AL72" s="112" t="n"/>
      <c r="AM72" s="111">
        <f>(O72-AG72)+AJ72</f>
        <v/>
      </c>
      <c r="AN72" s="112">
        <f>(P72-AH72)+AK72</f>
        <v/>
      </c>
      <c r="AO72" s="112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13" t="n">
        <v>0</v>
      </c>
      <c r="D73" s="114" t="n">
        <v>0</v>
      </c>
      <c r="E73" s="114" t="n">
        <v>0</v>
      </c>
      <c r="F73" s="113" t="n">
        <v>95200</v>
      </c>
      <c r="G73" s="114" t="n">
        <v>0</v>
      </c>
      <c r="H73" s="114" t="n">
        <v>0</v>
      </c>
      <c r="I73" s="113" t="n">
        <v>0</v>
      </c>
      <c r="J73" s="114" t="n">
        <v>0</v>
      </c>
      <c r="K73" s="114" t="n">
        <v>0</v>
      </c>
      <c r="L73" s="113" t="n">
        <v>0</v>
      </c>
      <c r="M73" s="114" t="n">
        <v>0</v>
      </c>
      <c r="N73" s="114" t="n">
        <v>0</v>
      </c>
      <c r="O73" s="113">
        <f>L73+I73+F73+C73</f>
        <v/>
      </c>
      <c r="P73" s="114">
        <f>M73+J73+G73+D73</f>
        <v/>
      </c>
      <c r="Q73" s="114">
        <f>N73+K73+H73+E73</f>
        <v/>
      </c>
      <c r="R73" s="113">
        <f>SUMIFS('PO Log'!$E:$E,'PO Log'!$D:$D,'Category Table'!R$2,'PO Log'!$C:$C,'Category Table'!$A73)</f>
        <v/>
      </c>
      <c r="S73" s="114">
        <f>SUMIFS('PO Log'!$E:$E,'PO Log'!$D:$D,'Category Table'!S$2,'PO Log'!$C:$C,'Category Table'!$A73)</f>
        <v/>
      </c>
      <c r="T73" s="114">
        <f>SUMIFS('PO Log'!$E:$E,'PO Log'!$D:$D,'Category Table'!T$2,'PO Log'!$C:$C,'Category Table'!$A73)</f>
        <v/>
      </c>
      <c r="U73" s="113">
        <f>SUMIFS('Committments Dump'!$Q:$Q,'Committments Dump'!$C:$C,'Category Table'!U$2,'Committments Dump'!$B:$B,'Category Table'!$A73)</f>
        <v/>
      </c>
      <c r="V73" s="114">
        <f>SUMIFS('Committments Dump'!$Q:$Q,'Committments Dump'!$C:$C,'Category Table'!V$2,'Committments Dump'!$B:$B,'Category Table'!$A73)</f>
        <v/>
      </c>
      <c r="W73" s="114">
        <f>SUMIFS('Committments Dump'!$Q:$Q,'Committments Dump'!$C:$C,'Category Table'!W$2,'Committments Dump'!$B:$B,'Category Table'!$A73)</f>
        <v/>
      </c>
      <c r="X73" s="113">
        <f>SUMIFS('Committments Dump'!$R:$R,'Committments Dump'!$C:$C,'Category Table'!X$2,'Committments Dump'!$B:$B,'Category Table'!$A73)</f>
        <v/>
      </c>
      <c r="Y73" s="114">
        <f>SUMIFS('Committments Dump'!$R:$R,'Committments Dump'!$C:$C,'Category Table'!Y$2,'Committments Dump'!$B:$B,'Category Table'!$A73)</f>
        <v/>
      </c>
      <c r="Z73" s="114">
        <f>SUMIFS('Committments Dump'!$R:$R,'Committments Dump'!$C:$C,'Category Table'!Z$2,'Committments Dump'!$B:$B,'Category Table'!$A73)</f>
        <v/>
      </c>
      <c r="AA73" s="113">
        <f>SUMIFS('Committments Dump'!$S:$S,'Committments Dump'!$C:$C,'Category Table'!AA$2,'Committments Dump'!$B:$B,'Category Table'!$A73)</f>
        <v/>
      </c>
      <c r="AB73" s="114">
        <f>SUMIFS('Committments Dump'!$S:$S,'Committments Dump'!$C:$C,'Category Table'!AB$2,'Committments Dump'!$B:$B,'Category Table'!$A73)</f>
        <v/>
      </c>
      <c r="AC73" s="114">
        <f>SUMIFS('Committments Dump'!$S:$S,'Committments Dump'!$C:$C,'Category Table'!AC$2,'Committments Dump'!$B:$B,'Category Table'!$A73)</f>
        <v/>
      </c>
      <c r="AD73" s="113">
        <f>U73+X73+AA73</f>
        <v/>
      </c>
      <c r="AE73" s="114">
        <f>V73+Y73+AB73</f>
        <v/>
      </c>
      <c r="AF73" s="114">
        <f>W73+Z73+AC73</f>
        <v/>
      </c>
      <c r="AG73" s="113">
        <f>R73+AD73</f>
        <v/>
      </c>
      <c r="AH73" s="114">
        <f>S73+AE73</f>
        <v/>
      </c>
      <c r="AI73" s="114">
        <f>T73+AF73</f>
        <v/>
      </c>
      <c r="AJ73" s="113" t="n"/>
      <c r="AK73" s="114" t="n"/>
      <c r="AL73" s="114" t="n"/>
      <c r="AM73" s="113">
        <f>(O73-AG73)+AJ73</f>
        <v/>
      </c>
      <c r="AN73" s="114">
        <f>(P73-AH73)+AK73</f>
        <v/>
      </c>
      <c r="AO73" s="114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11" t="n">
        <v>0</v>
      </c>
      <c r="D74" s="112" t="n">
        <v>0</v>
      </c>
      <c r="E74" s="112" t="n">
        <v>0</v>
      </c>
      <c r="F74" s="111" t="n">
        <v>66371.18000000001</v>
      </c>
      <c r="G74" s="112" t="n">
        <v>0</v>
      </c>
      <c r="H74" s="112" t="n">
        <v>0</v>
      </c>
      <c r="I74" s="111" t="n">
        <v>0</v>
      </c>
      <c r="J74" s="112" t="n">
        <v>0</v>
      </c>
      <c r="K74" s="112" t="n">
        <v>0</v>
      </c>
      <c r="L74" s="111" t="n">
        <v>0</v>
      </c>
      <c r="M74" s="112" t="n">
        <v>0</v>
      </c>
      <c r="N74" s="112" t="n">
        <v>0</v>
      </c>
      <c r="O74" s="111">
        <f>L74+I74+F74+C74</f>
        <v/>
      </c>
      <c r="P74" s="112">
        <f>M74+J74+G74+D74</f>
        <v/>
      </c>
      <c r="Q74" s="112">
        <f>N74+K74+H74+E74</f>
        <v/>
      </c>
      <c r="R74" s="111">
        <f>SUMIFS('PO Log'!$E:$E,'PO Log'!$D:$D,'Category Table'!R$2,'PO Log'!$C:$C,'Category Table'!$A74)</f>
        <v/>
      </c>
      <c r="S74" s="112">
        <f>SUMIFS('PO Log'!$E:$E,'PO Log'!$D:$D,'Category Table'!S$2,'PO Log'!$C:$C,'Category Table'!$A74)</f>
        <v/>
      </c>
      <c r="T74" s="112">
        <f>SUMIFS('PO Log'!$E:$E,'PO Log'!$D:$D,'Category Table'!T$2,'PO Log'!$C:$C,'Category Table'!$A74)</f>
        <v/>
      </c>
      <c r="U74" s="111">
        <f>SUMIFS('Committments Dump'!$Q:$Q,'Committments Dump'!$C:$C,'Category Table'!U$2,'Committments Dump'!$B:$B,'Category Table'!$A74)</f>
        <v/>
      </c>
      <c r="V74" s="112">
        <f>SUMIFS('Committments Dump'!$Q:$Q,'Committments Dump'!$C:$C,'Category Table'!V$2,'Committments Dump'!$B:$B,'Category Table'!$A74)</f>
        <v/>
      </c>
      <c r="W74" s="112">
        <f>SUMIFS('Committments Dump'!$Q:$Q,'Committments Dump'!$C:$C,'Category Table'!W$2,'Committments Dump'!$B:$B,'Category Table'!$A74)</f>
        <v/>
      </c>
      <c r="X74" s="111">
        <f>SUMIFS('Committments Dump'!$R:$R,'Committments Dump'!$C:$C,'Category Table'!X$2,'Committments Dump'!$B:$B,'Category Table'!$A74)</f>
        <v/>
      </c>
      <c r="Y74" s="112">
        <f>SUMIFS('Committments Dump'!$R:$R,'Committments Dump'!$C:$C,'Category Table'!Y$2,'Committments Dump'!$B:$B,'Category Table'!$A74)</f>
        <v/>
      </c>
      <c r="Z74" s="112">
        <f>SUMIFS('Committments Dump'!$R:$R,'Committments Dump'!$C:$C,'Category Table'!Z$2,'Committments Dump'!$B:$B,'Category Table'!$A74)</f>
        <v/>
      </c>
      <c r="AA74" s="111">
        <f>SUMIFS('Committments Dump'!$S:$S,'Committments Dump'!$C:$C,'Category Table'!AA$2,'Committments Dump'!$B:$B,'Category Table'!$A74)</f>
        <v/>
      </c>
      <c r="AB74" s="112">
        <f>SUMIFS('Committments Dump'!$S:$S,'Committments Dump'!$C:$C,'Category Table'!AB$2,'Committments Dump'!$B:$B,'Category Table'!$A74)</f>
        <v/>
      </c>
      <c r="AC74" s="112">
        <f>SUMIFS('Committments Dump'!$S:$S,'Committments Dump'!$C:$C,'Category Table'!AC$2,'Committments Dump'!$B:$B,'Category Table'!$A74)</f>
        <v/>
      </c>
      <c r="AD74" s="111">
        <f>U74+X74+AA74</f>
        <v/>
      </c>
      <c r="AE74" s="112">
        <f>V74+Y74+AB74</f>
        <v/>
      </c>
      <c r="AF74" s="112">
        <f>W74+Z74+AC74</f>
        <v/>
      </c>
      <c r="AG74" s="111">
        <f>R74+AD74</f>
        <v/>
      </c>
      <c r="AH74" s="112">
        <f>S74+AE74</f>
        <v/>
      </c>
      <c r="AI74" s="112">
        <f>T74+AF74</f>
        <v/>
      </c>
      <c r="AJ74" s="111" t="n"/>
      <c r="AK74" s="112" t="n"/>
      <c r="AL74" s="112" t="n"/>
      <c r="AM74" s="111">
        <f>(O74-AG74)+AJ74</f>
        <v/>
      </c>
      <c r="AN74" s="112">
        <f>(P74-AH74)+AK74</f>
        <v/>
      </c>
      <c r="AO74" s="112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13" t="n">
        <v>0</v>
      </c>
      <c r="D75" s="114" t="n">
        <v>0</v>
      </c>
      <c r="E75" s="114" t="n">
        <v>0</v>
      </c>
      <c r="F75" s="113" t="n">
        <v>60400</v>
      </c>
      <c r="G75" s="114" t="n">
        <v>0</v>
      </c>
      <c r="H75" s="114" t="n">
        <v>0</v>
      </c>
      <c r="I75" s="113" t="n">
        <v>0</v>
      </c>
      <c r="J75" s="114" t="n">
        <v>0</v>
      </c>
      <c r="K75" s="114" t="n">
        <v>0</v>
      </c>
      <c r="L75" s="113" t="n">
        <v>0</v>
      </c>
      <c r="M75" s="114" t="n">
        <v>0</v>
      </c>
      <c r="N75" s="114" t="n">
        <v>0</v>
      </c>
      <c r="O75" s="113">
        <f>L75+I75+F75+C75</f>
        <v/>
      </c>
      <c r="P75" s="114">
        <f>M75+J75+G75+D75</f>
        <v/>
      </c>
      <c r="Q75" s="114">
        <f>N75+K75+H75+E75</f>
        <v/>
      </c>
      <c r="R75" s="113">
        <f>SUMIFS('PO Log'!$E:$E,'PO Log'!$D:$D,'Category Table'!R$2,'PO Log'!$C:$C,'Category Table'!$A75)</f>
        <v/>
      </c>
      <c r="S75" s="114">
        <f>SUMIFS('PO Log'!$E:$E,'PO Log'!$D:$D,'Category Table'!S$2,'PO Log'!$C:$C,'Category Table'!$A75)</f>
        <v/>
      </c>
      <c r="T75" s="114">
        <f>SUMIFS('PO Log'!$E:$E,'PO Log'!$D:$D,'Category Table'!T$2,'PO Log'!$C:$C,'Category Table'!$A75)</f>
        <v/>
      </c>
      <c r="U75" s="113">
        <f>SUMIFS('Committments Dump'!$Q:$Q,'Committments Dump'!$C:$C,'Category Table'!U$2,'Committments Dump'!$B:$B,'Category Table'!$A75)</f>
        <v/>
      </c>
      <c r="V75" s="114">
        <f>SUMIFS('Committments Dump'!$Q:$Q,'Committments Dump'!$C:$C,'Category Table'!V$2,'Committments Dump'!$B:$B,'Category Table'!$A75)</f>
        <v/>
      </c>
      <c r="W75" s="114">
        <f>SUMIFS('Committments Dump'!$Q:$Q,'Committments Dump'!$C:$C,'Category Table'!W$2,'Committments Dump'!$B:$B,'Category Table'!$A75)</f>
        <v/>
      </c>
      <c r="X75" s="113">
        <f>SUMIFS('Committments Dump'!$R:$R,'Committments Dump'!$C:$C,'Category Table'!X$2,'Committments Dump'!$B:$B,'Category Table'!$A75)</f>
        <v/>
      </c>
      <c r="Y75" s="114">
        <f>SUMIFS('Committments Dump'!$R:$R,'Committments Dump'!$C:$C,'Category Table'!Y$2,'Committments Dump'!$B:$B,'Category Table'!$A75)</f>
        <v/>
      </c>
      <c r="Z75" s="114">
        <f>SUMIFS('Committments Dump'!$R:$R,'Committments Dump'!$C:$C,'Category Table'!Z$2,'Committments Dump'!$B:$B,'Category Table'!$A75)</f>
        <v/>
      </c>
      <c r="AA75" s="113">
        <f>SUMIFS('Committments Dump'!$S:$S,'Committments Dump'!$C:$C,'Category Table'!AA$2,'Committments Dump'!$B:$B,'Category Table'!$A75)</f>
        <v/>
      </c>
      <c r="AB75" s="114">
        <f>SUMIFS('Committments Dump'!$S:$S,'Committments Dump'!$C:$C,'Category Table'!AB$2,'Committments Dump'!$B:$B,'Category Table'!$A75)</f>
        <v/>
      </c>
      <c r="AC75" s="114">
        <f>SUMIFS('Committments Dump'!$S:$S,'Committments Dump'!$C:$C,'Category Table'!AC$2,'Committments Dump'!$B:$B,'Category Table'!$A75)</f>
        <v/>
      </c>
      <c r="AD75" s="113">
        <f>U75+X75+AA75</f>
        <v/>
      </c>
      <c r="AE75" s="114">
        <f>V75+Y75+AB75</f>
        <v/>
      </c>
      <c r="AF75" s="114">
        <f>W75+Z75+AC75</f>
        <v/>
      </c>
      <c r="AG75" s="113">
        <f>R75+AD75</f>
        <v/>
      </c>
      <c r="AH75" s="114">
        <f>S75+AE75</f>
        <v/>
      </c>
      <c r="AI75" s="114">
        <f>T75+AF75</f>
        <v/>
      </c>
      <c r="AJ75" s="113" t="n"/>
      <c r="AK75" s="114" t="n"/>
      <c r="AL75" s="114" t="n"/>
      <c r="AM75" s="113">
        <f>(O75-AG75)+AJ75</f>
        <v/>
      </c>
      <c r="AN75" s="114">
        <f>(P75-AH75)+AK75</f>
        <v/>
      </c>
      <c r="AO75" s="114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11" t="n">
        <v>0</v>
      </c>
      <c r="D76" s="112" t="n">
        <v>0</v>
      </c>
      <c r="E76" s="112" t="n">
        <v>0</v>
      </c>
      <c r="F76" s="111" t="n">
        <v>0</v>
      </c>
      <c r="G76" s="112" t="n">
        <v>0</v>
      </c>
      <c r="H76" s="112" t="n">
        <v>7988.362888888922</v>
      </c>
      <c r="I76" s="111" t="n">
        <v>0</v>
      </c>
      <c r="J76" s="112" t="n">
        <v>0</v>
      </c>
      <c r="K76" s="112" t="n">
        <v>0</v>
      </c>
      <c r="L76" s="111" t="n">
        <v>0</v>
      </c>
      <c r="M76" s="112" t="n">
        <v>0</v>
      </c>
      <c r="N76" s="112" t="n">
        <v>0</v>
      </c>
      <c r="O76" s="111">
        <f>L76+I76+F76+C76</f>
        <v/>
      </c>
      <c r="P76" s="112">
        <f>M76+J76+G76+D76</f>
        <v/>
      </c>
      <c r="Q76" s="112">
        <f>N76+K76+H76+E76</f>
        <v/>
      </c>
      <c r="R76" s="111">
        <f>SUMIFS('PO Log'!$E:$E,'PO Log'!$D:$D,'Category Table'!R$2,'PO Log'!$C:$C,'Category Table'!$A76)</f>
        <v/>
      </c>
      <c r="S76" s="112">
        <f>SUMIFS('PO Log'!$E:$E,'PO Log'!$D:$D,'Category Table'!S$2,'PO Log'!$C:$C,'Category Table'!$A76)</f>
        <v/>
      </c>
      <c r="T76" s="112">
        <f>SUMIFS('PO Log'!$E:$E,'PO Log'!$D:$D,'Category Table'!T$2,'PO Log'!$C:$C,'Category Table'!$A76)</f>
        <v/>
      </c>
      <c r="U76" s="111">
        <f>SUMIFS('Committments Dump'!$Q:$Q,'Committments Dump'!$C:$C,'Category Table'!U$2,'Committments Dump'!$B:$B,'Category Table'!$A76)</f>
        <v/>
      </c>
      <c r="V76" s="112">
        <f>SUMIFS('Committments Dump'!$Q:$Q,'Committments Dump'!$C:$C,'Category Table'!V$2,'Committments Dump'!$B:$B,'Category Table'!$A76)</f>
        <v/>
      </c>
      <c r="W76" s="112">
        <f>SUMIFS('Committments Dump'!$Q:$Q,'Committments Dump'!$C:$C,'Category Table'!W$2,'Committments Dump'!$B:$B,'Category Table'!$A76)</f>
        <v/>
      </c>
      <c r="X76" s="111">
        <f>SUMIFS('Committments Dump'!$R:$R,'Committments Dump'!$C:$C,'Category Table'!X$2,'Committments Dump'!$B:$B,'Category Table'!$A76)</f>
        <v/>
      </c>
      <c r="Y76" s="112">
        <f>SUMIFS('Committments Dump'!$R:$R,'Committments Dump'!$C:$C,'Category Table'!Y$2,'Committments Dump'!$B:$B,'Category Table'!$A76)</f>
        <v/>
      </c>
      <c r="Z76" s="112">
        <f>SUMIFS('Committments Dump'!$R:$R,'Committments Dump'!$C:$C,'Category Table'!Z$2,'Committments Dump'!$B:$B,'Category Table'!$A76)</f>
        <v/>
      </c>
      <c r="AA76" s="111">
        <f>SUMIFS('Committments Dump'!$S:$S,'Committments Dump'!$C:$C,'Category Table'!AA$2,'Committments Dump'!$B:$B,'Category Table'!$A76)</f>
        <v/>
      </c>
      <c r="AB76" s="112">
        <f>SUMIFS('Committments Dump'!$S:$S,'Committments Dump'!$C:$C,'Category Table'!AB$2,'Committments Dump'!$B:$B,'Category Table'!$A76)</f>
        <v/>
      </c>
      <c r="AC76" s="112">
        <f>SUMIFS('Committments Dump'!$S:$S,'Committments Dump'!$C:$C,'Category Table'!AC$2,'Committments Dump'!$B:$B,'Category Table'!$A76)</f>
        <v/>
      </c>
      <c r="AD76" s="111">
        <f>U76+X76+AA76</f>
        <v/>
      </c>
      <c r="AE76" s="112">
        <f>V76+Y76+AB76</f>
        <v/>
      </c>
      <c r="AF76" s="112">
        <f>W76+Z76+AC76</f>
        <v/>
      </c>
      <c r="AG76" s="111">
        <f>R76+AD76</f>
        <v/>
      </c>
      <c r="AH76" s="112">
        <f>S76+AE76</f>
        <v/>
      </c>
      <c r="AI76" s="112">
        <f>T76+AF76</f>
        <v/>
      </c>
      <c r="AJ76" s="111" t="n"/>
      <c r="AK76" s="112" t="n"/>
      <c r="AL76" s="112" t="n"/>
      <c r="AM76" s="111">
        <f>(O76-AG76)+AJ76</f>
        <v/>
      </c>
      <c r="AN76" s="112">
        <f>(P76-AH76)+AK76</f>
        <v/>
      </c>
      <c r="AO76" s="112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13" t="n">
        <v>0</v>
      </c>
      <c r="D77" s="114" t="n">
        <v>48956.07</v>
      </c>
      <c r="E77" s="114" t="n">
        <v>0</v>
      </c>
      <c r="F77" s="113" t="n">
        <v>0</v>
      </c>
      <c r="G77" s="114" t="n">
        <v>0</v>
      </c>
      <c r="H77" s="114" t="n">
        <v>8000</v>
      </c>
      <c r="I77" s="113" t="n">
        <v>0</v>
      </c>
      <c r="J77" s="114" t="n">
        <v>0</v>
      </c>
      <c r="K77" s="114" t="n">
        <v>0</v>
      </c>
      <c r="L77" s="113" t="n">
        <v>0</v>
      </c>
      <c r="M77" s="114" t="n">
        <v>0</v>
      </c>
      <c r="N77" s="114" t="n">
        <v>0</v>
      </c>
      <c r="O77" s="113">
        <f>L77+I77+F77+C77</f>
        <v/>
      </c>
      <c r="P77" s="114">
        <f>M77+J77+G77+D77</f>
        <v/>
      </c>
      <c r="Q77" s="114">
        <f>N77+K77+H77+E77</f>
        <v/>
      </c>
      <c r="R77" s="113">
        <f>SUMIFS('PO Log'!$E:$E,'PO Log'!$D:$D,'Category Table'!R$2,'PO Log'!$C:$C,'Category Table'!$A77)</f>
        <v/>
      </c>
      <c r="S77" s="114">
        <f>SUMIFS('PO Log'!$E:$E,'PO Log'!$D:$D,'Category Table'!S$2,'PO Log'!$C:$C,'Category Table'!$A77)</f>
        <v/>
      </c>
      <c r="T77" s="114">
        <f>SUMIFS('PO Log'!$E:$E,'PO Log'!$D:$D,'Category Table'!T$2,'PO Log'!$C:$C,'Category Table'!$A77)</f>
        <v/>
      </c>
      <c r="U77" s="113">
        <f>SUMIFS('Committments Dump'!$Q:$Q,'Committments Dump'!$C:$C,'Category Table'!U$2,'Committments Dump'!$B:$B,'Category Table'!$A77)</f>
        <v/>
      </c>
      <c r="V77" s="114">
        <f>SUMIFS('Committments Dump'!$Q:$Q,'Committments Dump'!$C:$C,'Category Table'!V$2,'Committments Dump'!$B:$B,'Category Table'!$A77)</f>
        <v/>
      </c>
      <c r="W77" s="114">
        <f>SUMIFS('Committments Dump'!$Q:$Q,'Committments Dump'!$C:$C,'Category Table'!W$2,'Committments Dump'!$B:$B,'Category Table'!$A77)</f>
        <v/>
      </c>
      <c r="X77" s="113">
        <f>SUMIFS('Committments Dump'!$R:$R,'Committments Dump'!$C:$C,'Category Table'!X$2,'Committments Dump'!$B:$B,'Category Table'!$A77)</f>
        <v/>
      </c>
      <c r="Y77" s="114">
        <f>SUMIFS('Committments Dump'!$R:$R,'Committments Dump'!$C:$C,'Category Table'!Y$2,'Committments Dump'!$B:$B,'Category Table'!$A77)</f>
        <v/>
      </c>
      <c r="Z77" s="114">
        <f>SUMIFS('Committments Dump'!$R:$R,'Committments Dump'!$C:$C,'Category Table'!Z$2,'Committments Dump'!$B:$B,'Category Table'!$A77)</f>
        <v/>
      </c>
      <c r="AA77" s="113">
        <f>SUMIFS('Committments Dump'!$S:$S,'Committments Dump'!$C:$C,'Category Table'!AA$2,'Committments Dump'!$B:$B,'Category Table'!$A77)</f>
        <v/>
      </c>
      <c r="AB77" s="114">
        <f>SUMIFS('Committments Dump'!$S:$S,'Committments Dump'!$C:$C,'Category Table'!AB$2,'Committments Dump'!$B:$B,'Category Table'!$A77)</f>
        <v/>
      </c>
      <c r="AC77" s="114">
        <f>SUMIFS('Committments Dump'!$S:$S,'Committments Dump'!$C:$C,'Category Table'!AC$2,'Committments Dump'!$B:$B,'Category Table'!$A77)</f>
        <v/>
      </c>
      <c r="AD77" s="113">
        <f>U77+X77+AA77</f>
        <v/>
      </c>
      <c r="AE77" s="114">
        <f>V77+Y77+AB77</f>
        <v/>
      </c>
      <c r="AF77" s="114">
        <f>W77+Z77+AC77</f>
        <v/>
      </c>
      <c r="AG77" s="113">
        <f>R77+AD77</f>
        <v/>
      </c>
      <c r="AH77" s="114">
        <f>S77+AE77</f>
        <v/>
      </c>
      <c r="AI77" s="114">
        <f>T77+AF77</f>
        <v/>
      </c>
      <c r="AJ77" s="113" t="n"/>
      <c r="AK77" s="114" t="n"/>
      <c r="AL77" s="114" t="n"/>
      <c r="AM77" s="113">
        <f>(O77-AG77)+AJ77</f>
        <v/>
      </c>
      <c r="AN77" s="114">
        <f>(P77-AH77)+AK77</f>
        <v/>
      </c>
      <c r="AO77" s="114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11" t="n">
        <v>0</v>
      </c>
      <c r="D78" s="112" t="n">
        <v>24756.07</v>
      </c>
      <c r="E78" s="112" t="n">
        <v>0</v>
      </c>
      <c r="F78" s="111" t="n">
        <v>0</v>
      </c>
      <c r="G78" s="112" t="n">
        <v>0</v>
      </c>
      <c r="H78" s="112" t="n">
        <v>18278.9266526316</v>
      </c>
      <c r="I78" s="111" t="n">
        <v>0</v>
      </c>
      <c r="J78" s="112" t="n">
        <v>0</v>
      </c>
      <c r="K78" s="112" t="n">
        <v>0</v>
      </c>
      <c r="L78" s="111" t="n">
        <v>0</v>
      </c>
      <c r="M78" s="112" t="n">
        <v>82.58000000000175</v>
      </c>
      <c r="N78" s="112" t="n">
        <v>99900</v>
      </c>
      <c r="O78" s="111">
        <f>L78+I78+F78+C78</f>
        <v/>
      </c>
      <c r="P78" s="112">
        <f>M78+J78+G78+D78</f>
        <v/>
      </c>
      <c r="Q78" s="112">
        <f>N78+K78+H78+E78</f>
        <v/>
      </c>
      <c r="R78" s="111">
        <f>SUMIFS('PO Log'!$E:$E,'PO Log'!$D:$D,'Category Table'!R$2,'PO Log'!$C:$C,'Category Table'!$A78)</f>
        <v/>
      </c>
      <c r="S78" s="112">
        <f>SUMIFS('PO Log'!$E:$E,'PO Log'!$D:$D,'Category Table'!S$2,'PO Log'!$C:$C,'Category Table'!$A78)</f>
        <v/>
      </c>
      <c r="T78" s="112">
        <f>SUMIFS('PO Log'!$E:$E,'PO Log'!$D:$D,'Category Table'!T$2,'PO Log'!$C:$C,'Category Table'!$A78)</f>
        <v/>
      </c>
      <c r="U78" s="111">
        <f>SUMIFS('Committments Dump'!$Q:$Q,'Committments Dump'!$C:$C,'Category Table'!U$2,'Committments Dump'!$B:$B,'Category Table'!$A78)</f>
        <v/>
      </c>
      <c r="V78" s="112">
        <f>SUMIFS('Committments Dump'!$Q:$Q,'Committments Dump'!$C:$C,'Category Table'!V$2,'Committments Dump'!$B:$B,'Category Table'!$A78)</f>
        <v/>
      </c>
      <c r="W78" s="112">
        <f>SUMIFS('Committments Dump'!$Q:$Q,'Committments Dump'!$C:$C,'Category Table'!W$2,'Committments Dump'!$B:$B,'Category Table'!$A78)</f>
        <v/>
      </c>
      <c r="X78" s="111">
        <f>SUMIFS('Committments Dump'!$R:$R,'Committments Dump'!$C:$C,'Category Table'!X$2,'Committments Dump'!$B:$B,'Category Table'!$A78)</f>
        <v/>
      </c>
      <c r="Y78" s="112">
        <f>SUMIFS('Committments Dump'!$R:$R,'Committments Dump'!$C:$C,'Category Table'!Y$2,'Committments Dump'!$B:$B,'Category Table'!$A78)</f>
        <v/>
      </c>
      <c r="Z78" s="112">
        <f>SUMIFS('Committments Dump'!$R:$R,'Committments Dump'!$C:$C,'Category Table'!Z$2,'Committments Dump'!$B:$B,'Category Table'!$A78)</f>
        <v/>
      </c>
      <c r="AA78" s="111">
        <f>SUMIFS('Committments Dump'!$S:$S,'Committments Dump'!$C:$C,'Category Table'!AA$2,'Committments Dump'!$B:$B,'Category Table'!$A78)</f>
        <v/>
      </c>
      <c r="AB78" s="112">
        <f>SUMIFS('Committments Dump'!$S:$S,'Committments Dump'!$C:$C,'Category Table'!AB$2,'Committments Dump'!$B:$B,'Category Table'!$A78)</f>
        <v/>
      </c>
      <c r="AC78" s="112">
        <f>SUMIFS('Committments Dump'!$S:$S,'Committments Dump'!$C:$C,'Category Table'!AC$2,'Committments Dump'!$B:$B,'Category Table'!$A78)</f>
        <v/>
      </c>
      <c r="AD78" s="111">
        <f>U78+X78+AA78</f>
        <v/>
      </c>
      <c r="AE78" s="112">
        <f>V78+Y78+AB78</f>
        <v/>
      </c>
      <c r="AF78" s="112">
        <f>W78+Z78+AC78</f>
        <v/>
      </c>
      <c r="AG78" s="111">
        <f>R78+AD78</f>
        <v/>
      </c>
      <c r="AH78" s="112">
        <f>S78+AE78</f>
        <v/>
      </c>
      <c r="AI78" s="112">
        <f>T78+AF78</f>
        <v/>
      </c>
      <c r="AJ78" s="111" t="n"/>
      <c r="AK78" s="112" t="n"/>
      <c r="AL78" s="112" t="n"/>
      <c r="AM78" s="111">
        <f>(O78-AG78)+AJ78</f>
        <v/>
      </c>
      <c r="AN78" s="112">
        <f>(P78-AH78)+AK78</f>
        <v/>
      </c>
      <c r="AO78" s="112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13" t="n">
        <v>0</v>
      </c>
      <c r="D79" s="114" t="n">
        <v>0</v>
      </c>
      <c r="E79" s="114" t="n">
        <v>0</v>
      </c>
      <c r="F79" s="113" t="n">
        <v>0</v>
      </c>
      <c r="G79" s="114" t="n">
        <v>0</v>
      </c>
      <c r="H79" s="114" t="n">
        <v>0</v>
      </c>
      <c r="I79" s="113" t="n">
        <v>0</v>
      </c>
      <c r="J79" s="114" t="n">
        <v>0</v>
      </c>
      <c r="K79" s="114" t="n">
        <v>0</v>
      </c>
      <c r="L79" s="113" t="n">
        <v>0</v>
      </c>
      <c r="M79" s="114" t="n">
        <v>0</v>
      </c>
      <c r="N79" s="114" t="n">
        <v>0</v>
      </c>
      <c r="O79" s="113">
        <f>L79+I79+F79+C79</f>
        <v/>
      </c>
      <c r="P79" s="114">
        <f>M79+J79+G79+D79</f>
        <v/>
      </c>
      <c r="Q79" s="114">
        <f>N79+K79+H79+E79</f>
        <v/>
      </c>
      <c r="R79" s="113">
        <f>SUMIFS('PO Log'!$E:$E,'PO Log'!$D:$D,'Category Table'!R$2,'PO Log'!$C:$C,'Category Table'!$A79)</f>
        <v/>
      </c>
      <c r="S79" s="114">
        <f>SUMIFS('PO Log'!$E:$E,'PO Log'!$D:$D,'Category Table'!S$2,'PO Log'!$C:$C,'Category Table'!$A79)</f>
        <v/>
      </c>
      <c r="T79" s="114">
        <f>SUMIFS('PO Log'!$E:$E,'PO Log'!$D:$D,'Category Table'!T$2,'PO Log'!$C:$C,'Category Table'!$A79)</f>
        <v/>
      </c>
      <c r="U79" s="113">
        <f>SUMIFS('Committments Dump'!$Q:$Q,'Committments Dump'!$C:$C,'Category Table'!U$2,'Committments Dump'!$B:$B,'Category Table'!$A79)</f>
        <v/>
      </c>
      <c r="V79" s="114">
        <f>SUMIFS('Committments Dump'!$Q:$Q,'Committments Dump'!$C:$C,'Category Table'!V$2,'Committments Dump'!$B:$B,'Category Table'!$A79)</f>
        <v/>
      </c>
      <c r="W79" s="114">
        <f>SUMIFS('Committments Dump'!$Q:$Q,'Committments Dump'!$C:$C,'Category Table'!W$2,'Committments Dump'!$B:$B,'Category Table'!$A79)</f>
        <v/>
      </c>
      <c r="X79" s="113">
        <f>SUMIFS('Committments Dump'!$R:$R,'Committments Dump'!$C:$C,'Category Table'!X$2,'Committments Dump'!$B:$B,'Category Table'!$A79)</f>
        <v/>
      </c>
      <c r="Y79" s="114">
        <f>SUMIFS('Committments Dump'!$R:$R,'Committments Dump'!$C:$C,'Category Table'!Y$2,'Committments Dump'!$B:$B,'Category Table'!$A79)</f>
        <v/>
      </c>
      <c r="Z79" s="114">
        <f>SUMIFS('Committments Dump'!$R:$R,'Committments Dump'!$C:$C,'Category Table'!Z$2,'Committments Dump'!$B:$B,'Category Table'!$A79)</f>
        <v/>
      </c>
      <c r="AA79" s="113">
        <f>SUMIFS('Committments Dump'!$S:$S,'Committments Dump'!$C:$C,'Category Table'!AA$2,'Committments Dump'!$B:$B,'Category Table'!$A79)</f>
        <v/>
      </c>
      <c r="AB79" s="114">
        <f>SUMIFS('Committments Dump'!$S:$S,'Committments Dump'!$C:$C,'Category Table'!AB$2,'Committments Dump'!$B:$B,'Category Table'!$A79)</f>
        <v/>
      </c>
      <c r="AC79" s="114">
        <f>SUMIFS('Committments Dump'!$S:$S,'Committments Dump'!$C:$C,'Category Table'!AC$2,'Committments Dump'!$B:$B,'Category Table'!$A79)</f>
        <v/>
      </c>
      <c r="AD79" s="113">
        <f>U79+X79+AA79</f>
        <v/>
      </c>
      <c r="AE79" s="114">
        <f>V79+Y79+AB79</f>
        <v/>
      </c>
      <c r="AF79" s="114">
        <f>W79+Z79+AC79</f>
        <v/>
      </c>
      <c r="AG79" s="113">
        <f>R79+AD79</f>
        <v/>
      </c>
      <c r="AH79" s="114">
        <f>S79+AE79</f>
        <v/>
      </c>
      <c r="AI79" s="114">
        <f>T79+AF79</f>
        <v/>
      </c>
      <c r="AJ79" s="113" t="n"/>
      <c r="AK79" s="114" t="n"/>
      <c r="AL79" s="114" t="n"/>
      <c r="AM79" s="113">
        <f>(O79-AG79)+AJ79</f>
        <v/>
      </c>
      <c r="AN79" s="114">
        <f>(P79-AH79)+AK79</f>
        <v/>
      </c>
      <c r="AO79" s="114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11" t="n">
        <v>0</v>
      </c>
      <c r="D80" s="112" t="n">
        <v>0</v>
      </c>
      <c r="E80" s="112" t="n">
        <v>0</v>
      </c>
      <c r="F80" s="111" t="n">
        <v>0</v>
      </c>
      <c r="G80" s="112" t="n">
        <v>0</v>
      </c>
      <c r="H80" s="112" t="n">
        <v>7477.79</v>
      </c>
      <c r="I80" s="111" t="n">
        <v>0</v>
      </c>
      <c r="J80" s="112" t="n">
        <v>0</v>
      </c>
      <c r="K80" s="112" t="n">
        <v>0</v>
      </c>
      <c r="L80" s="111" t="n">
        <v>0</v>
      </c>
      <c r="M80" s="112" t="n">
        <v>0</v>
      </c>
      <c r="N80" s="112" t="n">
        <v>0</v>
      </c>
      <c r="O80" s="111">
        <f>L80+I80+F80+C80</f>
        <v/>
      </c>
      <c r="P80" s="112">
        <f>M80+J80+G80+D80</f>
        <v/>
      </c>
      <c r="Q80" s="112">
        <f>N80+K80+H80+E80</f>
        <v/>
      </c>
      <c r="R80" s="111">
        <f>SUMIFS('PO Log'!$E:$E,'PO Log'!$D:$D,'Category Table'!R$2,'PO Log'!$C:$C,'Category Table'!$A80)</f>
        <v/>
      </c>
      <c r="S80" s="112">
        <f>SUMIFS('PO Log'!$E:$E,'PO Log'!$D:$D,'Category Table'!S$2,'PO Log'!$C:$C,'Category Table'!$A80)</f>
        <v/>
      </c>
      <c r="T80" s="112">
        <f>SUMIFS('PO Log'!$E:$E,'PO Log'!$D:$D,'Category Table'!T$2,'PO Log'!$C:$C,'Category Table'!$A80)</f>
        <v/>
      </c>
      <c r="U80" s="111">
        <f>SUMIFS('Committments Dump'!$Q:$Q,'Committments Dump'!$C:$C,'Category Table'!U$2,'Committments Dump'!$B:$B,'Category Table'!$A80)</f>
        <v/>
      </c>
      <c r="V80" s="112">
        <f>SUMIFS('Committments Dump'!$Q:$Q,'Committments Dump'!$C:$C,'Category Table'!V$2,'Committments Dump'!$B:$B,'Category Table'!$A80)</f>
        <v/>
      </c>
      <c r="W80" s="112">
        <f>SUMIFS('Committments Dump'!$Q:$Q,'Committments Dump'!$C:$C,'Category Table'!W$2,'Committments Dump'!$B:$B,'Category Table'!$A80)</f>
        <v/>
      </c>
      <c r="X80" s="111">
        <f>SUMIFS('Committments Dump'!$R:$R,'Committments Dump'!$C:$C,'Category Table'!X$2,'Committments Dump'!$B:$B,'Category Table'!$A80)</f>
        <v/>
      </c>
      <c r="Y80" s="112">
        <f>SUMIFS('Committments Dump'!$R:$R,'Committments Dump'!$C:$C,'Category Table'!Y$2,'Committments Dump'!$B:$B,'Category Table'!$A80)</f>
        <v/>
      </c>
      <c r="Z80" s="112">
        <f>SUMIFS('Committments Dump'!$R:$R,'Committments Dump'!$C:$C,'Category Table'!Z$2,'Committments Dump'!$B:$B,'Category Table'!$A80)</f>
        <v/>
      </c>
      <c r="AA80" s="111">
        <f>SUMIFS('Committments Dump'!$S:$S,'Committments Dump'!$C:$C,'Category Table'!AA$2,'Committments Dump'!$B:$B,'Category Table'!$A80)</f>
        <v/>
      </c>
      <c r="AB80" s="112">
        <f>SUMIFS('Committments Dump'!$S:$S,'Committments Dump'!$C:$C,'Category Table'!AB$2,'Committments Dump'!$B:$B,'Category Table'!$A80)</f>
        <v/>
      </c>
      <c r="AC80" s="112">
        <f>SUMIFS('Committments Dump'!$S:$S,'Committments Dump'!$C:$C,'Category Table'!AC$2,'Committments Dump'!$B:$B,'Category Table'!$A80)</f>
        <v/>
      </c>
      <c r="AD80" s="111">
        <f>U80+X80+AA80</f>
        <v/>
      </c>
      <c r="AE80" s="112">
        <f>V80+Y80+AB80</f>
        <v/>
      </c>
      <c r="AF80" s="112">
        <f>W80+Z80+AC80</f>
        <v/>
      </c>
      <c r="AG80" s="111">
        <f>R80+AD80</f>
        <v/>
      </c>
      <c r="AH80" s="112">
        <f>S80+AE80</f>
        <v/>
      </c>
      <c r="AI80" s="112">
        <f>T80+AF80</f>
        <v/>
      </c>
      <c r="AJ80" s="111" t="n"/>
      <c r="AK80" s="112" t="n"/>
      <c r="AL80" s="112" t="n"/>
      <c r="AM80" s="111">
        <f>(O80-AG80)+AJ80</f>
        <v/>
      </c>
      <c r="AN80" s="112">
        <f>(P80-AH80)+AK80</f>
        <v/>
      </c>
      <c r="AO80" s="112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13" t="n">
        <v>0</v>
      </c>
      <c r="D81" s="114" t="n">
        <v>0</v>
      </c>
      <c r="E81" s="114" t="n">
        <v>0</v>
      </c>
      <c r="F81" s="113" t="n">
        <v>0</v>
      </c>
      <c r="G81" s="114" t="n">
        <v>0</v>
      </c>
      <c r="H81" s="114" t="n">
        <v>233266.3</v>
      </c>
      <c r="I81" s="113" t="n">
        <v>0</v>
      </c>
      <c r="J81" s="114" t="n">
        <v>0</v>
      </c>
      <c r="K81" s="114" t="n">
        <v>0</v>
      </c>
      <c r="L81" s="113" t="n">
        <v>0</v>
      </c>
      <c r="M81" s="114" t="n">
        <v>0</v>
      </c>
      <c r="N81" s="114" t="n">
        <v>0</v>
      </c>
      <c r="O81" s="113">
        <f>L81+I81+F81+C81</f>
        <v/>
      </c>
      <c r="P81" s="114">
        <f>M81+J81+G81+D81</f>
        <v/>
      </c>
      <c r="Q81" s="114">
        <f>N81+K81+H81+E81</f>
        <v/>
      </c>
      <c r="R81" s="113">
        <f>SUMIFS('PO Log'!$E:$E,'PO Log'!$D:$D,'Category Table'!R$2,'PO Log'!$C:$C,'Category Table'!$A81)</f>
        <v/>
      </c>
      <c r="S81" s="114">
        <f>SUMIFS('PO Log'!$E:$E,'PO Log'!$D:$D,'Category Table'!S$2,'PO Log'!$C:$C,'Category Table'!$A81)</f>
        <v/>
      </c>
      <c r="T81" s="114">
        <f>SUMIFS('PO Log'!$E:$E,'PO Log'!$D:$D,'Category Table'!T$2,'PO Log'!$C:$C,'Category Table'!$A81)</f>
        <v/>
      </c>
      <c r="U81" s="113">
        <f>SUMIFS('Committments Dump'!$Q:$Q,'Committments Dump'!$C:$C,'Category Table'!U$2,'Committments Dump'!$B:$B,'Category Table'!$A81)</f>
        <v/>
      </c>
      <c r="V81" s="114">
        <f>SUMIFS('Committments Dump'!$Q:$Q,'Committments Dump'!$C:$C,'Category Table'!V$2,'Committments Dump'!$B:$B,'Category Table'!$A81)</f>
        <v/>
      </c>
      <c r="W81" s="114">
        <f>SUMIFS('Committments Dump'!$Q:$Q,'Committments Dump'!$C:$C,'Category Table'!W$2,'Committments Dump'!$B:$B,'Category Table'!$A81)</f>
        <v/>
      </c>
      <c r="X81" s="113">
        <f>SUMIFS('Committments Dump'!$R:$R,'Committments Dump'!$C:$C,'Category Table'!X$2,'Committments Dump'!$B:$B,'Category Table'!$A81)</f>
        <v/>
      </c>
      <c r="Y81" s="114">
        <f>SUMIFS('Committments Dump'!$R:$R,'Committments Dump'!$C:$C,'Category Table'!Y$2,'Committments Dump'!$B:$B,'Category Table'!$A81)</f>
        <v/>
      </c>
      <c r="Z81" s="114">
        <f>SUMIFS('Committments Dump'!$R:$R,'Committments Dump'!$C:$C,'Category Table'!Z$2,'Committments Dump'!$B:$B,'Category Table'!$A81)</f>
        <v/>
      </c>
      <c r="AA81" s="113">
        <f>SUMIFS('Committments Dump'!$S:$S,'Committments Dump'!$C:$C,'Category Table'!AA$2,'Committments Dump'!$B:$B,'Category Table'!$A81)</f>
        <v/>
      </c>
      <c r="AB81" s="114">
        <f>SUMIFS('Committments Dump'!$S:$S,'Committments Dump'!$C:$C,'Category Table'!AB$2,'Committments Dump'!$B:$B,'Category Table'!$A81)</f>
        <v/>
      </c>
      <c r="AC81" s="114">
        <f>SUMIFS('Committments Dump'!$S:$S,'Committments Dump'!$C:$C,'Category Table'!AC$2,'Committments Dump'!$B:$B,'Category Table'!$A81)</f>
        <v/>
      </c>
      <c r="AD81" s="113">
        <f>U81+X81+AA81</f>
        <v/>
      </c>
      <c r="AE81" s="114">
        <f>V81+Y81+AB81</f>
        <v/>
      </c>
      <c r="AF81" s="114">
        <f>W81+Z81+AC81</f>
        <v/>
      </c>
      <c r="AG81" s="113">
        <f>R81+AD81</f>
        <v/>
      </c>
      <c r="AH81" s="114">
        <f>S81+AE81</f>
        <v/>
      </c>
      <c r="AI81" s="114">
        <f>T81+AF81</f>
        <v/>
      </c>
      <c r="AJ81" s="113" t="n"/>
      <c r="AK81" s="114" t="n"/>
      <c r="AL81" s="114" t="n"/>
      <c r="AM81" s="113">
        <f>(O81-AG81)+AJ81</f>
        <v/>
      </c>
      <c r="AN81" s="114">
        <f>(P81-AH81)+AK81</f>
        <v/>
      </c>
      <c r="AO81" s="114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11" t="n">
        <v>0</v>
      </c>
      <c r="D82" s="112" t="n">
        <v>0</v>
      </c>
      <c r="E82" s="112" t="n">
        <v>0</v>
      </c>
      <c r="F82" s="111" t="n">
        <v>0</v>
      </c>
      <c r="G82" s="112" t="n">
        <v>0</v>
      </c>
      <c r="H82" s="112" t="n">
        <v>2165</v>
      </c>
      <c r="I82" s="111" t="n">
        <v>0</v>
      </c>
      <c r="J82" s="112" t="n">
        <v>0</v>
      </c>
      <c r="K82" s="112" t="n">
        <v>0</v>
      </c>
      <c r="L82" s="111" t="n">
        <v>0</v>
      </c>
      <c r="M82" s="112" t="n">
        <v>0</v>
      </c>
      <c r="N82" s="112" t="n">
        <v>0</v>
      </c>
      <c r="O82" s="111">
        <f>L82+I82+F82+C82</f>
        <v/>
      </c>
      <c r="P82" s="112">
        <f>M82+J82+G82+D82</f>
        <v/>
      </c>
      <c r="Q82" s="112">
        <f>N82+K82+H82+E82</f>
        <v/>
      </c>
      <c r="R82" s="111">
        <f>SUMIFS('PO Log'!$E:$E,'PO Log'!$D:$D,'Category Table'!R$2,'PO Log'!$C:$C,'Category Table'!$A82)</f>
        <v/>
      </c>
      <c r="S82" s="112">
        <f>SUMIFS('PO Log'!$E:$E,'PO Log'!$D:$D,'Category Table'!S$2,'PO Log'!$C:$C,'Category Table'!$A82)</f>
        <v/>
      </c>
      <c r="T82" s="112">
        <f>SUMIFS('PO Log'!$E:$E,'PO Log'!$D:$D,'Category Table'!T$2,'PO Log'!$C:$C,'Category Table'!$A82)</f>
        <v/>
      </c>
      <c r="U82" s="111">
        <f>SUMIFS('Committments Dump'!$Q:$Q,'Committments Dump'!$C:$C,'Category Table'!U$2,'Committments Dump'!$B:$B,'Category Table'!$A82)</f>
        <v/>
      </c>
      <c r="V82" s="112">
        <f>SUMIFS('Committments Dump'!$Q:$Q,'Committments Dump'!$C:$C,'Category Table'!V$2,'Committments Dump'!$B:$B,'Category Table'!$A82)</f>
        <v/>
      </c>
      <c r="W82" s="112">
        <f>SUMIFS('Committments Dump'!$Q:$Q,'Committments Dump'!$C:$C,'Category Table'!W$2,'Committments Dump'!$B:$B,'Category Table'!$A82)</f>
        <v/>
      </c>
      <c r="X82" s="111">
        <f>SUMIFS('Committments Dump'!$R:$R,'Committments Dump'!$C:$C,'Category Table'!X$2,'Committments Dump'!$B:$B,'Category Table'!$A82)</f>
        <v/>
      </c>
      <c r="Y82" s="112">
        <f>SUMIFS('Committments Dump'!$R:$R,'Committments Dump'!$C:$C,'Category Table'!Y$2,'Committments Dump'!$B:$B,'Category Table'!$A82)</f>
        <v/>
      </c>
      <c r="Z82" s="112">
        <f>SUMIFS('Committments Dump'!$R:$R,'Committments Dump'!$C:$C,'Category Table'!Z$2,'Committments Dump'!$B:$B,'Category Table'!$A82)</f>
        <v/>
      </c>
      <c r="AA82" s="111">
        <f>SUMIFS('Committments Dump'!$S:$S,'Committments Dump'!$C:$C,'Category Table'!AA$2,'Committments Dump'!$B:$B,'Category Table'!$A82)</f>
        <v/>
      </c>
      <c r="AB82" s="112">
        <f>SUMIFS('Committments Dump'!$S:$S,'Committments Dump'!$C:$C,'Category Table'!AB$2,'Committments Dump'!$B:$B,'Category Table'!$A82)</f>
        <v/>
      </c>
      <c r="AC82" s="112">
        <f>SUMIFS('Committments Dump'!$S:$S,'Committments Dump'!$C:$C,'Category Table'!AC$2,'Committments Dump'!$B:$B,'Category Table'!$A82)</f>
        <v/>
      </c>
      <c r="AD82" s="111">
        <f>U82+X82+AA82</f>
        <v/>
      </c>
      <c r="AE82" s="112">
        <f>V82+Y82+AB82</f>
        <v/>
      </c>
      <c r="AF82" s="112">
        <f>W82+Z82+AC82</f>
        <v/>
      </c>
      <c r="AG82" s="111">
        <f>R82+AD82</f>
        <v/>
      </c>
      <c r="AH82" s="112">
        <f>S82+AE82</f>
        <v/>
      </c>
      <c r="AI82" s="112">
        <f>T82+AF82</f>
        <v/>
      </c>
      <c r="AJ82" s="111" t="n"/>
      <c r="AK82" s="112" t="n"/>
      <c r="AL82" s="112" t="n"/>
      <c r="AM82" s="111">
        <f>(O82-AG82)+AJ82</f>
        <v/>
      </c>
      <c r="AN82" s="112">
        <f>(P82-AH82)+AK82</f>
        <v/>
      </c>
      <c r="AO82" s="112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13" t="n">
        <v>0</v>
      </c>
      <c r="D83" s="114" t="n">
        <v>0</v>
      </c>
      <c r="E83" s="114" t="n">
        <v>0</v>
      </c>
      <c r="F83" s="113" t="n">
        <v>0</v>
      </c>
      <c r="G83" s="114" t="n">
        <v>0</v>
      </c>
      <c r="H83" s="114" t="n">
        <v>0</v>
      </c>
      <c r="I83" s="113" t="n">
        <v>0</v>
      </c>
      <c r="J83" s="114" t="n">
        <v>0</v>
      </c>
      <c r="K83" s="114" t="n">
        <v>0</v>
      </c>
      <c r="L83" s="113" t="n">
        <v>0</v>
      </c>
      <c r="M83" s="114" t="n">
        <v>0</v>
      </c>
      <c r="N83" s="114" t="n">
        <v>0</v>
      </c>
      <c r="O83" s="113">
        <f>L83+I83+F83+C83</f>
        <v/>
      </c>
      <c r="P83" s="114">
        <f>M83+J83+G83+D83</f>
        <v/>
      </c>
      <c r="Q83" s="114">
        <f>N83+K83+H83+E83</f>
        <v/>
      </c>
      <c r="R83" s="113">
        <f>SUMIFS('PO Log'!$E:$E,'PO Log'!$D:$D,'Category Table'!R$2,'PO Log'!$C:$C,'Category Table'!$A83)</f>
        <v/>
      </c>
      <c r="S83" s="114">
        <f>SUMIFS('PO Log'!$E:$E,'PO Log'!$D:$D,'Category Table'!S$2,'PO Log'!$C:$C,'Category Table'!$A83)</f>
        <v/>
      </c>
      <c r="T83" s="114">
        <f>SUMIFS('PO Log'!$E:$E,'PO Log'!$D:$D,'Category Table'!T$2,'PO Log'!$C:$C,'Category Table'!$A83)</f>
        <v/>
      </c>
      <c r="U83" s="113">
        <f>SUMIFS('Committments Dump'!$Q:$Q,'Committments Dump'!$C:$C,'Category Table'!U$2,'Committments Dump'!$B:$B,'Category Table'!$A83)</f>
        <v/>
      </c>
      <c r="V83" s="114">
        <f>SUMIFS('Committments Dump'!$Q:$Q,'Committments Dump'!$C:$C,'Category Table'!V$2,'Committments Dump'!$B:$B,'Category Table'!$A83)</f>
        <v/>
      </c>
      <c r="W83" s="114">
        <f>SUMIFS('Committments Dump'!$Q:$Q,'Committments Dump'!$C:$C,'Category Table'!W$2,'Committments Dump'!$B:$B,'Category Table'!$A83)</f>
        <v/>
      </c>
      <c r="X83" s="113">
        <f>SUMIFS('Committments Dump'!$R:$R,'Committments Dump'!$C:$C,'Category Table'!X$2,'Committments Dump'!$B:$B,'Category Table'!$A83)</f>
        <v/>
      </c>
      <c r="Y83" s="114">
        <f>SUMIFS('Committments Dump'!$R:$R,'Committments Dump'!$C:$C,'Category Table'!Y$2,'Committments Dump'!$B:$B,'Category Table'!$A83)</f>
        <v/>
      </c>
      <c r="Z83" s="114">
        <f>SUMIFS('Committments Dump'!$R:$R,'Committments Dump'!$C:$C,'Category Table'!Z$2,'Committments Dump'!$B:$B,'Category Table'!$A83)</f>
        <v/>
      </c>
      <c r="AA83" s="113">
        <f>SUMIFS('Committments Dump'!$S:$S,'Committments Dump'!$C:$C,'Category Table'!AA$2,'Committments Dump'!$B:$B,'Category Table'!$A83)</f>
        <v/>
      </c>
      <c r="AB83" s="114">
        <f>SUMIFS('Committments Dump'!$S:$S,'Committments Dump'!$C:$C,'Category Table'!AB$2,'Committments Dump'!$B:$B,'Category Table'!$A83)</f>
        <v/>
      </c>
      <c r="AC83" s="114">
        <f>SUMIFS('Committments Dump'!$S:$S,'Committments Dump'!$C:$C,'Category Table'!AC$2,'Committments Dump'!$B:$B,'Category Table'!$A83)</f>
        <v/>
      </c>
      <c r="AD83" s="113">
        <f>U83+X83+AA83</f>
        <v/>
      </c>
      <c r="AE83" s="114">
        <f>V83+Y83+AB83</f>
        <v/>
      </c>
      <c r="AF83" s="114">
        <f>W83+Z83+AC83</f>
        <v/>
      </c>
      <c r="AG83" s="113">
        <f>R83+AD83</f>
        <v/>
      </c>
      <c r="AH83" s="114">
        <f>S83+AE83</f>
        <v/>
      </c>
      <c r="AI83" s="114">
        <f>T83+AF83</f>
        <v/>
      </c>
      <c r="AJ83" s="113" t="n"/>
      <c r="AK83" s="114" t="n"/>
      <c r="AL83" s="114" t="n"/>
      <c r="AM83" s="113">
        <f>(O83-AG83)+AJ83</f>
        <v/>
      </c>
      <c r="AN83" s="114">
        <f>(P83-AH83)+AK83</f>
        <v/>
      </c>
      <c r="AO83" s="114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11" t="n">
        <v>0</v>
      </c>
      <c r="D84" s="112" t="n">
        <v>0</v>
      </c>
      <c r="E84" s="112" t="n">
        <v>0</v>
      </c>
      <c r="F84" s="111" t="n">
        <v>0</v>
      </c>
      <c r="G84" s="112" t="n">
        <v>0</v>
      </c>
      <c r="H84" s="112" t="n">
        <v>0</v>
      </c>
      <c r="I84" s="111" t="n">
        <v>0</v>
      </c>
      <c r="J84" s="112" t="n">
        <v>0</v>
      </c>
      <c r="K84" s="112" t="n">
        <v>0</v>
      </c>
      <c r="L84" s="111" t="n">
        <v>0</v>
      </c>
      <c r="M84" s="112" t="n">
        <v>0</v>
      </c>
      <c r="N84" s="112" t="n">
        <v>0</v>
      </c>
      <c r="O84" s="111">
        <f>L84+I84+F84+C84</f>
        <v/>
      </c>
      <c r="P84" s="112">
        <f>M84+J84+G84+D84</f>
        <v/>
      </c>
      <c r="Q84" s="112">
        <f>N84+K84+H84+E84</f>
        <v/>
      </c>
      <c r="R84" s="111">
        <f>SUMIFS('PO Log'!$E:$E,'PO Log'!$D:$D,'Category Table'!R$2,'PO Log'!$C:$C,'Category Table'!$A84)</f>
        <v/>
      </c>
      <c r="S84" s="112">
        <f>SUMIFS('PO Log'!$E:$E,'PO Log'!$D:$D,'Category Table'!S$2,'PO Log'!$C:$C,'Category Table'!$A84)</f>
        <v/>
      </c>
      <c r="T84" s="112">
        <f>SUMIFS('PO Log'!$E:$E,'PO Log'!$D:$D,'Category Table'!T$2,'PO Log'!$C:$C,'Category Table'!$A84)</f>
        <v/>
      </c>
      <c r="U84" s="111">
        <f>SUMIFS('Committments Dump'!$Q:$Q,'Committments Dump'!$C:$C,'Category Table'!U$2,'Committments Dump'!$B:$B,'Category Table'!$A84)</f>
        <v/>
      </c>
      <c r="V84" s="112">
        <f>SUMIFS('Committments Dump'!$Q:$Q,'Committments Dump'!$C:$C,'Category Table'!V$2,'Committments Dump'!$B:$B,'Category Table'!$A84)</f>
        <v/>
      </c>
      <c r="W84" s="112">
        <f>SUMIFS('Committments Dump'!$Q:$Q,'Committments Dump'!$C:$C,'Category Table'!W$2,'Committments Dump'!$B:$B,'Category Table'!$A84)</f>
        <v/>
      </c>
      <c r="X84" s="111">
        <f>SUMIFS('Committments Dump'!$R:$R,'Committments Dump'!$C:$C,'Category Table'!X$2,'Committments Dump'!$B:$B,'Category Table'!$A84)</f>
        <v/>
      </c>
      <c r="Y84" s="112">
        <f>SUMIFS('Committments Dump'!$R:$R,'Committments Dump'!$C:$C,'Category Table'!Y$2,'Committments Dump'!$B:$B,'Category Table'!$A84)</f>
        <v/>
      </c>
      <c r="Z84" s="112">
        <f>SUMIFS('Committments Dump'!$R:$R,'Committments Dump'!$C:$C,'Category Table'!Z$2,'Committments Dump'!$B:$B,'Category Table'!$A84)</f>
        <v/>
      </c>
      <c r="AA84" s="111">
        <f>SUMIFS('Committments Dump'!$S:$S,'Committments Dump'!$C:$C,'Category Table'!AA$2,'Committments Dump'!$B:$B,'Category Table'!$A84)</f>
        <v/>
      </c>
      <c r="AB84" s="112">
        <f>SUMIFS('Committments Dump'!$S:$S,'Committments Dump'!$C:$C,'Category Table'!AB$2,'Committments Dump'!$B:$B,'Category Table'!$A84)</f>
        <v/>
      </c>
      <c r="AC84" s="112">
        <f>SUMIFS('Committments Dump'!$S:$S,'Committments Dump'!$C:$C,'Category Table'!AC$2,'Committments Dump'!$B:$B,'Category Table'!$A84)</f>
        <v/>
      </c>
      <c r="AD84" s="111">
        <f>U84+X84+AA84</f>
        <v/>
      </c>
      <c r="AE84" s="112">
        <f>V84+Y84+AB84</f>
        <v/>
      </c>
      <c r="AF84" s="112">
        <f>W84+Z84+AC84</f>
        <v/>
      </c>
      <c r="AG84" s="111">
        <f>R84+AD84</f>
        <v/>
      </c>
      <c r="AH84" s="112">
        <f>S84+AE84</f>
        <v/>
      </c>
      <c r="AI84" s="112">
        <f>T84+AF84</f>
        <v/>
      </c>
      <c r="AJ84" s="111" t="n"/>
      <c r="AK84" s="112" t="n"/>
      <c r="AL84" s="112" t="n"/>
      <c r="AM84" s="111">
        <f>(O84-AG84)+AJ84</f>
        <v/>
      </c>
      <c r="AN84" s="112">
        <f>(P84-AH84)+AK84</f>
        <v/>
      </c>
      <c r="AO84" s="112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13" t="n">
        <v>0</v>
      </c>
      <c r="D85" s="114" t="n">
        <v>0</v>
      </c>
      <c r="E85" s="114" t="n">
        <v>0</v>
      </c>
      <c r="F85" s="113" t="n">
        <v>536369.283165</v>
      </c>
      <c r="G85" s="114" t="n">
        <v>0</v>
      </c>
      <c r="H85" s="114" t="n">
        <v>0</v>
      </c>
      <c r="I85" s="113" t="n">
        <v>0</v>
      </c>
      <c r="J85" s="114" t="n">
        <v>0</v>
      </c>
      <c r="K85" s="114" t="n">
        <v>0</v>
      </c>
      <c r="L85" s="113" t="n">
        <v>0</v>
      </c>
      <c r="M85" s="114" t="n">
        <v>0</v>
      </c>
      <c r="N85" s="114" t="n">
        <v>795093</v>
      </c>
      <c r="O85" s="113">
        <f>L85+I85+F85+C85</f>
        <v/>
      </c>
      <c r="P85" s="114">
        <f>M85+J85+G85+D85</f>
        <v/>
      </c>
      <c r="Q85" s="114">
        <f>N85+K85+H85+E85</f>
        <v/>
      </c>
      <c r="R85" s="113">
        <f>SUMIFS('PO Log'!$E:$E,'PO Log'!$D:$D,'Category Table'!R$2,'PO Log'!$C:$C,'Category Table'!$A85)</f>
        <v/>
      </c>
      <c r="S85" s="114">
        <f>SUMIFS('PO Log'!$E:$E,'PO Log'!$D:$D,'Category Table'!S$2,'PO Log'!$C:$C,'Category Table'!$A85)</f>
        <v/>
      </c>
      <c r="T85" s="114">
        <f>SUMIFS('PO Log'!$E:$E,'PO Log'!$D:$D,'Category Table'!T$2,'PO Log'!$C:$C,'Category Table'!$A85)</f>
        <v/>
      </c>
      <c r="U85" s="113">
        <f>SUMIFS('Committments Dump'!$Q:$Q,'Committments Dump'!$C:$C,'Category Table'!U$2,'Committments Dump'!$B:$B,'Category Table'!$A85)</f>
        <v/>
      </c>
      <c r="V85" s="114">
        <f>SUMIFS('Committments Dump'!$Q:$Q,'Committments Dump'!$C:$C,'Category Table'!V$2,'Committments Dump'!$B:$B,'Category Table'!$A85)</f>
        <v/>
      </c>
      <c r="W85" s="114">
        <f>SUMIFS('Committments Dump'!$Q:$Q,'Committments Dump'!$C:$C,'Category Table'!W$2,'Committments Dump'!$B:$B,'Category Table'!$A85)</f>
        <v/>
      </c>
      <c r="X85" s="113">
        <f>SUMIFS('Committments Dump'!$R:$R,'Committments Dump'!$C:$C,'Category Table'!X$2,'Committments Dump'!$B:$B,'Category Table'!$A85)</f>
        <v/>
      </c>
      <c r="Y85" s="114">
        <f>SUMIFS('Committments Dump'!$R:$R,'Committments Dump'!$C:$C,'Category Table'!Y$2,'Committments Dump'!$B:$B,'Category Table'!$A85)</f>
        <v/>
      </c>
      <c r="Z85" s="114">
        <f>SUMIFS('Committments Dump'!$R:$R,'Committments Dump'!$C:$C,'Category Table'!Z$2,'Committments Dump'!$B:$B,'Category Table'!$A85)</f>
        <v/>
      </c>
      <c r="AA85" s="113">
        <f>SUMIFS('Committments Dump'!$S:$S,'Committments Dump'!$C:$C,'Category Table'!AA$2,'Committments Dump'!$B:$B,'Category Table'!$A85)</f>
        <v/>
      </c>
      <c r="AB85" s="114">
        <f>SUMIFS('Committments Dump'!$S:$S,'Committments Dump'!$C:$C,'Category Table'!AB$2,'Committments Dump'!$B:$B,'Category Table'!$A85)</f>
        <v/>
      </c>
      <c r="AC85" s="114">
        <f>SUMIFS('Committments Dump'!$S:$S,'Committments Dump'!$C:$C,'Category Table'!AC$2,'Committments Dump'!$B:$B,'Category Table'!$A85)</f>
        <v/>
      </c>
      <c r="AD85" s="113">
        <f>U85+X85+AA85</f>
        <v/>
      </c>
      <c r="AE85" s="114">
        <f>V85+Y85+AB85</f>
        <v/>
      </c>
      <c r="AF85" s="114">
        <f>W85+Z85+AC85</f>
        <v/>
      </c>
      <c r="AG85" s="113">
        <f>R85+AD85</f>
        <v/>
      </c>
      <c r="AH85" s="114">
        <f>S85+AE85</f>
        <v/>
      </c>
      <c r="AI85" s="114">
        <f>T85+AF85</f>
        <v/>
      </c>
      <c r="AJ85" s="113" t="n"/>
      <c r="AK85" s="114" t="n"/>
      <c r="AL85" s="114" t="n"/>
      <c r="AM85" s="113">
        <f>(O85-AG85)+AJ85</f>
        <v/>
      </c>
      <c r="AN85" s="114">
        <f>(P85-AH85)+AK85</f>
        <v/>
      </c>
      <c r="AO85" s="114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11" t="n">
        <v>0</v>
      </c>
      <c r="D86" s="112" t="n">
        <v>0</v>
      </c>
      <c r="E86" s="112" t="n">
        <v>0</v>
      </c>
      <c r="F86" s="111" t="n">
        <v>1066260</v>
      </c>
      <c r="G86" s="112" t="n">
        <v>0</v>
      </c>
      <c r="H86" s="112" t="n">
        <v>0</v>
      </c>
      <c r="I86" s="111" t="n">
        <v>0</v>
      </c>
      <c r="J86" s="112" t="n">
        <v>0</v>
      </c>
      <c r="K86" s="112" t="n">
        <v>0</v>
      </c>
      <c r="L86" s="111" t="n">
        <v>0</v>
      </c>
      <c r="M86" s="112" t="n">
        <v>0</v>
      </c>
      <c r="N86" s="112" t="n">
        <v>0</v>
      </c>
      <c r="O86" s="111">
        <f>L86+I86+F86+C86</f>
        <v/>
      </c>
      <c r="P86" s="112">
        <f>M86+J86+G86+D86</f>
        <v/>
      </c>
      <c r="Q86" s="112">
        <f>N86+K86+H86+E86</f>
        <v/>
      </c>
      <c r="R86" s="111">
        <f>SUMIFS('PO Log'!$E:$E,'PO Log'!$D:$D,'Category Table'!R$2,'PO Log'!$C:$C,'Category Table'!$A86)</f>
        <v/>
      </c>
      <c r="S86" s="112">
        <f>SUMIFS('PO Log'!$E:$E,'PO Log'!$D:$D,'Category Table'!S$2,'PO Log'!$C:$C,'Category Table'!$A86)</f>
        <v/>
      </c>
      <c r="T86" s="112">
        <f>SUMIFS('PO Log'!$E:$E,'PO Log'!$D:$D,'Category Table'!T$2,'PO Log'!$C:$C,'Category Table'!$A86)</f>
        <v/>
      </c>
      <c r="U86" s="111">
        <f>SUMIFS('Committments Dump'!$Q:$Q,'Committments Dump'!$C:$C,'Category Table'!U$2,'Committments Dump'!$B:$B,'Category Table'!$A86)</f>
        <v/>
      </c>
      <c r="V86" s="112">
        <f>SUMIFS('Committments Dump'!$Q:$Q,'Committments Dump'!$C:$C,'Category Table'!V$2,'Committments Dump'!$B:$B,'Category Table'!$A86)</f>
        <v/>
      </c>
      <c r="W86" s="112">
        <f>SUMIFS('Committments Dump'!$Q:$Q,'Committments Dump'!$C:$C,'Category Table'!W$2,'Committments Dump'!$B:$B,'Category Table'!$A86)</f>
        <v/>
      </c>
      <c r="X86" s="111">
        <f>SUMIFS('Committments Dump'!$R:$R,'Committments Dump'!$C:$C,'Category Table'!X$2,'Committments Dump'!$B:$B,'Category Table'!$A86)</f>
        <v/>
      </c>
      <c r="Y86" s="112">
        <f>SUMIFS('Committments Dump'!$R:$R,'Committments Dump'!$C:$C,'Category Table'!Y$2,'Committments Dump'!$B:$B,'Category Table'!$A86)</f>
        <v/>
      </c>
      <c r="Z86" s="112">
        <f>SUMIFS('Committments Dump'!$R:$R,'Committments Dump'!$C:$C,'Category Table'!Z$2,'Committments Dump'!$B:$B,'Category Table'!$A86)</f>
        <v/>
      </c>
      <c r="AA86" s="111">
        <f>SUMIFS('Committments Dump'!$S:$S,'Committments Dump'!$C:$C,'Category Table'!AA$2,'Committments Dump'!$B:$B,'Category Table'!$A86)</f>
        <v/>
      </c>
      <c r="AB86" s="112">
        <f>SUMIFS('Committments Dump'!$S:$S,'Committments Dump'!$C:$C,'Category Table'!AB$2,'Committments Dump'!$B:$B,'Category Table'!$A86)</f>
        <v/>
      </c>
      <c r="AC86" s="112">
        <f>SUMIFS('Committments Dump'!$S:$S,'Committments Dump'!$C:$C,'Category Table'!AC$2,'Committments Dump'!$B:$B,'Category Table'!$A86)</f>
        <v/>
      </c>
      <c r="AD86" s="111">
        <f>U86+X86+AA86</f>
        <v/>
      </c>
      <c r="AE86" s="112">
        <f>V86+Y86+AB86</f>
        <v/>
      </c>
      <c r="AF86" s="112">
        <f>W86+Z86+AC86</f>
        <v/>
      </c>
      <c r="AG86" s="111">
        <f>R86+AD86</f>
        <v/>
      </c>
      <c r="AH86" s="112">
        <f>S86+AE86</f>
        <v/>
      </c>
      <c r="AI86" s="112">
        <f>T86+AF86</f>
        <v/>
      </c>
      <c r="AJ86" s="111" t="n"/>
      <c r="AK86" s="112" t="n"/>
      <c r="AL86" s="112" t="n"/>
      <c r="AM86" s="111">
        <f>(O86-AG86)+AJ86</f>
        <v/>
      </c>
      <c r="AN86" s="112">
        <f>(P86-AH86)+AK86</f>
        <v/>
      </c>
      <c r="AO86" s="112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13" t="n">
        <v>0</v>
      </c>
      <c r="D87" s="114" t="n">
        <v>0</v>
      </c>
      <c r="E87" s="114" t="n">
        <v>0</v>
      </c>
      <c r="F87" s="113" t="n">
        <v>0</v>
      </c>
      <c r="G87" s="114" t="n">
        <v>0</v>
      </c>
      <c r="H87" s="114" t="n">
        <v>1256921.05</v>
      </c>
      <c r="I87" s="113" t="n">
        <v>0</v>
      </c>
      <c r="J87" s="114" t="n">
        <v>0</v>
      </c>
      <c r="K87" s="114" t="n">
        <v>0</v>
      </c>
      <c r="L87" s="113" t="n">
        <v>0</v>
      </c>
      <c r="M87" s="114" t="n">
        <v>0</v>
      </c>
      <c r="N87" s="114" t="n">
        <v>1993005</v>
      </c>
      <c r="O87" s="113">
        <f>L87+I87+F87+C87</f>
        <v/>
      </c>
      <c r="P87" s="114">
        <f>M87+J87+G87+D87</f>
        <v/>
      </c>
      <c r="Q87" s="114">
        <f>N87+K87+H87+E87</f>
        <v/>
      </c>
      <c r="R87" s="113">
        <f>SUMIFS('PO Log'!$E:$E,'PO Log'!$D:$D,'Category Table'!R$2,'PO Log'!$C:$C,'Category Table'!$A87)</f>
        <v/>
      </c>
      <c r="S87" s="114">
        <f>SUMIFS('PO Log'!$E:$E,'PO Log'!$D:$D,'Category Table'!S$2,'PO Log'!$C:$C,'Category Table'!$A87)</f>
        <v/>
      </c>
      <c r="T87" s="114">
        <f>SUMIFS('PO Log'!$E:$E,'PO Log'!$D:$D,'Category Table'!T$2,'PO Log'!$C:$C,'Category Table'!$A87)</f>
        <v/>
      </c>
      <c r="U87" s="113">
        <f>SUMIFS('Committments Dump'!$Q:$Q,'Committments Dump'!$C:$C,'Category Table'!U$2,'Committments Dump'!$B:$B,'Category Table'!$A87)</f>
        <v/>
      </c>
      <c r="V87" s="114">
        <f>SUMIFS('Committments Dump'!$Q:$Q,'Committments Dump'!$C:$C,'Category Table'!V$2,'Committments Dump'!$B:$B,'Category Table'!$A87)</f>
        <v/>
      </c>
      <c r="W87" s="114">
        <f>SUMIFS('Committments Dump'!$Q:$Q,'Committments Dump'!$C:$C,'Category Table'!W$2,'Committments Dump'!$B:$B,'Category Table'!$A87)</f>
        <v/>
      </c>
      <c r="X87" s="113">
        <f>SUMIFS('Committments Dump'!$R:$R,'Committments Dump'!$C:$C,'Category Table'!X$2,'Committments Dump'!$B:$B,'Category Table'!$A87)</f>
        <v/>
      </c>
      <c r="Y87" s="114">
        <f>SUMIFS('Committments Dump'!$R:$R,'Committments Dump'!$C:$C,'Category Table'!Y$2,'Committments Dump'!$B:$B,'Category Table'!$A87)</f>
        <v/>
      </c>
      <c r="Z87" s="114">
        <f>SUMIFS('Committments Dump'!$R:$R,'Committments Dump'!$C:$C,'Category Table'!Z$2,'Committments Dump'!$B:$B,'Category Table'!$A87)</f>
        <v/>
      </c>
      <c r="AA87" s="113">
        <f>SUMIFS('Committments Dump'!$S:$S,'Committments Dump'!$C:$C,'Category Table'!AA$2,'Committments Dump'!$B:$B,'Category Table'!$A87)</f>
        <v/>
      </c>
      <c r="AB87" s="114">
        <f>SUMIFS('Committments Dump'!$S:$S,'Committments Dump'!$C:$C,'Category Table'!AB$2,'Committments Dump'!$B:$B,'Category Table'!$A87)</f>
        <v/>
      </c>
      <c r="AC87" s="114">
        <f>SUMIFS('Committments Dump'!$S:$S,'Committments Dump'!$C:$C,'Category Table'!AC$2,'Committments Dump'!$B:$B,'Category Table'!$A87)</f>
        <v/>
      </c>
      <c r="AD87" s="113">
        <f>U87+X87+AA87</f>
        <v/>
      </c>
      <c r="AE87" s="114">
        <f>V87+Y87+AB87</f>
        <v/>
      </c>
      <c r="AF87" s="114">
        <f>W87+Z87+AC87</f>
        <v/>
      </c>
      <c r="AG87" s="113">
        <f>R87+AD87</f>
        <v/>
      </c>
      <c r="AH87" s="114">
        <f>S87+AE87</f>
        <v/>
      </c>
      <c r="AI87" s="114">
        <f>T87+AF87</f>
        <v/>
      </c>
      <c r="AJ87" s="113" t="n"/>
      <c r="AK87" s="114" t="n"/>
      <c r="AL87" s="114" t="n"/>
      <c r="AM87" s="113">
        <f>(O87-AG87)+AJ87</f>
        <v/>
      </c>
      <c r="AN87" s="114">
        <f>(P87-AH87)+AK87</f>
        <v/>
      </c>
      <c r="AO87" s="114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11" t="n">
        <v>0</v>
      </c>
      <c r="D88" s="112" t="n">
        <v>1196.88</v>
      </c>
      <c r="E88" s="112" t="n">
        <v>0</v>
      </c>
      <c r="F88" s="111" t="n"/>
      <c r="G88" s="112" t="n">
        <v>9755.806500000006</v>
      </c>
      <c r="H88" s="112" t="n">
        <v>5412.5</v>
      </c>
      <c r="I88" s="111" t="n">
        <v>0</v>
      </c>
      <c r="J88" s="112" t="n">
        <v>0</v>
      </c>
      <c r="K88" s="112" t="n">
        <v>0</v>
      </c>
      <c r="L88" s="111" t="n">
        <v>0</v>
      </c>
      <c r="M88" s="112" t="n">
        <v>-8.526512829121202e-14</v>
      </c>
      <c r="N88" s="112" t="n">
        <v>0</v>
      </c>
      <c r="O88" s="111">
        <f>L88+I88+F88+C88</f>
        <v/>
      </c>
      <c r="P88" s="112">
        <f>M88+J88+G88+D88</f>
        <v/>
      </c>
      <c r="Q88" s="112">
        <f>N88+K88+H88+E88</f>
        <v/>
      </c>
      <c r="R88" s="111">
        <f>SUMIFS('PO Log'!$E:$E,'PO Log'!$D:$D,'Category Table'!R$2,'PO Log'!$C:$C,'Category Table'!$A88)</f>
        <v/>
      </c>
      <c r="S88" s="112">
        <f>SUMIFS('PO Log'!$E:$E,'PO Log'!$D:$D,'Category Table'!S$2,'PO Log'!$C:$C,'Category Table'!$A88)</f>
        <v/>
      </c>
      <c r="T88" s="112">
        <f>SUMIFS('PO Log'!$E:$E,'PO Log'!$D:$D,'Category Table'!T$2,'PO Log'!$C:$C,'Category Table'!$A88)</f>
        <v/>
      </c>
      <c r="U88" s="111">
        <f>SUMIFS('Committments Dump'!$Q:$Q,'Committments Dump'!$C:$C,'Category Table'!U$2,'Committments Dump'!$B:$B,'Category Table'!$A88)</f>
        <v/>
      </c>
      <c r="V88" s="112">
        <f>SUMIFS('Committments Dump'!$Q:$Q,'Committments Dump'!$C:$C,'Category Table'!V$2,'Committments Dump'!$B:$B,'Category Table'!$A88)</f>
        <v/>
      </c>
      <c r="W88" s="112">
        <f>SUMIFS('Committments Dump'!$Q:$Q,'Committments Dump'!$C:$C,'Category Table'!W$2,'Committments Dump'!$B:$B,'Category Table'!$A88)</f>
        <v/>
      </c>
      <c r="X88" s="111">
        <f>SUMIFS('Committments Dump'!$R:$R,'Committments Dump'!$C:$C,'Category Table'!X$2,'Committments Dump'!$B:$B,'Category Table'!$A88)</f>
        <v/>
      </c>
      <c r="Y88" s="112">
        <f>SUMIFS('Committments Dump'!$R:$R,'Committments Dump'!$C:$C,'Category Table'!Y$2,'Committments Dump'!$B:$B,'Category Table'!$A88)</f>
        <v/>
      </c>
      <c r="Z88" s="112">
        <f>SUMIFS('Committments Dump'!$R:$R,'Committments Dump'!$C:$C,'Category Table'!Z$2,'Committments Dump'!$B:$B,'Category Table'!$A88)</f>
        <v/>
      </c>
      <c r="AA88" s="111">
        <f>SUMIFS('Committments Dump'!$S:$S,'Committments Dump'!$C:$C,'Category Table'!AA$2,'Committments Dump'!$B:$B,'Category Table'!$A88)</f>
        <v/>
      </c>
      <c r="AB88" s="112">
        <f>SUMIFS('Committments Dump'!$S:$S,'Committments Dump'!$C:$C,'Category Table'!AB$2,'Committments Dump'!$B:$B,'Category Table'!$A88)</f>
        <v/>
      </c>
      <c r="AC88" s="112">
        <f>SUMIFS('Committments Dump'!$S:$S,'Committments Dump'!$C:$C,'Category Table'!AC$2,'Committments Dump'!$B:$B,'Category Table'!$A88)</f>
        <v/>
      </c>
      <c r="AD88" s="111">
        <f>U88+X88+AA88</f>
        <v/>
      </c>
      <c r="AE88" s="112">
        <f>V88+Y88+AB88</f>
        <v/>
      </c>
      <c r="AF88" s="112">
        <f>W88+Z88+AC88</f>
        <v/>
      </c>
      <c r="AG88" s="111">
        <f>R88+AD88</f>
        <v/>
      </c>
      <c r="AH88" s="112">
        <f>S88+AE88</f>
        <v/>
      </c>
      <c r="AI88" s="112">
        <f>T88+AF88</f>
        <v/>
      </c>
      <c r="AJ88" s="111" t="n"/>
      <c r="AK88" s="112" t="n"/>
      <c r="AL88" s="112" t="n"/>
      <c r="AM88" s="111">
        <f>(O88-AG88)+AJ88</f>
        <v/>
      </c>
      <c r="AN88" s="112">
        <f>(P88-AH88)+AK88</f>
        <v/>
      </c>
      <c r="AO88" s="112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13" t="n">
        <v>0</v>
      </c>
      <c r="D89" s="114" t="n">
        <v>0</v>
      </c>
      <c r="E89" s="114" t="n">
        <v>0</v>
      </c>
      <c r="F89" s="113" t="n">
        <v>0</v>
      </c>
      <c r="G89" s="114" t="n">
        <v>361.6880197044229</v>
      </c>
      <c r="H89" s="114" t="n">
        <v>86810.00999999999</v>
      </c>
      <c r="I89" s="113" t="n">
        <v>0</v>
      </c>
      <c r="J89" s="114" t="n">
        <v>0</v>
      </c>
      <c r="K89" s="114" t="n">
        <v>0</v>
      </c>
      <c r="L89" s="113" t="n">
        <v>0</v>
      </c>
      <c r="M89" s="114" t="n">
        <v>0</v>
      </c>
      <c r="N89" s="114" t="n">
        <v>0</v>
      </c>
      <c r="O89" s="113">
        <f>L89+I89+F89+C89</f>
        <v/>
      </c>
      <c r="P89" s="114">
        <f>M89+J89+G89+D89</f>
        <v/>
      </c>
      <c r="Q89" s="114">
        <f>N89+K89+H89+E89</f>
        <v/>
      </c>
      <c r="R89" s="113">
        <f>SUMIFS('PO Log'!$E:$E,'PO Log'!$D:$D,'Category Table'!R$2,'PO Log'!$C:$C,'Category Table'!$A89)</f>
        <v/>
      </c>
      <c r="S89" s="114">
        <f>SUMIFS('PO Log'!$E:$E,'PO Log'!$D:$D,'Category Table'!S$2,'PO Log'!$C:$C,'Category Table'!$A89)</f>
        <v/>
      </c>
      <c r="T89" s="114">
        <f>SUMIFS('PO Log'!$E:$E,'PO Log'!$D:$D,'Category Table'!T$2,'PO Log'!$C:$C,'Category Table'!$A89)</f>
        <v/>
      </c>
      <c r="U89" s="113">
        <f>SUMIFS('Committments Dump'!$Q:$Q,'Committments Dump'!$C:$C,'Category Table'!U$2,'Committments Dump'!$B:$B,'Category Table'!$A89)</f>
        <v/>
      </c>
      <c r="V89" s="114">
        <f>SUMIFS('Committments Dump'!$Q:$Q,'Committments Dump'!$C:$C,'Category Table'!V$2,'Committments Dump'!$B:$B,'Category Table'!$A89)</f>
        <v/>
      </c>
      <c r="W89" s="114">
        <f>SUMIFS('Committments Dump'!$Q:$Q,'Committments Dump'!$C:$C,'Category Table'!W$2,'Committments Dump'!$B:$B,'Category Table'!$A89)</f>
        <v/>
      </c>
      <c r="X89" s="113">
        <f>SUMIFS('Committments Dump'!$R:$R,'Committments Dump'!$C:$C,'Category Table'!X$2,'Committments Dump'!$B:$B,'Category Table'!$A89)</f>
        <v/>
      </c>
      <c r="Y89" s="114">
        <f>SUMIFS('Committments Dump'!$R:$R,'Committments Dump'!$C:$C,'Category Table'!Y$2,'Committments Dump'!$B:$B,'Category Table'!$A89)</f>
        <v/>
      </c>
      <c r="Z89" s="114">
        <f>SUMIFS('Committments Dump'!$R:$R,'Committments Dump'!$C:$C,'Category Table'!Z$2,'Committments Dump'!$B:$B,'Category Table'!$A89)</f>
        <v/>
      </c>
      <c r="AA89" s="113">
        <f>SUMIFS('Committments Dump'!$S:$S,'Committments Dump'!$C:$C,'Category Table'!AA$2,'Committments Dump'!$B:$B,'Category Table'!$A89)</f>
        <v/>
      </c>
      <c r="AB89" s="114">
        <f>SUMIFS('Committments Dump'!$S:$S,'Committments Dump'!$C:$C,'Category Table'!AB$2,'Committments Dump'!$B:$B,'Category Table'!$A89)</f>
        <v/>
      </c>
      <c r="AC89" s="114">
        <f>SUMIFS('Committments Dump'!$S:$S,'Committments Dump'!$C:$C,'Category Table'!AC$2,'Committments Dump'!$B:$B,'Category Table'!$A89)</f>
        <v/>
      </c>
      <c r="AD89" s="113">
        <f>U89+X89+AA89</f>
        <v/>
      </c>
      <c r="AE89" s="114">
        <f>V89+Y89+AB89</f>
        <v/>
      </c>
      <c r="AF89" s="114">
        <f>W89+Z89+AC89</f>
        <v/>
      </c>
      <c r="AG89" s="113">
        <f>R89+AD89</f>
        <v/>
      </c>
      <c r="AH89" s="114">
        <f>S89+AE89</f>
        <v/>
      </c>
      <c r="AI89" s="114">
        <f>T89+AF89</f>
        <v/>
      </c>
      <c r="AJ89" s="113" t="n"/>
      <c r="AK89" s="114" t="n"/>
      <c r="AL89" s="114" t="n"/>
      <c r="AM89" s="113">
        <f>(O89-AG89)+AJ89</f>
        <v/>
      </c>
      <c r="AN89" s="114">
        <f>(P89-AH89)+AK89</f>
        <v/>
      </c>
      <c r="AO89" s="114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11" t="n">
        <v>0</v>
      </c>
      <c r="D90" s="112" t="n">
        <v>0</v>
      </c>
      <c r="E90" s="112" t="n">
        <v>0</v>
      </c>
      <c r="F90" s="111" t="n">
        <v>70000</v>
      </c>
      <c r="G90" s="112" t="n">
        <v>0</v>
      </c>
      <c r="H90" s="112" t="n">
        <v>0</v>
      </c>
      <c r="I90" s="111" t="n">
        <v>0</v>
      </c>
      <c r="J90" s="112" t="n">
        <v>0</v>
      </c>
      <c r="K90" s="112" t="n">
        <v>0</v>
      </c>
      <c r="L90" s="111" t="n">
        <v>0</v>
      </c>
      <c r="M90" s="112" t="n">
        <v>0</v>
      </c>
      <c r="N90" s="112" t="n">
        <v>0</v>
      </c>
      <c r="O90" s="111">
        <f>L90+I90+F90+C90</f>
        <v/>
      </c>
      <c r="P90" s="112">
        <f>M90+J90+G90+D90</f>
        <v/>
      </c>
      <c r="Q90" s="112">
        <f>N90+K90+H90+E90</f>
        <v/>
      </c>
      <c r="R90" s="111">
        <f>SUMIFS('PO Log'!$E:$E,'PO Log'!$D:$D,'Category Table'!R$2,'PO Log'!$C:$C,'Category Table'!$A90)</f>
        <v/>
      </c>
      <c r="S90" s="112">
        <f>SUMIFS('PO Log'!$E:$E,'PO Log'!$D:$D,'Category Table'!S$2,'PO Log'!$C:$C,'Category Table'!$A90)</f>
        <v/>
      </c>
      <c r="T90" s="112">
        <f>SUMIFS('PO Log'!$E:$E,'PO Log'!$D:$D,'Category Table'!T$2,'PO Log'!$C:$C,'Category Table'!$A90)</f>
        <v/>
      </c>
      <c r="U90" s="111">
        <f>SUMIFS('Committments Dump'!$Q:$Q,'Committments Dump'!$C:$C,'Category Table'!U$2,'Committments Dump'!$B:$B,'Category Table'!$A90)</f>
        <v/>
      </c>
      <c r="V90" s="112">
        <f>SUMIFS('Committments Dump'!$Q:$Q,'Committments Dump'!$C:$C,'Category Table'!V$2,'Committments Dump'!$B:$B,'Category Table'!$A90)</f>
        <v/>
      </c>
      <c r="W90" s="112">
        <f>SUMIFS('Committments Dump'!$Q:$Q,'Committments Dump'!$C:$C,'Category Table'!W$2,'Committments Dump'!$B:$B,'Category Table'!$A90)</f>
        <v/>
      </c>
      <c r="X90" s="111">
        <f>SUMIFS('Committments Dump'!$R:$R,'Committments Dump'!$C:$C,'Category Table'!X$2,'Committments Dump'!$B:$B,'Category Table'!$A90)</f>
        <v/>
      </c>
      <c r="Y90" s="112">
        <f>SUMIFS('Committments Dump'!$R:$R,'Committments Dump'!$C:$C,'Category Table'!Y$2,'Committments Dump'!$B:$B,'Category Table'!$A90)</f>
        <v/>
      </c>
      <c r="Z90" s="112">
        <f>SUMIFS('Committments Dump'!$R:$R,'Committments Dump'!$C:$C,'Category Table'!Z$2,'Committments Dump'!$B:$B,'Category Table'!$A90)</f>
        <v/>
      </c>
      <c r="AA90" s="111">
        <f>SUMIFS('Committments Dump'!$S:$S,'Committments Dump'!$C:$C,'Category Table'!AA$2,'Committments Dump'!$B:$B,'Category Table'!$A90)</f>
        <v/>
      </c>
      <c r="AB90" s="112">
        <f>SUMIFS('Committments Dump'!$S:$S,'Committments Dump'!$C:$C,'Category Table'!AB$2,'Committments Dump'!$B:$B,'Category Table'!$A90)</f>
        <v/>
      </c>
      <c r="AC90" s="112">
        <f>SUMIFS('Committments Dump'!$S:$S,'Committments Dump'!$C:$C,'Category Table'!AC$2,'Committments Dump'!$B:$B,'Category Table'!$A90)</f>
        <v/>
      </c>
      <c r="AD90" s="111">
        <f>U90+X90+AA90</f>
        <v/>
      </c>
      <c r="AE90" s="112">
        <f>V90+Y90+AB90</f>
        <v/>
      </c>
      <c r="AF90" s="112">
        <f>W90+Z90+AC90</f>
        <v/>
      </c>
      <c r="AG90" s="111">
        <f>R90+AD90</f>
        <v/>
      </c>
      <c r="AH90" s="112">
        <f>S90+AE90</f>
        <v/>
      </c>
      <c r="AI90" s="112">
        <f>T90+AF90</f>
        <v/>
      </c>
      <c r="AJ90" s="111" t="n"/>
      <c r="AK90" s="112" t="n"/>
      <c r="AL90" s="112" t="n"/>
      <c r="AM90" s="111">
        <f>(O90-AG90)+AJ90</f>
        <v/>
      </c>
      <c r="AN90" s="112">
        <f>(P90-AH90)+AK90</f>
        <v/>
      </c>
      <c r="AO90" s="112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13" t="n">
        <v>0</v>
      </c>
      <c r="D91" s="114" t="n">
        <v>0</v>
      </c>
      <c r="E91" s="114" t="n">
        <v>0</v>
      </c>
      <c r="F91" s="113" t="n">
        <v>166283.9968907563</v>
      </c>
      <c r="G91" s="114" t="n">
        <v>0</v>
      </c>
      <c r="H91" s="114" t="n">
        <v>0</v>
      </c>
      <c r="I91" s="113" t="n">
        <v>0</v>
      </c>
      <c r="J91" s="114" t="n">
        <v>0</v>
      </c>
      <c r="K91" s="114" t="n">
        <v>0</v>
      </c>
      <c r="L91" s="113" t="n">
        <v>0</v>
      </c>
      <c r="M91" s="114" t="n">
        <v>55500</v>
      </c>
      <c r="N91" s="114" t="n">
        <v>0</v>
      </c>
      <c r="O91" s="113">
        <f>L91+I91+F91+C91</f>
        <v/>
      </c>
      <c r="P91" s="114">
        <f>M91+J91+G91+D91</f>
        <v/>
      </c>
      <c r="Q91" s="114">
        <f>N91+K91+H91+E91</f>
        <v/>
      </c>
      <c r="R91" s="113">
        <f>SUMIFS('PO Log'!$E:$E,'PO Log'!$D:$D,'Category Table'!R$2,'PO Log'!$C:$C,'Category Table'!$A91)</f>
        <v/>
      </c>
      <c r="S91" s="114">
        <f>SUMIFS('PO Log'!$E:$E,'PO Log'!$D:$D,'Category Table'!S$2,'PO Log'!$C:$C,'Category Table'!$A91)</f>
        <v/>
      </c>
      <c r="T91" s="114">
        <f>SUMIFS('PO Log'!$E:$E,'PO Log'!$D:$D,'Category Table'!T$2,'PO Log'!$C:$C,'Category Table'!$A91)</f>
        <v/>
      </c>
      <c r="U91" s="113">
        <f>SUMIFS('Committments Dump'!$Q:$Q,'Committments Dump'!$C:$C,'Category Table'!U$2,'Committments Dump'!$B:$B,'Category Table'!$A91)</f>
        <v/>
      </c>
      <c r="V91" s="114">
        <f>SUMIFS('Committments Dump'!$Q:$Q,'Committments Dump'!$C:$C,'Category Table'!V$2,'Committments Dump'!$B:$B,'Category Table'!$A91)</f>
        <v/>
      </c>
      <c r="W91" s="114">
        <f>SUMIFS('Committments Dump'!$Q:$Q,'Committments Dump'!$C:$C,'Category Table'!W$2,'Committments Dump'!$B:$B,'Category Table'!$A91)</f>
        <v/>
      </c>
      <c r="X91" s="113">
        <f>SUMIFS('Committments Dump'!$R:$R,'Committments Dump'!$C:$C,'Category Table'!X$2,'Committments Dump'!$B:$B,'Category Table'!$A91)</f>
        <v/>
      </c>
      <c r="Y91" s="114">
        <f>SUMIFS('Committments Dump'!$R:$R,'Committments Dump'!$C:$C,'Category Table'!Y$2,'Committments Dump'!$B:$B,'Category Table'!$A91)</f>
        <v/>
      </c>
      <c r="Z91" s="114">
        <f>SUMIFS('Committments Dump'!$R:$R,'Committments Dump'!$C:$C,'Category Table'!Z$2,'Committments Dump'!$B:$B,'Category Table'!$A91)</f>
        <v/>
      </c>
      <c r="AA91" s="113">
        <f>SUMIFS('Committments Dump'!$S:$S,'Committments Dump'!$C:$C,'Category Table'!AA$2,'Committments Dump'!$B:$B,'Category Table'!$A91)</f>
        <v/>
      </c>
      <c r="AB91" s="114">
        <f>SUMIFS('Committments Dump'!$S:$S,'Committments Dump'!$C:$C,'Category Table'!AB$2,'Committments Dump'!$B:$B,'Category Table'!$A91)</f>
        <v/>
      </c>
      <c r="AC91" s="114">
        <f>SUMIFS('Committments Dump'!$S:$S,'Committments Dump'!$C:$C,'Category Table'!AC$2,'Committments Dump'!$B:$B,'Category Table'!$A91)</f>
        <v/>
      </c>
      <c r="AD91" s="113">
        <f>U91+X91+AA91</f>
        <v/>
      </c>
      <c r="AE91" s="114">
        <f>V91+Y91+AB91</f>
        <v/>
      </c>
      <c r="AF91" s="114">
        <f>W91+Z91+AC91</f>
        <v/>
      </c>
      <c r="AG91" s="113">
        <f>R91+AD91</f>
        <v/>
      </c>
      <c r="AH91" s="114">
        <f>S91+AE91</f>
        <v/>
      </c>
      <c r="AI91" s="114">
        <f>T91+AF91</f>
        <v/>
      </c>
      <c r="AJ91" s="113" t="n"/>
      <c r="AK91" s="114" t="n"/>
      <c r="AL91" s="114" t="n"/>
      <c r="AM91" s="113">
        <f>(O91-AG91)+AJ91</f>
        <v/>
      </c>
      <c r="AN91" s="114">
        <f>(P91-AH91)+AK91</f>
        <v/>
      </c>
      <c r="AO91" s="114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11" t="n">
        <v>0</v>
      </c>
      <c r="D92" s="112" t="n">
        <v>0</v>
      </c>
      <c r="E92" s="112" t="n">
        <v>0</v>
      </c>
      <c r="F92" s="111" t="n">
        <v>0</v>
      </c>
      <c r="G92" s="112" t="n">
        <v>0</v>
      </c>
      <c r="H92" s="112" t="n">
        <v>114993.9728571429</v>
      </c>
      <c r="I92" s="111" t="n">
        <v>0</v>
      </c>
      <c r="J92" s="112" t="n">
        <v>0</v>
      </c>
      <c r="K92" s="112" t="n">
        <v>0</v>
      </c>
      <c r="L92" s="111" t="n">
        <v>0</v>
      </c>
      <c r="M92" s="112" t="n">
        <v>0</v>
      </c>
      <c r="N92" s="112" t="n">
        <v>0</v>
      </c>
      <c r="O92" s="111">
        <f>L92+I92+F92+C92</f>
        <v/>
      </c>
      <c r="P92" s="112">
        <f>M92+J92+G92+D92</f>
        <v/>
      </c>
      <c r="Q92" s="112">
        <f>N92+K92+H92+E92</f>
        <v/>
      </c>
      <c r="R92" s="111">
        <f>SUMIFS('PO Log'!$E:$E,'PO Log'!$D:$D,'Category Table'!R$2,'PO Log'!$C:$C,'Category Table'!$A92)</f>
        <v/>
      </c>
      <c r="S92" s="112">
        <f>SUMIFS('PO Log'!$E:$E,'PO Log'!$D:$D,'Category Table'!S$2,'PO Log'!$C:$C,'Category Table'!$A92)</f>
        <v/>
      </c>
      <c r="T92" s="112">
        <f>SUMIFS('PO Log'!$E:$E,'PO Log'!$D:$D,'Category Table'!T$2,'PO Log'!$C:$C,'Category Table'!$A92)</f>
        <v/>
      </c>
      <c r="U92" s="111">
        <f>SUMIFS('Committments Dump'!$Q:$Q,'Committments Dump'!$C:$C,'Category Table'!U$2,'Committments Dump'!$B:$B,'Category Table'!$A92)</f>
        <v/>
      </c>
      <c r="V92" s="112">
        <f>SUMIFS('Committments Dump'!$Q:$Q,'Committments Dump'!$C:$C,'Category Table'!V$2,'Committments Dump'!$B:$B,'Category Table'!$A92)</f>
        <v/>
      </c>
      <c r="W92" s="112">
        <f>SUMIFS('Committments Dump'!$Q:$Q,'Committments Dump'!$C:$C,'Category Table'!W$2,'Committments Dump'!$B:$B,'Category Table'!$A92)</f>
        <v/>
      </c>
      <c r="X92" s="111">
        <f>SUMIFS('Committments Dump'!$R:$R,'Committments Dump'!$C:$C,'Category Table'!X$2,'Committments Dump'!$B:$B,'Category Table'!$A92)</f>
        <v/>
      </c>
      <c r="Y92" s="112">
        <f>SUMIFS('Committments Dump'!$R:$R,'Committments Dump'!$C:$C,'Category Table'!Y$2,'Committments Dump'!$B:$B,'Category Table'!$A92)</f>
        <v/>
      </c>
      <c r="Z92" s="112">
        <f>SUMIFS('Committments Dump'!$R:$R,'Committments Dump'!$C:$C,'Category Table'!Z$2,'Committments Dump'!$B:$B,'Category Table'!$A92)</f>
        <v/>
      </c>
      <c r="AA92" s="111">
        <f>SUMIFS('Committments Dump'!$S:$S,'Committments Dump'!$C:$C,'Category Table'!AA$2,'Committments Dump'!$B:$B,'Category Table'!$A92)</f>
        <v/>
      </c>
      <c r="AB92" s="112">
        <f>SUMIFS('Committments Dump'!$S:$S,'Committments Dump'!$C:$C,'Category Table'!AB$2,'Committments Dump'!$B:$B,'Category Table'!$A92)</f>
        <v/>
      </c>
      <c r="AC92" s="112">
        <f>SUMIFS('Committments Dump'!$S:$S,'Committments Dump'!$C:$C,'Category Table'!AC$2,'Committments Dump'!$B:$B,'Category Table'!$A92)</f>
        <v/>
      </c>
      <c r="AD92" s="111">
        <f>U92+X92+AA92</f>
        <v/>
      </c>
      <c r="AE92" s="112">
        <f>V92+Y92+AB92</f>
        <v/>
      </c>
      <c r="AF92" s="112">
        <f>W92+Z92+AC92</f>
        <v/>
      </c>
      <c r="AG92" s="111">
        <f>R92+AD92</f>
        <v/>
      </c>
      <c r="AH92" s="112">
        <f>S92+AE92</f>
        <v/>
      </c>
      <c r="AI92" s="112">
        <f>T92+AF92</f>
        <v/>
      </c>
      <c r="AJ92" s="111" t="n"/>
      <c r="AK92" s="112" t="n"/>
      <c r="AL92" s="112" t="n"/>
      <c r="AM92" s="111">
        <f>(O92-AG92)+AJ92</f>
        <v/>
      </c>
      <c r="AN92" s="112">
        <f>(P92-AH92)+AK92</f>
        <v/>
      </c>
      <c r="AO92" s="112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13" t="n">
        <v>0</v>
      </c>
      <c r="D93" s="114" t="n">
        <v>0</v>
      </c>
      <c r="E93" s="114" t="n">
        <v>0</v>
      </c>
      <c r="F93" s="113" t="n">
        <v>1200</v>
      </c>
      <c r="G93" s="114" t="n">
        <v>0</v>
      </c>
      <c r="H93" s="114" t="n">
        <v>0</v>
      </c>
      <c r="I93" s="113" t="n">
        <v>0</v>
      </c>
      <c r="J93" s="114" t="n">
        <v>0</v>
      </c>
      <c r="K93" s="114" t="n">
        <v>0</v>
      </c>
      <c r="L93" s="113" t="n">
        <v>0</v>
      </c>
      <c r="M93" s="114" t="n">
        <v>0</v>
      </c>
      <c r="N93" s="114" t="n">
        <v>0</v>
      </c>
      <c r="O93" s="113">
        <f>L93+I93+F93+C93</f>
        <v/>
      </c>
      <c r="P93" s="114">
        <f>M93+J93+G93+D93</f>
        <v/>
      </c>
      <c r="Q93" s="114">
        <f>N93+K93+H93+E93</f>
        <v/>
      </c>
      <c r="R93" s="113">
        <f>SUMIFS('PO Log'!$E:$E,'PO Log'!$D:$D,'Category Table'!R$2,'PO Log'!$C:$C,'Category Table'!$A93)</f>
        <v/>
      </c>
      <c r="S93" s="114">
        <f>SUMIFS('PO Log'!$E:$E,'PO Log'!$D:$D,'Category Table'!S$2,'PO Log'!$C:$C,'Category Table'!$A93)</f>
        <v/>
      </c>
      <c r="T93" s="114">
        <f>SUMIFS('PO Log'!$E:$E,'PO Log'!$D:$D,'Category Table'!T$2,'PO Log'!$C:$C,'Category Table'!$A93)</f>
        <v/>
      </c>
      <c r="U93" s="113">
        <f>SUMIFS('Committments Dump'!$Q:$Q,'Committments Dump'!$C:$C,'Category Table'!U$2,'Committments Dump'!$B:$B,'Category Table'!$A93)</f>
        <v/>
      </c>
      <c r="V93" s="114">
        <f>SUMIFS('Committments Dump'!$Q:$Q,'Committments Dump'!$C:$C,'Category Table'!V$2,'Committments Dump'!$B:$B,'Category Table'!$A93)</f>
        <v/>
      </c>
      <c r="W93" s="114">
        <f>SUMIFS('Committments Dump'!$Q:$Q,'Committments Dump'!$C:$C,'Category Table'!W$2,'Committments Dump'!$B:$B,'Category Table'!$A93)</f>
        <v/>
      </c>
      <c r="X93" s="113">
        <f>SUMIFS('Committments Dump'!$R:$R,'Committments Dump'!$C:$C,'Category Table'!X$2,'Committments Dump'!$B:$B,'Category Table'!$A93)</f>
        <v/>
      </c>
      <c r="Y93" s="114">
        <f>SUMIFS('Committments Dump'!$R:$R,'Committments Dump'!$C:$C,'Category Table'!Y$2,'Committments Dump'!$B:$B,'Category Table'!$A93)</f>
        <v/>
      </c>
      <c r="Z93" s="114">
        <f>SUMIFS('Committments Dump'!$R:$R,'Committments Dump'!$C:$C,'Category Table'!Z$2,'Committments Dump'!$B:$B,'Category Table'!$A93)</f>
        <v/>
      </c>
      <c r="AA93" s="113">
        <f>SUMIFS('Committments Dump'!$S:$S,'Committments Dump'!$C:$C,'Category Table'!AA$2,'Committments Dump'!$B:$B,'Category Table'!$A93)</f>
        <v/>
      </c>
      <c r="AB93" s="114">
        <f>SUMIFS('Committments Dump'!$S:$S,'Committments Dump'!$C:$C,'Category Table'!AB$2,'Committments Dump'!$B:$B,'Category Table'!$A93)</f>
        <v/>
      </c>
      <c r="AC93" s="114">
        <f>SUMIFS('Committments Dump'!$S:$S,'Committments Dump'!$C:$C,'Category Table'!AC$2,'Committments Dump'!$B:$B,'Category Table'!$A93)</f>
        <v/>
      </c>
      <c r="AD93" s="113">
        <f>U93+X93+AA93</f>
        <v/>
      </c>
      <c r="AE93" s="114">
        <f>V93+Y93+AB93</f>
        <v/>
      </c>
      <c r="AF93" s="114">
        <f>W93+Z93+AC93</f>
        <v/>
      </c>
      <c r="AG93" s="113">
        <f>R93+AD93</f>
        <v/>
      </c>
      <c r="AH93" s="114">
        <f>S93+AE93</f>
        <v/>
      </c>
      <c r="AI93" s="114">
        <f>T93+AF93</f>
        <v/>
      </c>
      <c r="AJ93" s="113" t="n"/>
      <c r="AK93" s="114" t="n"/>
      <c r="AL93" s="114" t="n"/>
      <c r="AM93" s="113">
        <f>(O93-AG93)+AJ93</f>
        <v/>
      </c>
      <c r="AN93" s="114">
        <f>(P93-AH93)+AK93</f>
        <v/>
      </c>
      <c r="AO93" s="114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11" t="n">
        <v>0</v>
      </c>
      <c r="D94" s="112" t="n">
        <v>0</v>
      </c>
      <c r="E94" s="112" t="n">
        <v>0</v>
      </c>
      <c r="F94" s="111" t="n">
        <v>0</v>
      </c>
      <c r="G94" s="112" t="n">
        <v>0</v>
      </c>
      <c r="H94" s="112" t="n">
        <v>53177.50018264842</v>
      </c>
      <c r="I94" s="111" t="n">
        <v>0</v>
      </c>
      <c r="J94" s="112" t="n">
        <v>0</v>
      </c>
      <c r="K94" s="112" t="n">
        <v>0</v>
      </c>
      <c r="L94" s="111" t="n">
        <v>0</v>
      </c>
      <c r="M94" s="112" t="n">
        <v>0</v>
      </c>
      <c r="N94" s="112" t="n">
        <v>0</v>
      </c>
      <c r="O94" s="111">
        <f>L94+I94+F94+C94</f>
        <v/>
      </c>
      <c r="P94" s="112">
        <f>M94+J94+G94+D94</f>
        <v/>
      </c>
      <c r="Q94" s="112">
        <f>N94+K94+H94+E94</f>
        <v/>
      </c>
      <c r="R94" s="111">
        <f>SUMIFS('PO Log'!$E:$E,'PO Log'!$D:$D,'Category Table'!R$2,'PO Log'!$C:$C,'Category Table'!$A94)</f>
        <v/>
      </c>
      <c r="S94" s="112">
        <f>SUMIFS('PO Log'!$E:$E,'PO Log'!$D:$D,'Category Table'!S$2,'PO Log'!$C:$C,'Category Table'!$A94)</f>
        <v/>
      </c>
      <c r="T94" s="112">
        <f>SUMIFS('PO Log'!$E:$E,'PO Log'!$D:$D,'Category Table'!T$2,'PO Log'!$C:$C,'Category Table'!$A94)</f>
        <v/>
      </c>
      <c r="U94" s="111">
        <f>SUMIFS('Committments Dump'!$Q:$Q,'Committments Dump'!$C:$C,'Category Table'!U$2,'Committments Dump'!$B:$B,'Category Table'!$A94)</f>
        <v/>
      </c>
      <c r="V94" s="112">
        <f>SUMIFS('Committments Dump'!$Q:$Q,'Committments Dump'!$C:$C,'Category Table'!V$2,'Committments Dump'!$B:$B,'Category Table'!$A94)</f>
        <v/>
      </c>
      <c r="W94" s="112">
        <f>SUMIFS('Committments Dump'!$Q:$Q,'Committments Dump'!$C:$C,'Category Table'!W$2,'Committments Dump'!$B:$B,'Category Table'!$A94)</f>
        <v/>
      </c>
      <c r="X94" s="111">
        <f>SUMIFS('Committments Dump'!$R:$R,'Committments Dump'!$C:$C,'Category Table'!X$2,'Committments Dump'!$B:$B,'Category Table'!$A94)</f>
        <v/>
      </c>
      <c r="Y94" s="112">
        <f>SUMIFS('Committments Dump'!$R:$R,'Committments Dump'!$C:$C,'Category Table'!Y$2,'Committments Dump'!$B:$B,'Category Table'!$A94)</f>
        <v/>
      </c>
      <c r="Z94" s="112">
        <f>SUMIFS('Committments Dump'!$R:$R,'Committments Dump'!$C:$C,'Category Table'!Z$2,'Committments Dump'!$B:$B,'Category Table'!$A94)</f>
        <v/>
      </c>
      <c r="AA94" s="111">
        <f>SUMIFS('Committments Dump'!$S:$S,'Committments Dump'!$C:$C,'Category Table'!AA$2,'Committments Dump'!$B:$B,'Category Table'!$A94)</f>
        <v/>
      </c>
      <c r="AB94" s="112">
        <f>SUMIFS('Committments Dump'!$S:$S,'Committments Dump'!$C:$C,'Category Table'!AB$2,'Committments Dump'!$B:$B,'Category Table'!$A94)</f>
        <v/>
      </c>
      <c r="AC94" s="112">
        <f>SUMIFS('Committments Dump'!$S:$S,'Committments Dump'!$C:$C,'Category Table'!AC$2,'Committments Dump'!$B:$B,'Category Table'!$A94)</f>
        <v/>
      </c>
      <c r="AD94" s="111">
        <f>U94+X94+AA94</f>
        <v/>
      </c>
      <c r="AE94" s="112">
        <f>V94+Y94+AB94</f>
        <v/>
      </c>
      <c r="AF94" s="112">
        <f>W94+Z94+AC94</f>
        <v/>
      </c>
      <c r="AG94" s="111">
        <f>R94+AD94</f>
        <v/>
      </c>
      <c r="AH94" s="112">
        <f>S94+AE94</f>
        <v/>
      </c>
      <c r="AI94" s="112">
        <f>T94+AF94</f>
        <v/>
      </c>
      <c r="AJ94" s="111" t="n"/>
      <c r="AK94" s="112" t="n"/>
      <c r="AL94" s="112" t="n"/>
      <c r="AM94" s="111">
        <f>(O94-AG94)+AJ94</f>
        <v/>
      </c>
      <c r="AN94" s="112">
        <f>(P94-AH94)+AK94</f>
        <v/>
      </c>
      <c r="AO94" s="112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13" t="n">
        <v>0</v>
      </c>
      <c r="D95" s="114" t="n">
        <v>0</v>
      </c>
      <c r="E95" s="114" t="n">
        <v>156147.77</v>
      </c>
      <c r="F95" s="113" t="n">
        <v>29000</v>
      </c>
      <c r="G95" s="114" t="n">
        <v>0</v>
      </c>
      <c r="H95" s="114" t="n">
        <v>153564.5769105691</v>
      </c>
      <c r="I95" s="113" t="n">
        <v>0</v>
      </c>
      <c r="J95" s="114" t="n">
        <v>832.5</v>
      </c>
      <c r="K95" s="114" t="n">
        <v>1057.94</v>
      </c>
      <c r="L95" s="113" t="n">
        <v>0</v>
      </c>
      <c r="M95" s="114" t="n">
        <v>0</v>
      </c>
      <c r="N95" s="114" t="n">
        <v>596875.5700000001</v>
      </c>
      <c r="O95" s="113">
        <f>L95+I95+F95+C95</f>
        <v/>
      </c>
      <c r="P95" s="114">
        <f>M95+J95+G95+D95</f>
        <v/>
      </c>
      <c r="Q95" s="114">
        <f>N95+K95+H95+E95</f>
        <v/>
      </c>
      <c r="R95" s="113">
        <f>SUMIFS('PO Log'!$E:$E,'PO Log'!$D:$D,'Category Table'!R$2,'PO Log'!$C:$C,'Category Table'!$A95)</f>
        <v/>
      </c>
      <c r="S95" s="114">
        <f>SUMIFS('PO Log'!$E:$E,'PO Log'!$D:$D,'Category Table'!S$2,'PO Log'!$C:$C,'Category Table'!$A95)</f>
        <v/>
      </c>
      <c r="T95" s="114">
        <f>SUMIFS('PO Log'!$E:$E,'PO Log'!$D:$D,'Category Table'!T$2,'PO Log'!$C:$C,'Category Table'!$A95)</f>
        <v/>
      </c>
      <c r="U95" s="113">
        <f>SUMIFS('Committments Dump'!$Q:$Q,'Committments Dump'!$C:$C,'Category Table'!U$2,'Committments Dump'!$B:$B,'Category Table'!$A95)</f>
        <v/>
      </c>
      <c r="V95" s="114">
        <f>SUMIFS('Committments Dump'!$Q:$Q,'Committments Dump'!$C:$C,'Category Table'!V$2,'Committments Dump'!$B:$B,'Category Table'!$A95)</f>
        <v/>
      </c>
      <c r="W95" s="114">
        <f>SUMIFS('Committments Dump'!$Q:$Q,'Committments Dump'!$C:$C,'Category Table'!W$2,'Committments Dump'!$B:$B,'Category Table'!$A95)</f>
        <v/>
      </c>
      <c r="X95" s="113">
        <f>SUMIFS('Committments Dump'!$R:$R,'Committments Dump'!$C:$C,'Category Table'!X$2,'Committments Dump'!$B:$B,'Category Table'!$A95)</f>
        <v/>
      </c>
      <c r="Y95" s="114">
        <f>SUMIFS('Committments Dump'!$R:$R,'Committments Dump'!$C:$C,'Category Table'!Y$2,'Committments Dump'!$B:$B,'Category Table'!$A95)</f>
        <v/>
      </c>
      <c r="Z95" s="114">
        <f>SUMIFS('Committments Dump'!$R:$R,'Committments Dump'!$C:$C,'Category Table'!Z$2,'Committments Dump'!$B:$B,'Category Table'!$A95)</f>
        <v/>
      </c>
      <c r="AA95" s="113">
        <f>SUMIFS('Committments Dump'!$S:$S,'Committments Dump'!$C:$C,'Category Table'!AA$2,'Committments Dump'!$B:$B,'Category Table'!$A95)</f>
        <v/>
      </c>
      <c r="AB95" s="114">
        <f>SUMIFS('Committments Dump'!$S:$S,'Committments Dump'!$C:$C,'Category Table'!AB$2,'Committments Dump'!$B:$B,'Category Table'!$A95)</f>
        <v/>
      </c>
      <c r="AC95" s="114">
        <f>SUMIFS('Committments Dump'!$S:$S,'Committments Dump'!$C:$C,'Category Table'!AC$2,'Committments Dump'!$B:$B,'Category Table'!$A95)</f>
        <v/>
      </c>
      <c r="AD95" s="113">
        <f>U95+X95+AA95</f>
        <v/>
      </c>
      <c r="AE95" s="114">
        <f>V95+Y95+AB95</f>
        <v/>
      </c>
      <c r="AF95" s="114">
        <f>W95+Z95+AC95</f>
        <v/>
      </c>
      <c r="AG95" s="113">
        <f>R95+AD95</f>
        <v/>
      </c>
      <c r="AH95" s="114">
        <f>S95+AE95</f>
        <v/>
      </c>
      <c r="AI95" s="114">
        <f>T95+AF95</f>
        <v/>
      </c>
      <c r="AJ95" s="113" t="n"/>
      <c r="AK95" s="114" t="n"/>
      <c r="AL95" s="114" t="n"/>
      <c r="AM95" s="113">
        <f>(O95-AG95)+AJ95</f>
        <v/>
      </c>
      <c r="AN95" s="114">
        <f>(P95-AH95)+AK95</f>
        <v/>
      </c>
      <c r="AO95" s="114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11" t="n">
        <v>0</v>
      </c>
      <c r="D96" s="112" t="n">
        <v>0</v>
      </c>
      <c r="E96" s="112" t="n">
        <v>0</v>
      </c>
      <c r="F96" s="111" t="n">
        <v>0</v>
      </c>
      <c r="G96" s="112" t="n">
        <v>0</v>
      </c>
      <c r="H96" s="112" t="n">
        <v>0</v>
      </c>
      <c r="I96" s="111" t="n">
        <v>0</v>
      </c>
      <c r="J96" s="112" t="n">
        <v>0</v>
      </c>
      <c r="K96" s="112" t="n">
        <v>0</v>
      </c>
      <c r="L96" s="111" t="n">
        <v>0</v>
      </c>
      <c r="M96" s="112" t="n">
        <v>0</v>
      </c>
      <c r="N96" s="112" t="n">
        <v>0</v>
      </c>
      <c r="O96" s="111">
        <f>L96+I96+F96+C96</f>
        <v/>
      </c>
      <c r="P96" s="112">
        <f>M96+J96+G96+D96</f>
        <v/>
      </c>
      <c r="Q96" s="112">
        <f>N96+K96+H96+E96</f>
        <v/>
      </c>
      <c r="R96" s="111">
        <f>SUMIFS('PO Log'!$E:$E,'PO Log'!$D:$D,'Category Table'!R$2,'PO Log'!$C:$C,'Category Table'!$A96)</f>
        <v/>
      </c>
      <c r="S96" s="112">
        <f>SUMIFS('PO Log'!$E:$E,'PO Log'!$D:$D,'Category Table'!S$2,'PO Log'!$C:$C,'Category Table'!$A96)</f>
        <v/>
      </c>
      <c r="T96" s="112">
        <f>SUMIFS('PO Log'!$E:$E,'PO Log'!$D:$D,'Category Table'!T$2,'PO Log'!$C:$C,'Category Table'!$A96)</f>
        <v/>
      </c>
      <c r="U96" s="111">
        <f>SUMIFS('Committments Dump'!$Q:$Q,'Committments Dump'!$C:$C,'Category Table'!U$2,'Committments Dump'!$B:$B,'Category Table'!$A96)</f>
        <v/>
      </c>
      <c r="V96" s="112">
        <f>SUMIFS('Committments Dump'!$Q:$Q,'Committments Dump'!$C:$C,'Category Table'!V$2,'Committments Dump'!$B:$B,'Category Table'!$A96)</f>
        <v/>
      </c>
      <c r="W96" s="112">
        <f>SUMIFS('Committments Dump'!$Q:$Q,'Committments Dump'!$C:$C,'Category Table'!W$2,'Committments Dump'!$B:$B,'Category Table'!$A96)</f>
        <v/>
      </c>
      <c r="X96" s="111">
        <f>SUMIFS('Committments Dump'!$R:$R,'Committments Dump'!$C:$C,'Category Table'!X$2,'Committments Dump'!$B:$B,'Category Table'!$A96)</f>
        <v/>
      </c>
      <c r="Y96" s="112">
        <f>SUMIFS('Committments Dump'!$R:$R,'Committments Dump'!$C:$C,'Category Table'!Y$2,'Committments Dump'!$B:$B,'Category Table'!$A96)</f>
        <v/>
      </c>
      <c r="Z96" s="112">
        <f>SUMIFS('Committments Dump'!$R:$R,'Committments Dump'!$C:$C,'Category Table'!Z$2,'Committments Dump'!$B:$B,'Category Table'!$A96)</f>
        <v/>
      </c>
      <c r="AA96" s="111">
        <f>SUMIFS('Committments Dump'!$S:$S,'Committments Dump'!$C:$C,'Category Table'!AA$2,'Committments Dump'!$B:$B,'Category Table'!$A96)</f>
        <v/>
      </c>
      <c r="AB96" s="112">
        <f>SUMIFS('Committments Dump'!$S:$S,'Committments Dump'!$C:$C,'Category Table'!AB$2,'Committments Dump'!$B:$B,'Category Table'!$A96)</f>
        <v/>
      </c>
      <c r="AC96" s="112">
        <f>SUMIFS('Committments Dump'!$S:$S,'Committments Dump'!$C:$C,'Category Table'!AC$2,'Committments Dump'!$B:$B,'Category Table'!$A96)</f>
        <v/>
      </c>
      <c r="AD96" s="111">
        <f>U96+X96+AA96</f>
        <v/>
      </c>
      <c r="AE96" s="112">
        <f>V96+Y96+AB96</f>
        <v/>
      </c>
      <c r="AF96" s="112">
        <f>W96+Z96+AC96</f>
        <v/>
      </c>
      <c r="AG96" s="111">
        <f>R96+AD96</f>
        <v/>
      </c>
      <c r="AH96" s="112">
        <f>S96+AE96</f>
        <v/>
      </c>
      <c r="AI96" s="112">
        <f>T96+AF96</f>
        <v/>
      </c>
      <c r="AJ96" s="111" t="n"/>
      <c r="AK96" s="112" t="n"/>
      <c r="AL96" s="112" t="n"/>
      <c r="AM96" s="111">
        <f>(O96-AG96)+AJ96</f>
        <v/>
      </c>
      <c r="AN96" s="112">
        <f>(P96-AH96)+AK96</f>
        <v/>
      </c>
      <c r="AO96" s="112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13" t="n">
        <v>0</v>
      </c>
      <c r="D97" s="114" t="n">
        <v>0</v>
      </c>
      <c r="E97" s="114" t="n">
        <v>0</v>
      </c>
      <c r="F97" s="113" t="n">
        <v>0</v>
      </c>
      <c r="G97" s="114" t="n">
        <v>0</v>
      </c>
      <c r="H97" s="114" t="n">
        <v>95877.25351562502</v>
      </c>
      <c r="I97" s="113" t="n">
        <v>0</v>
      </c>
      <c r="J97" s="114" t="n">
        <v>0</v>
      </c>
      <c r="K97" s="114" t="n">
        <v>0</v>
      </c>
      <c r="L97" s="113" t="n">
        <v>0</v>
      </c>
      <c r="M97" s="114" t="n">
        <v>0</v>
      </c>
      <c r="N97" s="114" t="n">
        <v>0</v>
      </c>
      <c r="O97" s="113">
        <f>L97+I97+F97+C97</f>
        <v/>
      </c>
      <c r="P97" s="114">
        <f>M97+J97+G97+D97</f>
        <v/>
      </c>
      <c r="Q97" s="114">
        <f>N97+K97+H97+E97</f>
        <v/>
      </c>
      <c r="R97" s="113">
        <f>SUMIFS('PO Log'!$E:$E,'PO Log'!$D:$D,'Category Table'!R$2,'PO Log'!$C:$C,'Category Table'!$A97)</f>
        <v/>
      </c>
      <c r="S97" s="114">
        <f>SUMIFS('PO Log'!$E:$E,'PO Log'!$D:$D,'Category Table'!S$2,'PO Log'!$C:$C,'Category Table'!$A97)</f>
        <v/>
      </c>
      <c r="T97" s="114">
        <f>SUMIFS('PO Log'!$E:$E,'PO Log'!$D:$D,'Category Table'!T$2,'PO Log'!$C:$C,'Category Table'!$A97)</f>
        <v/>
      </c>
      <c r="U97" s="113">
        <f>SUMIFS('Committments Dump'!$Q:$Q,'Committments Dump'!$C:$C,'Category Table'!U$2,'Committments Dump'!$B:$B,'Category Table'!$A97)</f>
        <v/>
      </c>
      <c r="V97" s="114">
        <f>SUMIFS('Committments Dump'!$Q:$Q,'Committments Dump'!$C:$C,'Category Table'!V$2,'Committments Dump'!$B:$B,'Category Table'!$A97)</f>
        <v/>
      </c>
      <c r="W97" s="114">
        <f>SUMIFS('Committments Dump'!$Q:$Q,'Committments Dump'!$C:$C,'Category Table'!W$2,'Committments Dump'!$B:$B,'Category Table'!$A97)</f>
        <v/>
      </c>
      <c r="X97" s="113">
        <f>SUMIFS('Committments Dump'!$R:$R,'Committments Dump'!$C:$C,'Category Table'!X$2,'Committments Dump'!$B:$B,'Category Table'!$A97)</f>
        <v/>
      </c>
      <c r="Y97" s="114">
        <f>SUMIFS('Committments Dump'!$R:$R,'Committments Dump'!$C:$C,'Category Table'!Y$2,'Committments Dump'!$B:$B,'Category Table'!$A97)</f>
        <v/>
      </c>
      <c r="Z97" s="114">
        <f>SUMIFS('Committments Dump'!$R:$R,'Committments Dump'!$C:$C,'Category Table'!Z$2,'Committments Dump'!$B:$B,'Category Table'!$A97)</f>
        <v/>
      </c>
      <c r="AA97" s="113">
        <f>SUMIFS('Committments Dump'!$S:$S,'Committments Dump'!$C:$C,'Category Table'!AA$2,'Committments Dump'!$B:$B,'Category Table'!$A97)</f>
        <v/>
      </c>
      <c r="AB97" s="114">
        <f>SUMIFS('Committments Dump'!$S:$S,'Committments Dump'!$C:$C,'Category Table'!AB$2,'Committments Dump'!$B:$B,'Category Table'!$A97)</f>
        <v/>
      </c>
      <c r="AC97" s="114">
        <f>SUMIFS('Committments Dump'!$S:$S,'Committments Dump'!$C:$C,'Category Table'!AC$2,'Committments Dump'!$B:$B,'Category Table'!$A97)</f>
        <v/>
      </c>
      <c r="AD97" s="113">
        <f>U97+X97+AA97</f>
        <v/>
      </c>
      <c r="AE97" s="114">
        <f>V97+Y97+AB97</f>
        <v/>
      </c>
      <c r="AF97" s="114">
        <f>W97+Z97+AC97</f>
        <v/>
      </c>
      <c r="AG97" s="113">
        <f>R97+AD97</f>
        <v/>
      </c>
      <c r="AH97" s="114">
        <f>S97+AE97</f>
        <v/>
      </c>
      <c r="AI97" s="114">
        <f>T97+AF97</f>
        <v/>
      </c>
      <c r="AJ97" s="113" t="n"/>
      <c r="AK97" s="114" t="n"/>
      <c r="AL97" s="114" t="n"/>
      <c r="AM97" s="113">
        <f>(O97-AG97)+AJ97</f>
        <v/>
      </c>
      <c r="AN97" s="114">
        <f>(P97-AH97)+AK97</f>
        <v/>
      </c>
      <c r="AO97" s="114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11" t="n">
        <v>0</v>
      </c>
      <c r="D98" s="112" t="n">
        <v>0</v>
      </c>
      <c r="E98" s="112" t="n">
        <v>0</v>
      </c>
      <c r="F98" s="111" t="n">
        <v>0</v>
      </c>
      <c r="G98" s="112" t="n">
        <v>0</v>
      </c>
      <c r="H98" s="112" t="n">
        <v>0</v>
      </c>
      <c r="I98" s="111" t="n">
        <v>0</v>
      </c>
      <c r="J98" s="112" t="n">
        <v>0</v>
      </c>
      <c r="K98" s="112" t="n">
        <v>0</v>
      </c>
      <c r="L98" s="111" t="n">
        <v>0</v>
      </c>
      <c r="M98" s="112" t="n">
        <v>0</v>
      </c>
      <c r="N98" s="112" t="n">
        <v>0</v>
      </c>
      <c r="O98" s="111">
        <f>L98+I98+F98+C98</f>
        <v/>
      </c>
      <c r="P98" s="112">
        <f>M98+J98+G98+D98</f>
        <v/>
      </c>
      <c r="Q98" s="112">
        <f>N98+K98+H98+E98</f>
        <v/>
      </c>
      <c r="R98" s="111">
        <f>SUMIFS('PO Log'!$E:$E,'PO Log'!$D:$D,'Category Table'!R$2,'PO Log'!$C:$C,'Category Table'!$A98)</f>
        <v/>
      </c>
      <c r="S98" s="112">
        <f>SUMIFS('PO Log'!$E:$E,'PO Log'!$D:$D,'Category Table'!S$2,'PO Log'!$C:$C,'Category Table'!$A98)</f>
        <v/>
      </c>
      <c r="T98" s="112">
        <f>SUMIFS('PO Log'!$E:$E,'PO Log'!$D:$D,'Category Table'!T$2,'PO Log'!$C:$C,'Category Table'!$A98)</f>
        <v/>
      </c>
      <c r="U98" s="111">
        <f>SUMIFS('Committments Dump'!$Q:$Q,'Committments Dump'!$C:$C,'Category Table'!U$2,'Committments Dump'!$B:$B,'Category Table'!$A98)</f>
        <v/>
      </c>
      <c r="V98" s="112">
        <f>SUMIFS('Committments Dump'!$Q:$Q,'Committments Dump'!$C:$C,'Category Table'!V$2,'Committments Dump'!$B:$B,'Category Table'!$A98)</f>
        <v/>
      </c>
      <c r="W98" s="112">
        <f>SUMIFS('Committments Dump'!$Q:$Q,'Committments Dump'!$C:$C,'Category Table'!W$2,'Committments Dump'!$B:$B,'Category Table'!$A98)</f>
        <v/>
      </c>
      <c r="X98" s="111">
        <f>SUMIFS('Committments Dump'!$R:$R,'Committments Dump'!$C:$C,'Category Table'!X$2,'Committments Dump'!$B:$B,'Category Table'!$A98)</f>
        <v/>
      </c>
      <c r="Y98" s="112">
        <f>SUMIFS('Committments Dump'!$R:$R,'Committments Dump'!$C:$C,'Category Table'!Y$2,'Committments Dump'!$B:$B,'Category Table'!$A98)</f>
        <v/>
      </c>
      <c r="Z98" s="112">
        <f>SUMIFS('Committments Dump'!$R:$R,'Committments Dump'!$C:$C,'Category Table'!Z$2,'Committments Dump'!$B:$B,'Category Table'!$A98)</f>
        <v/>
      </c>
      <c r="AA98" s="111">
        <f>SUMIFS('Committments Dump'!$S:$S,'Committments Dump'!$C:$C,'Category Table'!AA$2,'Committments Dump'!$B:$B,'Category Table'!$A98)</f>
        <v/>
      </c>
      <c r="AB98" s="112">
        <f>SUMIFS('Committments Dump'!$S:$S,'Committments Dump'!$C:$C,'Category Table'!AB$2,'Committments Dump'!$B:$B,'Category Table'!$A98)</f>
        <v/>
      </c>
      <c r="AC98" s="112">
        <f>SUMIFS('Committments Dump'!$S:$S,'Committments Dump'!$C:$C,'Category Table'!AC$2,'Committments Dump'!$B:$B,'Category Table'!$A98)</f>
        <v/>
      </c>
      <c r="AD98" s="111">
        <f>U98+X98+AA98</f>
        <v/>
      </c>
      <c r="AE98" s="112">
        <f>V98+Y98+AB98</f>
        <v/>
      </c>
      <c r="AF98" s="112">
        <f>W98+Z98+AC98</f>
        <v/>
      </c>
      <c r="AG98" s="111">
        <f>R98+AD98</f>
        <v/>
      </c>
      <c r="AH98" s="112">
        <f>S98+AE98</f>
        <v/>
      </c>
      <c r="AI98" s="112">
        <f>T98+AF98</f>
        <v/>
      </c>
      <c r="AJ98" s="111" t="n"/>
      <c r="AK98" s="112" t="n"/>
      <c r="AL98" s="112" t="n"/>
      <c r="AM98" s="111">
        <f>(O98-AG98)+AJ98</f>
        <v/>
      </c>
      <c r="AN98" s="112">
        <f>(P98-AH98)+AK98</f>
        <v/>
      </c>
      <c r="AO98" s="112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13" t="n">
        <v>0</v>
      </c>
      <c r="D99" s="114" t="n">
        <v>0</v>
      </c>
      <c r="E99" s="114" t="n">
        <v>0</v>
      </c>
      <c r="F99" s="113" t="n">
        <v>0</v>
      </c>
      <c r="G99" s="114" t="n">
        <v>0</v>
      </c>
      <c r="H99" s="114" t="n">
        <v>13345.35052083333</v>
      </c>
      <c r="I99" s="113" t="n">
        <v>0</v>
      </c>
      <c r="J99" s="114" t="n">
        <v>0</v>
      </c>
      <c r="K99" s="114" t="n">
        <v>0</v>
      </c>
      <c r="L99" s="113" t="n">
        <v>0</v>
      </c>
      <c r="M99" s="114" t="n">
        <v>0</v>
      </c>
      <c r="N99" s="114" t="n">
        <v>0</v>
      </c>
      <c r="O99" s="113">
        <f>L99+I99+F99+C99</f>
        <v/>
      </c>
      <c r="P99" s="114">
        <f>M99+J99+G99+D99</f>
        <v/>
      </c>
      <c r="Q99" s="114">
        <f>N99+K99+H99+E99</f>
        <v/>
      </c>
      <c r="R99" s="113">
        <f>SUMIFS('PO Log'!$E:$E,'PO Log'!$D:$D,'Category Table'!R$2,'PO Log'!$C:$C,'Category Table'!$A99)</f>
        <v/>
      </c>
      <c r="S99" s="114">
        <f>SUMIFS('PO Log'!$E:$E,'PO Log'!$D:$D,'Category Table'!S$2,'PO Log'!$C:$C,'Category Table'!$A99)</f>
        <v/>
      </c>
      <c r="T99" s="114">
        <f>SUMIFS('PO Log'!$E:$E,'PO Log'!$D:$D,'Category Table'!T$2,'PO Log'!$C:$C,'Category Table'!$A99)</f>
        <v/>
      </c>
      <c r="U99" s="113">
        <f>SUMIFS('Committments Dump'!$Q:$Q,'Committments Dump'!$C:$C,'Category Table'!U$2,'Committments Dump'!$B:$B,'Category Table'!$A99)</f>
        <v/>
      </c>
      <c r="V99" s="114">
        <f>SUMIFS('Committments Dump'!$Q:$Q,'Committments Dump'!$C:$C,'Category Table'!V$2,'Committments Dump'!$B:$B,'Category Table'!$A99)</f>
        <v/>
      </c>
      <c r="W99" s="114">
        <f>SUMIFS('Committments Dump'!$Q:$Q,'Committments Dump'!$C:$C,'Category Table'!W$2,'Committments Dump'!$B:$B,'Category Table'!$A99)</f>
        <v/>
      </c>
      <c r="X99" s="113">
        <f>SUMIFS('Committments Dump'!$R:$R,'Committments Dump'!$C:$C,'Category Table'!X$2,'Committments Dump'!$B:$B,'Category Table'!$A99)</f>
        <v/>
      </c>
      <c r="Y99" s="114">
        <f>SUMIFS('Committments Dump'!$R:$R,'Committments Dump'!$C:$C,'Category Table'!Y$2,'Committments Dump'!$B:$B,'Category Table'!$A99)</f>
        <v/>
      </c>
      <c r="Z99" s="114">
        <f>SUMIFS('Committments Dump'!$R:$R,'Committments Dump'!$C:$C,'Category Table'!Z$2,'Committments Dump'!$B:$B,'Category Table'!$A99)</f>
        <v/>
      </c>
      <c r="AA99" s="113">
        <f>SUMIFS('Committments Dump'!$S:$S,'Committments Dump'!$C:$C,'Category Table'!AA$2,'Committments Dump'!$B:$B,'Category Table'!$A99)</f>
        <v/>
      </c>
      <c r="AB99" s="114">
        <f>SUMIFS('Committments Dump'!$S:$S,'Committments Dump'!$C:$C,'Category Table'!AB$2,'Committments Dump'!$B:$B,'Category Table'!$A99)</f>
        <v/>
      </c>
      <c r="AC99" s="114">
        <f>SUMIFS('Committments Dump'!$S:$S,'Committments Dump'!$C:$C,'Category Table'!AC$2,'Committments Dump'!$B:$B,'Category Table'!$A99)</f>
        <v/>
      </c>
      <c r="AD99" s="113">
        <f>U99+X99+AA99</f>
        <v/>
      </c>
      <c r="AE99" s="114">
        <f>V99+Y99+AB99</f>
        <v/>
      </c>
      <c r="AF99" s="114">
        <f>W99+Z99+AC99</f>
        <v/>
      </c>
      <c r="AG99" s="113">
        <f>R99+AD99</f>
        <v/>
      </c>
      <c r="AH99" s="114">
        <f>S99+AE99</f>
        <v/>
      </c>
      <c r="AI99" s="114">
        <f>T99+AF99</f>
        <v/>
      </c>
      <c r="AJ99" s="113" t="n"/>
      <c r="AK99" s="114" t="n"/>
      <c r="AL99" s="114" t="n"/>
      <c r="AM99" s="113">
        <f>(O99-AG99)+AJ99</f>
        <v/>
      </c>
      <c r="AN99" s="114">
        <f>(P99-AH99)+AK99</f>
        <v/>
      </c>
      <c r="AO99" s="114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11" t="n">
        <v>0</v>
      </c>
      <c r="D100" s="112" t="n">
        <v>0</v>
      </c>
      <c r="E100" s="112" t="n">
        <v>0</v>
      </c>
      <c r="F100" s="111" t="n">
        <v>0</v>
      </c>
      <c r="G100" s="112" t="n">
        <v>0</v>
      </c>
      <c r="H100" s="112" t="n">
        <v>154560.43</v>
      </c>
      <c r="I100" s="111" t="n">
        <v>0</v>
      </c>
      <c r="J100" s="112" t="n">
        <v>0</v>
      </c>
      <c r="K100" s="112" t="n">
        <v>0</v>
      </c>
      <c r="L100" s="111" t="n">
        <v>0</v>
      </c>
      <c r="M100" s="112" t="n">
        <v>0</v>
      </c>
      <c r="N100" s="112" t="n">
        <v>0</v>
      </c>
      <c r="O100" s="111">
        <f>L100+I100+F100+C100</f>
        <v/>
      </c>
      <c r="P100" s="112">
        <f>M100+J100+G100+D100</f>
        <v/>
      </c>
      <c r="Q100" s="112">
        <f>N100+K100+H100+E100</f>
        <v/>
      </c>
      <c r="R100" s="111">
        <f>SUMIFS('PO Log'!$E:$E,'PO Log'!$D:$D,'Category Table'!R$2,'PO Log'!$C:$C,'Category Table'!$A100)</f>
        <v/>
      </c>
      <c r="S100" s="112">
        <f>SUMIFS('PO Log'!$E:$E,'PO Log'!$D:$D,'Category Table'!S$2,'PO Log'!$C:$C,'Category Table'!$A100)</f>
        <v/>
      </c>
      <c r="T100" s="112">
        <f>SUMIFS('PO Log'!$E:$E,'PO Log'!$D:$D,'Category Table'!T$2,'PO Log'!$C:$C,'Category Table'!$A100)</f>
        <v/>
      </c>
      <c r="U100" s="111">
        <f>SUMIFS('Committments Dump'!$Q:$Q,'Committments Dump'!$C:$C,'Category Table'!U$2,'Committments Dump'!$B:$B,'Category Table'!$A100)</f>
        <v/>
      </c>
      <c r="V100" s="112">
        <f>SUMIFS('Committments Dump'!$Q:$Q,'Committments Dump'!$C:$C,'Category Table'!V$2,'Committments Dump'!$B:$B,'Category Table'!$A100)</f>
        <v/>
      </c>
      <c r="W100" s="112">
        <f>SUMIFS('Committments Dump'!$Q:$Q,'Committments Dump'!$C:$C,'Category Table'!W$2,'Committments Dump'!$B:$B,'Category Table'!$A100)</f>
        <v/>
      </c>
      <c r="X100" s="111">
        <f>SUMIFS('Committments Dump'!$R:$R,'Committments Dump'!$C:$C,'Category Table'!X$2,'Committments Dump'!$B:$B,'Category Table'!$A100)</f>
        <v/>
      </c>
      <c r="Y100" s="112">
        <f>SUMIFS('Committments Dump'!$R:$R,'Committments Dump'!$C:$C,'Category Table'!Y$2,'Committments Dump'!$B:$B,'Category Table'!$A100)</f>
        <v/>
      </c>
      <c r="Z100" s="112">
        <f>SUMIFS('Committments Dump'!$R:$R,'Committments Dump'!$C:$C,'Category Table'!Z$2,'Committments Dump'!$B:$B,'Category Table'!$A100)</f>
        <v/>
      </c>
      <c r="AA100" s="111">
        <f>SUMIFS('Committments Dump'!$S:$S,'Committments Dump'!$C:$C,'Category Table'!AA$2,'Committments Dump'!$B:$B,'Category Table'!$A100)</f>
        <v/>
      </c>
      <c r="AB100" s="112">
        <f>SUMIFS('Committments Dump'!$S:$S,'Committments Dump'!$C:$C,'Category Table'!AB$2,'Committments Dump'!$B:$B,'Category Table'!$A100)</f>
        <v/>
      </c>
      <c r="AC100" s="112">
        <f>SUMIFS('Committments Dump'!$S:$S,'Committments Dump'!$C:$C,'Category Table'!AC$2,'Committments Dump'!$B:$B,'Category Table'!$A100)</f>
        <v/>
      </c>
      <c r="AD100" s="111">
        <f>U100+X100+AA100</f>
        <v/>
      </c>
      <c r="AE100" s="112">
        <f>V100+Y100+AB100</f>
        <v/>
      </c>
      <c r="AF100" s="112">
        <f>W100+Z100+AC100</f>
        <v/>
      </c>
      <c r="AG100" s="111">
        <f>R100+AD100</f>
        <v/>
      </c>
      <c r="AH100" s="112">
        <f>S100+AE100</f>
        <v/>
      </c>
      <c r="AI100" s="112">
        <f>T100+AF100</f>
        <v/>
      </c>
      <c r="AJ100" s="111" t="n"/>
      <c r="AK100" s="112" t="n"/>
      <c r="AL100" s="112" t="n"/>
      <c r="AM100" s="111">
        <f>(O100-AG100)+AJ100</f>
        <v/>
      </c>
      <c r="AN100" s="112">
        <f>(P100-AH100)+AK100</f>
        <v/>
      </c>
      <c r="AO100" s="112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13" t="n">
        <v>0</v>
      </c>
      <c r="D101" s="114" t="n">
        <v>0</v>
      </c>
      <c r="E101" s="114" t="n">
        <v>0</v>
      </c>
      <c r="F101" s="113" t="n">
        <v>0</v>
      </c>
      <c r="G101" s="114" t="n">
        <v>0</v>
      </c>
      <c r="H101" s="114" t="n">
        <v>186821.46</v>
      </c>
      <c r="I101" s="113" t="n">
        <v>0</v>
      </c>
      <c r="J101" s="114" t="n">
        <v>0</v>
      </c>
      <c r="K101" s="114" t="n">
        <v>0</v>
      </c>
      <c r="L101" s="113" t="n">
        <v>0</v>
      </c>
      <c r="M101" s="114" t="n">
        <v>0</v>
      </c>
      <c r="N101" s="114" t="n">
        <v>0</v>
      </c>
      <c r="O101" s="113">
        <f>L101+I101+F101+C101</f>
        <v/>
      </c>
      <c r="P101" s="114">
        <f>M101+J101+G101+D101</f>
        <v/>
      </c>
      <c r="Q101" s="114">
        <f>N101+K101+H101+E101</f>
        <v/>
      </c>
      <c r="R101" s="113">
        <f>SUMIFS('PO Log'!$E:$E,'PO Log'!$D:$D,'Category Table'!R$2,'PO Log'!$C:$C,'Category Table'!$A101)</f>
        <v/>
      </c>
      <c r="S101" s="114">
        <f>SUMIFS('PO Log'!$E:$E,'PO Log'!$D:$D,'Category Table'!S$2,'PO Log'!$C:$C,'Category Table'!$A101)</f>
        <v/>
      </c>
      <c r="T101" s="114">
        <f>SUMIFS('PO Log'!$E:$E,'PO Log'!$D:$D,'Category Table'!T$2,'PO Log'!$C:$C,'Category Table'!$A101)</f>
        <v/>
      </c>
      <c r="U101" s="113">
        <f>SUMIFS('Committments Dump'!$Q:$Q,'Committments Dump'!$C:$C,'Category Table'!U$2,'Committments Dump'!$B:$B,'Category Table'!$A101)</f>
        <v/>
      </c>
      <c r="V101" s="114">
        <f>SUMIFS('Committments Dump'!$Q:$Q,'Committments Dump'!$C:$C,'Category Table'!V$2,'Committments Dump'!$B:$B,'Category Table'!$A101)</f>
        <v/>
      </c>
      <c r="W101" s="114">
        <f>SUMIFS('Committments Dump'!$Q:$Q,'Committments Dump'!$C:$C,'Category Table'!W$2,'Committments Dump'!$B:$B,'Category Table'!$A101)</f>
        <v/>
      </c>
      <c r="X101" s="113">
        <f>SUMIFS('Committments Dump'!$R:$R,'Committments Dump'!$C:$C,'Category Table'!X$2,'Committments Dump'!$B:$B,'Category Table'!$A101)</f>
        <v/>
      </c>
      <c r="Y101" s="114">
        <f>SUMIFS('Committments Dump'!$R:$R,'Committments Dump'!$C:$C,'Category Table'!Y$2,'Committments Dump'!$B:$B,'Category Table'!$A101)</f>
        <v/>
      </c>
      <c r="Z101" s="114">
        <f>SUMIFS('Committments Dump'!$R:$R,'Committments Dump'!$C:$C,'Category Table'!Z$2,'Committments Dump'!$B:$B,'Category Table'!$A101)</f>
        <v/>
      </c>
      <c r="AA101" s="113">
        <f>SUMIFS('Committments Dump'!$S:$S,'Committments Dump'!$C:$C,'Category Table'!AA$2,'Committments Dump'!$B:$B,'Category Table'!$A101)</f>
        <v/>
      </c>
      <c r="AB101" s="114">
        <f>SUMIFS('Committments Dump'!$S:$S,'Committments Dump'!$C:$C,'Category Table'!AB$2,'Committments Dump'!$B:$B,'Category Table'!$A101)</f>
        <v/>
      </c>
      <c r="AC101" s="114">
        <f>SUMIFS('Committments Dump'!$S:$S,'Committments Dump'!$C:$C,'Category Table'!AC$2,'Committments Dump'!$B:$B,'Category Table'!$A101)</f>
        <v/>
      </c>
      <c r="AD101" s="113">
        <f>U101+X101+AA101</f>
        <v/>
      </c>
      <c r="AE101" s="114">
        <f>V101+Y101+AB101</f>
        <v/>
      </c>
      <c r="AF101" s="114">
        <f>W101+Z101+AC101</f>
        <v/>
      </c>
      <c r="AG101" s="113">
        <f>R101+AD101</f>
        <v/>
      </c>
      <c r="AH101" s="114">
        <f>S101+AE101</f>
        <v/>
      </c>
      <c r="AI101" s="114">
        <f>T101+AF101</f>
        <v/>
      </c>
      <c r="AJ101" s="113" t="n"/>
      <c r="AK101" s="114" t="n"/>
      <c r="AL101" s="114" t="n"/>
      <c r="AM101" s="113">
        <f>(O101-AG101)+AJ101</f>
        <v/>
      </c>
      <c r="AN101" s="114">
        <f>(P101-AH101)+AK101</f>
        <v/>
      </c>
      <c r="AO101" s="114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11" t="n">
        <v>867327</v>
      </c>
      <c r="D102" s="112" t="n">
        <v>0</v>
      </c>
      <c r="E102" s="112" t="n">
        <v>0</v>
      </c>
      <c r="F102" s="111" t="n">
        <v>668815.75</v>
      </c>
      <c r="G102" s="112" t="n">
        <v>0</v>
      </c>
      <c r="H102" s="112" t="n">
        <v>1114000</v>
      </c>
      <c r="I102" s="111" t="n">
        <v>0</v>
      </c>
      <c r="J102" s="112" t="n">
        <v>0</v>
      </c>
      <c r="K102" s="112" t="n">
        <v>0</v>
      </c>
      <c r="L102" s="111" t="n">
        <v>9612857.25</v>
      </c>
      <c r="M102" s="112" t="n">
        <v>0</v>
      </c>
      <c r="N102" s="112" t="n">
        <v>0</v>
      </c>
      <c r="O102" s="111">
        <f>L102+I102+F102+C102</f>
        <v/>
      </c>
      <c r="P102" s="112">
        <f>M102+J102+G102+D102</f>
        <v/>
      </c>
      <c r="Q102" s="112">
        <f>N102+K102+H102+E102</f>
        <v/>
      </c>
      <c r="R102" s="111">
        <f>SUMIFS('PO Log'!$E:$E,'PO Log'!$D:$D,'Category Table'!R$2,'PO Log'!$C:$C,'Category Table'!$A102)</f>
        <v/>
      </c>
      <c r="S102" s="112">
        <f>SUMIFS('PO Log'!$E:$E,'PO Log'!$D:$D,'Category Table'!S$2,'PO Log'!$C:$C,'Category Table'!$A102)</f>
        <v/>
      </c>
      <c r="T102" s="112">
        <f>SUMIFS('PO Log'!$E:$E,'PO Log'!$D:$D,'Category Table'!T$2,'PO Log'!$C:$C,'Category Table'!$A102)</f>
        <v/>
      </c>
      <c r="U102" s="111">
        <f>SUMIFS('Committments Dump'!$Q:$Q,'Committments Dump'!$C:$C,'Category Table'!U$2,'Committments Dump'!$B:$B,'Category Table'!$A102)</f>
        <v/>
      </c>
      <c r="V102" s="112">
        <f>SUMIFS('Committments Dump'!$Q:$Q,'Committments Dump'!$C:$C,'Category Table'!V$2,'Committments Dump'!$B:$B,'Category Table'!$A102)</f>
        <v/>
      </c>
      <c r="W102" s="112">
        <f>SUMIFS('Committments Dump'!$Q:$Q,'Committments Dump'!$C:$C,'Category Table'!W$2,'Committments Dump'!$B:$B,'Category Table'!$A102)</f>
        <v/>
      </c>
      <c r="X102" s="111">
        <f>SUMIFS('Committments Dump'!$R:$R,'Committments Dump'!$C:$C,'Category Table'!X$2,'Committments Dump'!$B:$B,'Category Table'!$A102)</f>
        <v/>
      </c>
      <c r="Y102" s="112">
        <f>SUMIFS('Committments Dump'!$R:$R,'Committments Dump'!$C:$C,'Category Table'!Y$2,'Committments Dump'!$B:$B,'Category Table'!$A102)</f>
        <v/>
      </c>
      <c r="Z102" s="112">
        <f>SUMIFS('Committments Dump'!$R:$R,'Committments Dump'!$C:$C,'Category Table'!Z$2,'Committments Dump'!$B:$B,'Category Table'!$A102)</f>
        <v/>
      </c>
      <c r="AA102" s="111">
        <f>SUMIFS('Committments Dump'!$S:$S,'Committments Dump'!$C:$C,'Category Table'!AA$2,'Committments Dump'!$B:$B,'Category Table'!$A102)</f>
        <v/>
      </c>
      <c r="AB102" s="112">
        <f>SUMIFS('Committments Dump'!$S:$S,'Committments Dump'!$C:$C,'Category Table'!AB$2,'Committments Dump'!$B:$B,'Category Table'!$A102)</f>
        <v/>
      </c>
      <c r="AC102" s="112">
        <f>SUMIFS('Committments Dump'!$S:$S,'Committments Dump'!$C:$C,'Category Table'!AC$2,'Committments Dump'!$B:$B,'Category Table'!$A102)</f>
        <v/>
      </c>
      <c r="AD102" s="111">
        <f>U102+X102+AA102</f>
        <v/>
      </c>
      <c r="AE102" s="112">
        <f>V102+Y102+AB102</f>
        <v/>
      </c>
      <c r="AF102" s="112">
        <f>W102+Z102+AC102</f>
        <v/>
      </c>
      <c r="AG102" s="111">
        <f>R102+AD102</f>
        <v/>
      </c>
      <c r="AH102" s="112">
        <f>S102+AE102</f>
        <v/>
      </c>
      <c r="AI102" s="112">
        <f>T102+AF102</f>
        <v/>
      </c>
      <c r="AJ102" s="111" t="n"/>
      <c r="AK102" s="112" t="n"/>
      <c r="AL102" s="112" t="n"/>
      <c r="AM102" s="111">
        <f>(O102-AG102)+AJ102</f>
        <v/>
      </c>
      <c r="AN102" s="112">
        <f>(P102-AH102)+AK102</f>
        <v/>
      </c>
      <c r="AO102" s="112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13" t="n">
        <v>0</v>
      </c>
      <c r="D103" s="114" t="n">
        <v>0</v>
      </c>
      <c r="E103" s="114" t="n">
        <v>0</v>
      </c>
      <c r="F103" s="113" t="n">
        <v>0</v>
      </c>
      <c r="G103" s="114" t="n">
        <v>0</v>
      </c>
      <c r="H103" s="114" t="n">
        <v>0</v>
      </c>
      <c r="I103" s="113" t="n">
        <v>0</v>
      </c>
      <c r="J103" s="114" t="n">
        <v>0</v>
      </c>
      <c r="K103" s="114" t="n">
        <v>0</v>
      </c>
      <c r="L103" s="113" t="n">
        <v>0</v>
      </c>
      <c r="M103" s="114" t="n">
        <v>0</v>
      </c>
      <c r="N103" s="114" t="n">
        <v>0</v>
      </c>
      <c r="O103" s="113">
        <f>L103+I103+F103+C103</f>
        <v/>
      </c>
      <c r="P103" s="114">
        <f>M103+J103+G103+D103</f>
        <v/>
      </c>
      <c r="Q103" s="114">
        <f>N103+K103+H103+E103</f>
        <v/>
      </c>
      <c r="R103" s="113">
        <f>SUMIFS('PO Log'!$E:$E,'PO Log'!$D:$D,'Category Table'!R$2,'PO Log'!$C:$C,'Category Table'!$A103)</f>
        <v/>
      </c>
      <c r="S103" s="114">
        <f>SUMIFS('PO Log'!$E:$E,'PO Log'!$D:$D,'Category Table'!S$2,'PO Log'!$C:$C,'Category Table'!$A103)</f>
        <v/>
      </c>
      <c r="T103" s="114">
        <f>SUMIFS('PO Log'!$E:$E,'PO Log'!$D:$D,'Category Table'!T$2,'PO Log'!$C:$C,'Category Table'!$A103)</f>
        <v/>
      </c>
      <c r="U103" s="113">
        <f>SUMIFS('Committments Dump'!$Q:$Q,'Committments Dump'!$C:$C,'Category Table'!U$2,'Committments Dump'!$B:$B,'Category Table'!$A103)</f>
        <v/>
      </c>
      <c r="V103" s="114">
        <f>SUMIFS('Committments Dump'!$Q:$Q,'Committments Dump'!$C:$C,'Category Table'!V$2,'Committments Dump'!$B:$B,'Category Table'!$A103)</f>
        <v/>
      </c>
      <c r="W103" s="114">
        <f>SUMIFS('Committments Dump'!$Q:$Q,'Committments Dump'!$C:$C,'Category Table'!W$2,'Committments Dump'!$B:$B,'Category Table'!$A103)</f>
        <v/>
      </c>
      <c r="X103" s="113">
        <f>SUMIFS('Committments Dump'!$R:$R,'Committments Dump'!$C:$C,'Category Table'!X$2,'Committments Dump'!$B:$B,'Category Table'!$A103)</f>
        <v/>
      </c>
      <c r="Y103" s="114">
        <f>SUMIFS('Committments Dump'!$R:$R,'Committments Dump'!$C:$C,'Category Table'!Y$2,'Committments Dump'!$B:$B,'Category Table'!$A103)</f>
        <v/>
      </c>
      <c r="Z103" s="114">
        <f>SUMIFS('Committments Dump'!$R:$R,'Committments Dump'!$C:$C,'Category Table'!Z$2,'Committments Dump'!$B:$B,'Category Table'!$A103)</f>
        <v/>
      </c>
      <c r="AA103" s="113">
        <f>SUMIFS('Committments Dump'!$S:$S,'Committments Dump'!$C:$C,'Category Table'!AA$2,'Committments Dump'!$B:$B,'Category Table'!$A103)</f>
        <v/>
      </c>
      <c r="AB103" s="114">
        <f>SUMIFS('Committments Dump'!$S:$S,'Committments Dump'!$C:$C,'Category Table'!AB$2,'Committments Dump'!$B:$B,'Category Table'!$A103)</f>
        <v/>
      </c>
      <c r="AC103" s="114">
        <f>SUMIFS('Committments Dump'!$S:$S,'Committments Dump'!$C:$C,'Category Table'!AC$2,'Committments Dump'!$B:$B,'Category Table'!$A103)</f>
        <v/>
      </c>
      <c r="AD103" s="113">
        <f>U103+X103+AA103</f>
        <v/>
      </c>
      <c r="AE103" s="114">
        <f>V103+Y103+AB103</f>
        <v/>
      </c>
      <c r="AF103" s="114">
        <f>W103+Z103+AC103</f>
        <v/>
      </c>
      <c r="AG103" s="113">
        <f>R103+AD103</f>
        <v/>
      </c>
      <c r="AH103" s="114">
        <f>S103+AE103</f>
        <v/>
      </c>
      <c r="AI103" s="114">
        <f>T103+AF103</f>
        <v/>
      </c>
      <c r="AJ103" s="113" t="n"/>
      <c r="AK103" s="114" t="n"/>
      <c r="AL103" s="114" t="n"/>
      <c r="AM103" s="113">
        <f>(O103-AG103)+AJ103</f>
        <v/>
      </c>
      <c r="AN103" s="114">
        <f>(P103-AH103)+AK103</f>
        <v/>
      </c>
      <c r="AO103" s="114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11" t="n">
        <v>0</v>
      </c>
      <c r="D104" s="112" t="n">
        <v>0</v>
      </c>
      <c r="E104" s="112" t="n">
        <v>0</v>
      </c>
      <c r="F104" s="111" t="n">
        <v>0</v>
      </c>
      <c r="G104" s="112" t="n">
        <v>19492.48810498219</v>
      </c>
      <c r="H104" s="112" t="n">
        <v>75000</v>
      </c>
      <c r="I104" s="111" t="n">
        <v>0</v>
      </c>
      <c r="J104" s="112" t="n">
        <v>0</v>
      </c>
      <c r="K104" s="112" t="n">
        <v>0</v>
      </c>
      <c r="L104" s="111" t="n">
        <v>0</v>
      </c>
      <c r="M104" s="112" t="n">
        <v>0</v>
      </c>
      <c r="N104" s="112" t="n">
        <v>477300</v>
      </c>
      <c r="O104" s="111">
        <f>L104+I104+F104+C104</f>
        <v/>
      </c>
      <c r="P104" s="112">
        <f>M104+J104+G104+D104</f>
        <v/>
      </c>
      <c r="Q104" s="112">
        <f>N104+K104+H104+E104</f>
        <v/>
      </c>
      <c r="R104" s="111">
        <f>SUMIFS('PO Log'!$E:$E,'PO Log'!$D:$D,'Category Table'!R$2,'PO Log'!$C:$C,'Category Table'!$A104)</f>
        <v/>
      </c>
      <c r="S104" s="112">
        <f>SUMIFS('PO Log'!$E:$E,'PO Log'!$D:$D,'Category Table'!S$2,'PO Log'!$C:$C,'Category Table'!$A104)</f>
        <v/>
      </c>
      <c r="T104" s="112">
        <f>SUMIFS('PO Log'!$E:$E,'PO Log'!$D:$D,'Category Table'!T$2,'PO Log'!$C:$C,'Category Table'!$A104)</f>
        <v/>
      </c>
      <c r="U104" s="111">
        <f>SUMIFS('Committments Dump'!$Q:$Q,'Committments Dump'!$C:$C,'Category Table'!U$2,'Committments Dump'!$B:$B,'Category Table'!$A104)</f>
        <v/>
      </c>
      <c r="V104" s="112">
        <f>SUMIFS('Committments Dump'!$Q:$Q,'Committments Dump'!$C:$C,'Category Table'!V$2,'Committments Dump'!$B:$B,'Category Table'!$A104)</f>
        <v/>
      </c>
      <c r="W104" s="112">
        <f>SUMIFS('Committments Dump'!$Q:$Q,'Committments Dump'!$C:$C,'Category Table'!W$2,'Committments Dump'!$B:$B,'Category Table'!$A104)</f>
        <v/>
      </c>
      <c r="X104" s="111">
        <f>SUMIFS('Committments Dump'!$R:$R,'Committments Dump'!$C:$C,'Category Table'!X$2,'Committments Dump'!$B:$B,'Category Table'!$A104)</f>
        <v/>
      </c>
      <c r="Y104" s="112">
        <f>SUMIFS('Committments Dump'!$R:$R,'Committments Dump'!$C:$C,'Category Table'!Y$2,'Committments Dump'!$B:$B,'Category Table'!$A104)</f>
        <v/>
      </c>
      <c r="Z104" s="112">
        <f>SUMIFS('Committments Dump'!$R:$R,'Committments Dump'!$C:$C,'Category Table'!Z$2,'Committments Dump'!$B:$B,'Category Table'!$A104)</f>
        <v/>
      </c>
      <c r="AA104" s="111">
        <f>SUMIFS('Committments Dump'!$S:$S,'Committments Dump'!$C:$C,'Category Table'!AA$2,'Committments Dump'!$B:$B,'Category Table'!$A104)</f>
        <v/>
      </c>
      <c r="AB104" s="112">
        <f>SUMIFS('Committments Dump'!$S:$S,'Committments Dump'!$C:$C,'Category Table'!AB$2,'Committments Dump'!$B:$B,'Category Table'!$A104)</f>
        <v/>
      </c>
      <c r="AC104" s="112">
        <f>SUMIFS('Committments Dump'!$S:$S,'Committments Dump'!$C:$C,'Category Table'!AC$2,'Committments Dump'!$B:$B,'Category Table'!$A104)</f>
        <v/>
      </c>
      <c r="AD104" s="111">
        <f>U104+X104+AA104</f>
        <v/>
      </c>
      <c r="AE104" s="112">
        <f>V104+Y104+AB104</f>
        <v/>
      </c>
      <c r="AF104" s="112">
        <f>W104+Z104+AC104</f>
        <v/>
      </c>
      <c r="AG104" s="111">
        <f>R104+AD104</f>
        <v/>
      </c>
      <c r="AH104" s="112">
        <f>S104+AE104</f>
        <v/>
      </c>
      <c r="AI104" s="112">
        <f>T104+AF104</f>
        <v/>
      </c>
      <c r="AJ104" s="111" t="n"/>
      <c r="AK104" s="112" t="n"/>
      <c r="AL104" s="112" t="n"/>
      <c r="AM104" s="111">
        <f>(O104-AG104)+AJ104</f>
        <v/>
      </c>
      <c r="AN104" s="112">
        <f>(P104-AH104)+AK104</f>
        <v/>
      </c>
      <c r="AO104" s="112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13" t="n">
        <v>0</v>
      </c>
      <c r="D105" s="114" t="n">
        <v>500</v>
      </c>
      <c r="E105" s="114" t="n">
        <v>0</v>
      </c>
      <c r="F105" s="113" t="n"/>
      <c r="G105" s="114" t="n">
        <v>9613.739999999991</v>
      </c>
      <c r="H105" s="114" t="n">
        <v>370889.22</v>
      </c>
      <c r="I105" s="113" t="n">
        <v>0</v>
      </c>
      <c r="J105" s="114" t="n">
        <v>0</v>
      </c>
      <c r="K105" s="114" t="n">
        <v>0</v>
      </c>
      <c r="L105" s="113" t="n">
        <v>0</v>
      </c>
      <c r="M105" s="114" t="n">
        <v>666</v>
      </c>
      <c r="N105" s="114" t="n">
        <v>243373.05</v>
      </c>
      <c r="O105" s="113">
        <f>L105+I105+F105+C105</f>
        <v/>
      </c>
      <c r="P105" s="114">
        <f>M105+J105+G105+D105</f>
        <v/>
      </c>
      <c r="Q105" s="114">
        <f>N105+K105+H105+E105</f>
        <v/>
      </c>
      <c r="R105" s="113">
        <f>SUMIFS('PO Log'!$E:$E,'PO Log'!$D:$D,'Category Table'!R$2,'PO Log'!$C:$C,'Category Table'!$A105)</f>
        <v/>
      </c>
      <c r="S105" s="114">
        <f>SUMIFS('PO Log'!$E:$E,'PO Log'!$D:$D,'Category Table'!S$2,'PO Log'!$C:$C,'Category Table'!$A105)</f>
        <v/>
      </c>
      <c r="T105" s="114">
        <f>SUMIFS('PO Log'!$E:$E,'PO Log'!$D:$D,'Category Table'!T$2,'PO Log'!$C:$C,'Category Table'!$A105)</f>
        <v/>
      </c>
      <c r="U105" s="113">
        <f>SUMIFS('Committments Dump'!$Q:$Q,'Committments Dump'!$C:$C,'Category Table'!U$2,'Committments Dump'!$B:$B,'Category Table'!$A105)</f>
        <v/>
      </c>
      <c r="V105" s="114">
        <f>SUMIFS('Committments Dump'!$Q:$Q,'Committments Dump'!$C:$C,'Category Table'!V$2,'Committments Dump'!$B:$B,'Category Table'!$A105)</f>
        <v/>
      </c>
      <c r="W105" s="114">
        <f>SUMIFS('Committments Dump'!$Q:$Q,'Committments Dump'!$C:$C,'Category Table'!W$2,'Committments Dump'!$B:$B,'Category Table'!$A105)</f>
        <v/>
      </c>
      <c r="X105" s="113">
        <f>SUMIFS('Committments Dump'!$R:$R,'Committments Dump'!$C:$C,'Category Table'!X$2,'Committments Dump'!$B:$B,'Category Table'!$A105)</f>
        <v/>
      </c>
      <c r="Y105" s="114">
        <f>SUMIFS('Committments Dump'!$R:$R,'Committments Dump'!$C:$C,'Category Table'!Y$2,'Committments Dump'!$B:$B,'Category Table'!$A105)</f>
        <v/>
      </c>
      <c r="Z105" s="114">
        <f>SUMIFS('Committments Dump'!$R:$R,'Committments Dump'!$C:$C,'Category Table'!Z$2,'Committments Dump'!$B:$B,'Category Table'!$A105)</f>
        <v/>
      </c>
      <c r="AA105" s="113">
        <f>SUMIFS('Committments Dump'!$S:$S,'Committments Dump'!$C:$C,'Category Table'!AA$2,'Committments Dump'!$B:$B,'Category Table'!$A105)</f>
        <v/>
      </c>
      <c r="AB105" s="114">
        <f>SUMIFS('Committments Dump'!$S:$S,'Committments Dump'!$C:$C,'Category Table'!AB$2,'Committments Dump'!$B:$B,'Category Table'!$A105)</f>
        <v/>
      </c>
      <c r="AC105" s="114">
        <f>SUMIFS('Committments Dump'!$S:$S,'Committments Dump'!$C:$C,'Category Table'!AC$2,'Committments Dump'!$B:$B,'Category Table'!$A105)</f>
        <v/>
      </c>
      <c r="AD105" s="113">
        <f>U105+X105+AA105</f>
        <v/>
      </c>
      <c r="AE105" s="114">
        <f>V105+Y105+AB105</f>
        <v/>
      </c>
      <c r="AF105" s="114">
        <f>W105+Z105+AC105</f>
        <v/>
      </c>
      <c r="AG105" s="113">
        <f>R105+AD105</f>
        <v/>
      </c>
      <c r="AH105" s="114">
        <f>S105+AE105</f>
        <v/>
      </c>
      <c r="AI105" s="114">
        <f>T105+AF105</f>
        <v/>
      </c>
      <c r="AJ105" s="113" t="n"/>
      <c r="AK105" s="114" t="n"/>
      <c r="AL105" s="114" t="n"/>
      <c r="AM105" s="113">
        <f>(O105-AG105)+AJ105</f>
        <v/>
      </c>
      <c r="AN105" s="114">
        <f>(P105-AH105)+AK105</f>
        <v/>
      </c>
      <c r="AO105" s="114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11" t="n">
        <v>0</v>
      </c>
      <c r="D106" s="112" t="n">
        <v>0</v>
      </c>
      <c r="E106" s="112" t="n">
        <v>0</v>
      </c>
      <c r="F106" s="111" t="n">
        <v>0</v>
      </c>
      <c r="G106" s="112" t="n"/>
      <c r="H106" s="112" t="n">
        <v>0</v>
      </c>
      <c r="I106" s="111" t="n">
        <v>0</v>
      </c>
      <c r="J106" s="112" t="n">
        <v>0</v>
      </c>
      <c r="K106" s="112" t="n">
        <v>0</v>
      </c>
      <c r="L106" s="111" t="n">
        <v>0</v>
      </c>
      <c r="M106" s="112" t="n">
        <v>0</v>
      </c>
      <c r="N106" s="112" t="n">
        <v>0</v>
      </c>
      <c r="O106" s="111">
        <f>L106+I106+F106+C106</f>
        <v/>
      </c>
      <c r="P106" s="112">
        <f>M106+J106+G106+D106</f>
        <v/>
      </c>
      <c r="Q106" s="112">
        <f>N106+K106+H106+E106</f>
        <v/>
      </c>
      <c r="R106" s="111">
        <f>SUMIFS('PO Log'!$E:$E,'PO Log'!$D:$D,'Category Table'!R$2,'PO Log'!$C:$C,'Category Table'!$A106)</f>
        <v/>
      </c>
      <c r="S106" s="112">
        <f>SUMIFS('PO Log'!$E:$E,'PO Log'!$D:$D,'Category Table'!S$2,'PO Log'!$C:$C,'Category Table'!$A106)</f>
        <v/>
      </c>
      <c r="T106" s="112">
        <f>SUMIFS('PO Log'!$E:$E,'PO Log'!$D:$D,'Category Table'!T$2,'PO Log'!$C:$C,'Category Table'!$A106)</f>
        <v/>
      </c>
      <c r="U106" s="111">
        <f>SUMIFS('Committments Dump'!$Q:$Q,'Committments Dump'!$C:$C,'Category Table'!U$2,'Committments Dump'!$B:$B,'Category Table'!$A106)</f>
        <v/>
      </c>
      <c r="V106" s="112">
        <f>SUMIFS('Committments Dump'!$Q:$Q,'Committments Dump'!$C:$C,'Category Table'!V$2,'Committments Dump'!$B:$B,'Category Table'!$A106)</f>
        <v/>
      </c>
      <c r="W106" s="112">
        <f>SUMIFS('Committments Dump'!$Q:$Q,'Committments Dump'!$C:$C,'Category Table'!W$2,'Committments Dump'!$B:$B,'Category Table'!$A106)</f>
        <v/>
      </c>
      <c r="X106" s="111">
        <f>SUMIFS('Committments Dump'!$R:$R,'Committments Dump'!$C:$C,'Category Table'!X$2,'Committments Dump'!$B:$B,'Category Table'!$A106)</f>
        <v/>
      </c>
      <c r="Y106" s="112">
        <f>SUMIFS('Committments Dump'!$R:$R,'Committments Dump'!$C:$C,'Category Table'!Y$2,'Committments Dump'!$B:$B,'Category Table'!$A106)</f>
        <v/>
      </c>
      <c r="Z106" s="112">
        <f>SUMIFS('Committments Dump'!$R:$R,'Committments Dump'!$C:$C,'Category Table'!Z$2,'Committments Dump'!$B:$B,'Category Table'!$A106)</f>
        <v/>
      </c>
      <c r="AA106" s="111">
        <f>SUMIFS('Committments Dump'!$S:$S,'Committments Dump'!$C:$C,'Category Table'!AA$2,'Committments Dump'!$B:$B,'Category Table'!$A106)</f>
        <v/>
      </c>
      <c r="AB106" s="112">
        <f>SUMIFS('Committments Dump'!$S:$S,'Committments Dump'!$C:$C,'Category Table'!AB$2,'Committments Dump'!$B:$B,'Category Table'!$A106)</f>
        <v/>
      </c>
      <c r="AC106" s="112">
        <f>SUMIFS('Committments Dump'!$S:$S,'Committments Dump'!$C:$C,'Category Table'!AC$2,'Committments Dump'!$B:$B,'Category Table'!$A106)</f>
        <v/>
      </c>
      <c r="AD106" s="111">
        <f>U106+X106+AA106</f>
        <v/>
      </c>
      <c r="AE106" s="112">
        <f>V106+Y106+AB106</f>
        <v/>
      </c>
      <c r="AF106" s="112">
        <f>W106+Z106+AC106</f>
        <v/>
      </c>
      <c r="AG106" s="111">
        <f>R106+AD106</f>
        <v/>
      </c>
      <c r="AH106" s="112">
        <f>S106+AE106</f>
        <v/>
      </c>
      <c r="AI106" s="112">
        <f>T106+AF106</f>
        <v/>
      </c>
      <c r="AJ106" s="111" t="n"/>
      <c r="AK106" s="112" t="n"/>
      <c r="AL106" s="112" t="n"/>
      <c r="AM106" s="111">
        <f>(O106-AG106)+AJ106</f>
        <v/>
      </c>
      <c r="AN106" s="112">
        <f>(P106-AH106)+AK106</f>
        <v/>
      </c>
      <c r="AO106" s="112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13" t="n">
        <v>0</v>
      </c>
      <c r="D107" s="114" t="n">
        <v>1035.85</v>
      </c>
      <c r="E107" s="114" t="n">
        <v>0</v>
      </c>
      <c r="F107" s="113" t="n">
        <v>3278.64</v>
      </c>
      <c r="G107" s="114" t="n">
        <v>0</v>
      </c>
      <c r="H107" s="114" t="n">
        <v>0</v>
      </c>
      <c r="I107" s="113" t="n">
        <v>0</v>
      </c>
      <c r="J107" s="114" t="n">
        <v>0</v>
      </c>
      <c r="K107" s="114" t="n">
        <v>0</v>
      </c>
      <c r="L107" s="113" t="n">
        <v>0</v>
      </c>
      <c r="M107" s="114" t="n">
        <v>0</v>
      </c>
      <c r="N107" s="114" t="n">
        <v>0</v>
      </c>
      <c r="O107" s="113">
        <f>L107+I107+F107+C107</f>
        <v/>
      </c>
      <c r="P107" s="114">
        <f>M107+J107+G107+D107</f>
        <v/>
      </c>
      <c r="Q107" s="114">
        <f>N107+K107+H107+E107</f>
        <v/>
      </c>
      <c r="R107" s="113">
        <f>SUMIFS('PO Log'!$E:$E,'PO Log'!$D:$D,'Category Table'!R$2,'PO Log'!$C:$C,'Category Table'!$A107)</f>
        <v/>
      </c>
      <c r="S107" s="114">
        <f>SUMIFS('PO Log'!$E:$E,'PO Log'!$D:$D,'Category Table'!S$2,'PO Log'!$C:$C,'Category Table'!$A107)</f>
        <v/>
      </c>
      <c r="T107" s="114">
        <f>SUMIFS('PO Log'!$E:$E,'PO Log'!$D:$D,'Category Table'!T$2,'PO Log'!$C:$C,'Category Table'!$A107)</f>
        <v/>
      </c>
      <c r="U107" s="113">
        <f>SUMIFS('Committments Dump'!$Q:$Q,'Committments Dump'!$C:$C,'Category Table'!U$2,'Committments Dump'!$B:$B,'Category Table'!$A107)</f>
        <v/>
      </c>
      <c r="V107" s="114">
        <f>SUMIFS('Committments Dump'!$Q:$Q,'Committments Dump'!$C:$C,'Category Table'!V$2,'Committments Dump'!$B:$B,'Category Table'!$A107)</f>
        <v/>
      </c>
      <c r="W107" s="114">
        <f>SUMIFS('Committments Dump'!$Q:$Q,'Committments Dump'!$C:$C,'Category Table'!W$2,'Committments Dump'!$B:$B,'Category Table'!$A107)</f>
        <v/>
      </c>
      <c r="X107" s="113">
        <f>SUMIFS('Committments Dump'!$R:$R,'Committments Dump'!$C:$C,'Category Table'!X$2,'Committments Dump'!$B:$B,'Category Table'!$A107)</f>
        <v/>
      </c>
      <c r="Y107" s="114">
        <f>SUMIFS('Committments Dump'!$R:$R,'Committments Dump'!$C:$C,'Category Table'!Y$2,'Committments Dump'!$B:$B,'Category Table'!$A107)</f>
        <v/>
      </c>
      <c r="Z107" s="114">
        <f>SUMIFS('Committments Dump'!$R:$R,'Committments Dump'!$C:$C,'Category Table'!Z$2,'Committments Dump'!$B:$B,'Category Table'!$A107)</f>
        <v/>
      </c>
      <c r="AA107" s="113">
        <f>SUMIFS('Committments Dump'!$S:$S,'Committments Dump'!$C:$C,'Category Table'!AA$2,'Committments Dump'!$B:$B,'Category Table'!$A107)</f>
        <v/>
      </c>
      <c r="AB107" s="114">
        <f>SUMIFS('Committments Dump'!$S:$S,'Committments Dump'!$C:$C,'Category Table'!AB$2,'Committments Dump'!$B:$B,'Category Table'!$A107)</f>
        <v/>
      </c>
      <c r="AC107" s="114">
        <f>SUMIFS('Committments Dump'!$S:$S,'Committments Dump'!$C:$C,'Category Table'!AC$2,'Committments Dump'!$B:$B,'Category Table'!$A107)</f>
        <v/>
      </c>
      <c r="AD107" s="113">
        <f>U107+X107+AA107</f>
        <v/>
      </c>
      <c r="AE107" s="114">
        <f>V107+Y107+AB107</f>
        <v/>
      </c>
      <c r="AF107" s="114">
        <f>W107+Z107+AC107</f>
        <v/>
      </c>
      <c r="AG107" s="113">
        <f>R107+AD107</f>
        <v/>
      </c>
      <c r="AH107" s="114">
        <f>S107+AE107</f>
        <v/>
      </c>
      <c r="AI107" s="114">
        <f>T107+AF107</f>
        <v/>
      </c>
      <c r="AJ107" s="113" t="n"/>
      <c r="AK107" s="114" t="n"/>
      <c r="AL107" s="114" t="n"/>
      <c r="AM107" s="113">
        <f>(O107-AG107)+AJ107</f>
        <v/>
      </c>
      <c r="AN107" s="114">
        <f>(P107-AH107)+AK107</f>
        <v/>
      </c>
      <c r="AO107" s="114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11" t="n">
        <v>0</v>
      </c>
      <c r="D108" s="112" t="n">
        <v>36745.17999999999</v>
      </c>
      <c r="E108" s="112" t="n">
        <v>0</v>
      </c>
      <c r="F108" s="111" t="n">
        <v>13254.82</v>
      </c>
      <c r="G108" s="112" t="n">
        <v>0</v>
      </c>
      <c r="H108" s="112" t="n">
        <v>0</v>
      </c>
      <c r="I108" s="111" t="n">
        <v>0</v>
      </c>
      <c r="J108" s="112" t="n">
        <v>0</v>
      </c>
      <c r="K108" s="112" t="n">
        <v>0</v>
      </c>
      <c r="L108" s="111" t="n">
        <v>0</v>
      </c>
      <c r="M108" s="112" t="n">
        <v>0</v>
      </c>
      <c r="N108" s="112" t="n">
        <v>0</v>
      </c>
      <c r="O108" s="111">
        <f>L108+I108+F108+C108</f>
        <v/>
      </c>
      <c r="P108" s="112">
        <f>M108+J108+G108+D108</f>
        <v/>
      </c>
      <c r="Q108" s="112">
        <f>N108+K108+H108+E108</f>
        <v/>
      </c>
      <c r="R108" s="111">
        <f>SUMIFS('PO Log'!$E:$E,'PO Log'!$D:$D,'Category Table'!R$2,'PO Log'!$C:$C,'Category Table'!$A108)</f>
        <v/>
      </c>
      <c r="S108" s="112">
        <f>SUMIFS('PO Log'!$E:$E,'PO Log'!$D:$D,'Category Table'!S$2,'PO Log'!$C:$C,'Category Table'!$A108)</f>
        <v/>
      </c>
      <c r="T108" s="112">
        <f>SUMIFS('PO Log'!$E:$E,'PO Log'!$D:$D,'Category Table'!T$2,'PO Log'!$C:$C,'Category Table'!$A108)</f>
        <v/>
      </c>
      <c r="U108" s="111">
        <f>SUMIFS('Committments Dump'!$Q:$Q,'Committments Dump'!$C:$C,'Category Table'!U$2,'Committments Dump'!$B:$B,'Category Table'!$A108)</f>
        <v/>
      </c>
      <c r="V108" s="112">
        <f>SUMIFS('Committments Dump'!$Q:$Q,'Committments Dump'!$C:$C,'Category Table'!V$2,'Committments Dump'!$B:$B,'Category Table'!$A108)</f>
        <v/>
      </c>
      <c r="W108" s="112">
        <f>SUMIFS('Committments Dump'!$Q:$Q,'Committments Dump'!$C:$C,'Category Table'!W$2,'Committments Dump'!$B:$B,'Category Table'!$A108)</f>
        <v/>
      </c>
      <c r="X108" s="111">
        <f>SUMIFS('Committments Dump'!$R:$R,'Committments Dump'!$C:$C,'Category Table'!X$2,'Committments Dump'!$B:$B,'Category Table'!$A108)</f>
        <v/>
      </c>
      <c r="Y108" s="112">
        <f>SUMIFS('Committments Dump'!$R:$R,'Committments Dump'!$C:$C,'Category Table'!Y$2,'Committments Dump'!$B:$B,'Category Table'!$A108)</f>
        <v/>
      </c>
      <c r="Z108" s="112">
        <f>SUMIFS('Committments Dump'!$R:$R,'Committments Dump'!$C:$C,'Category Table'!Z$2,'Committments Dump'!$B:$B,'Category Table'!$A108)</f>
        <v/>
      </c>
      <c r="AA108" s="111">
        <f>SUMIFS('Committments Dump'!$S:$S,'Committments Dump'!$C:$C,'Category Table'!AA$2,'Committments Dump'!$B:$B,'Category Table'!$A108)</f>
        <v/>
      </c>
      <c r="AB108" s="112">
        <f>SUMIFS('Committments Dump'!$S:$S,'Committments Dump'!$C:$C,'Category Table'!AB$2,'Committments Dump'!$B:$B,'Category Table'!$A108)</f>
        <v/>
      </c>
      <c r="AC108" s="112">
        <f>SUMIFS('Committments Dump'!$S:$S,'Committments Dump'!$C:$C,'Category Table'!AC$2,'Committments Dump'!$B:$B,'Category Table'!$A108)</f>
        <v/>
      </c>
      <c r="AD108" s="111">
        <f>U108+X108+AA108</f>
        <v/>
      </c>
      <c r="AE108" s="112">
        <f>V108+Y108+AB108</f>
        <v/>
      </c>
      <c r="AF108" s="112">
        <f>W108+Z108+AC108</f>
        <v/>
      </c>
      <c r="AG108" s="111">
        <f>R108+AD108</f>
        <v/>
      </c>
      <c r="AH108" s="112">
        <f>S108+AE108</f>
        <v/>
      </c>
      <c r="AI108" s="112">
        <f>T108+AF108</f>
        <v/>
      </c>
      <c r="AJ108" s="111" t="n"/>
      <c r="AK108" s="112" t="n"/>
      <c r="AL108" s="112" t="n"/>
      <c r="AM108" s="111">
        <f>(O108-AG108)+AJ108</f>
        <v/>
      </c>
      <c r="AN108" s="112">
        <f>(P108-AH108)+AK108</f>
        <v/>
      </c>
      <c r="AO108" s="112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13" t="n">
        <v>0</v>
      </c>
      <c r="D109" s="114" t="n">
        <v>2274.82</v>
      </c>
      <c r="E109" s="114" t="n">
        <v>5745.539999999999</v>
      </c>
      <c r="F109" s="113" t="n">
        <v>0</v>
      </c>
      <c r="G109" s="114" t="n">
        <v>0</v>
      </c>
      <c r="H109" s="114" t="n">
        <v>0</v>
      </c>
      <c r="I109" s="113" t="n">
        <v>0</v>
      </c>
      <c r="J109" s="114" t="n">
        <v>0</v>
      </c>
      <c r="K109" s="114" t="n">
        <v>0</v>
      </c>
      <c r="L109" s="113" t="n">
        <v>0</v>
      </c>
      <c r="M109" s="114" t="n">
        <v>0</v>
      </c>
      <c r="N109" s="114" t="n">
        <v>1190.51</v>
      </c>
      <c r="O109" s="113">
        <f>L109+I109+F109+C109</f>
        <v/>
      </c>
      <c r="P109" s="114">
        <f>M109+J109+G109+D109</f>
        <v/>
      </c>
      <c r="Q109" s="114">
        <f>N109+K109+H109+E109</f>
        <v/>
      </c>
      <c r="R109" s="113">
        <f>SUMIFS('PO Log'!$E:$E,'PO Log'!$D:$D,'Category Table'!R$2,'PO Log'!$C:$C,'Category Table'!$A109)</f>
        <v/>
      </c>
      <c r="S109" s="114">
        <f>SUMIFS('PO Log'!$E:$E,'PO Log'!$D:$D,'Category Table'!S$2,'PO Log'!$C:$C,'Category Table'!$A109)</f>
        <v/>
      </c>
      <c r="T109" s="114">
        <f>SUMIFS('PO Log'!$E:$E,'PO Log'!$D:$D,'Category Table'!T$2,'PO Log'!$C:$C,'Category Table'!$A109)</f>
        <v/>
      </c>
      <c r="U109" s="113">
        <f>SUMIFS('Committments Dump'!$Q:$Q,'Committments Dump'!$C:$C,'Category Table'!U$2,'Committments Dump'!$B:$B,'Category Table'!$A109)</f>
        <v/>
      </c>
      <c r="V109" s="114">
        <f>SUMIFS('Committments Dump'!$Q:$Q,'Committments Dump'!$C:$C,'Category Table'!V$2,'Committments Dump'!$B:$B,'Category Table'!$A109)</f>
        <v/>
      </c>
      <c r="W109" s="114">
        <f>SUMIFS('Committments Dump'!$Q:$Q,'Committments Dump'!$C:$C,'Category Table'!W$2,'Committments Dump'!$B:$B,'Category Table'!$A109)</f>
        <v/>
      </c>
      <c r="X109" s="113">
        <f>SUMIFS('Committments Dump'!$R:$R,'Committments Dump'!$C:$C,'Category Table'!X$2,'Committments Dump'!$B:$B,'Category Table'!$A109)</f>
        <v/>
      </c>
      <c r="Y109" s="114">
        <f>SUMIFS('Committments Dump'!$R:$R,'Committments Dump'!$C:$C,'Category Table'!Y$2,'Committments Dump'!$B:$B,'Category Table'!$A109)</f>
        <v/>
      </c>
      <c r="Z109" s="114">
        <f>SUMIFS('Committments Dump'!$R:$R,'Committments Dump'!$C:$C,'Category Table'!Z$2,'Committments Dump'!$B:$B,'Category Table'!$A109)</f>
        <v/>
      </c>
      <c r="AA109" s="113">
        <f>SUMIFS('Committments Dump'!$S:$S,'Committments Dump'!$C:$C,'Category Table'!AA$2,'Committments Dump'!$B:$B,'Category Table'!$A109)</f>
        <v/>
      </c>
      <c r="AB109" s="114">
        <f>SUMIFS('Committments Dump'!$S:$S,'Committments Dump'!$C:$C,'Category Table'!AB$2,'Committments Dump'!$B:$B,'Category Table'!$A109)</f>
        <v/>
      </c>
      <c r="AC109" s="114">
        <f>SUMIFS('Committments Dump'!$S:$S,'Committments Dump'!$C:$C,'Category Table'!AC$2,'Committments Dump'!$B:$B,'Category Table'!$A109)</f>
        <v/>
      </c>
      <c r="AD109" s="113">
        <f>U109+X109+AA109</f>
        <v/>
      </c>
      <c r="AE109" s="114">
        <f>V109+Y109+AB109</f>
        <v/>
      </c>
      <c r="AF109" s="114">
        <f>W109+Z109+AC109</f>
        <v/>
      </c>
      <c r="AG109" s="113">
        <f>R109+AD109</f>
        <v/>
      </c>
      <c r="AH109" s="114">
        <f>S109+AE109</f>
        <v/>
      </c>
      <c r="AI109" s="114">
        <f>T109+AF109</f>
        <v/>
      </c>
      <c r="AJ109" s="113" t="n"/>
      <c r="AK109" s="114" t="n"/>
      <c r="AL109" s="114" t="n"/>
      <c r="AM109" s="113">
        <f>(O109-AG109)+AJ109</f>
        <v/>
      </c>
      <c r="AN109" s="114">
        <f>(P109-AH109)+AK109</f>
        <v/>
      </c>
      <c r="AO109" s="114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11" t="n">
        <v>0</v>
      </c>
      <c r="D110" s="112" t="n">
        <v>0</v>
      </c>
      <c r="E110" s="112" t="n">
        <v>0</v>
      </c>
      <c r="F110" s="111" t="n">
        <v>0</v>
      </c>
      <c r="G110" s="112" t="n">
        <v>6000</v>
      </c>
      <c r="H110" s="112" t="n">
        <v>36860.7</v>
      </c>
      <c r="I110" s="111" t="n">
        <v>0</v>
      </c>
      <c r="J110" s="112" t="n">
        <v>0</v>
      </c>
      <c r="K110" s="112" t="n">
        <v>0</v>
      </c>
      <c r="L110" s="111" t="n">
        <v>0</v>
      </c>
      <c r="M110" s="112" t="n">
        <v>0</v>
      </c>
      <c r="N110" s="112" t="n">
        <v>0</v>
      </c>
      <c r="O110" s="111">
        <f>L110+I110+F110+C110</f>
        <v/>
      </c>
      <c r="P110" s="112">
        <f>M110+J110+G110+D110</f>
        <v/>
      </c>
      <c r="Q110" s="112">
        <f>N110+K110+H110+E110</f>
        <v/>
      </c>
      <c r="R110" s="111">
        <f>SUMIFS('PO Log'!$E:$E,'PO Log'!$D:$D,'Category Table'!R$2,'PO Log'!$C:$C,'Category Table'!$A110)</f>
        <v/>
      </c>
      <c r="S110" s="112">
        <f>SUMIFS('PO Log'!$E:$E,'PO Log'!$D:$D,'Category Table'!S$2,'PO Log'!$C:$C,'Category Table'!$A110)</f>
        <v/>
      </c>
      <c r="T110" s="112">
        <f>SUMIFS('PO Log'!$E:$E,'PO Log'!$D:$D,'Category Table'!T$2,'PO Log'!$C:$C,'Category Table'!$A110)</f>
        <v/>
      </c>
      <c r="U110" s="111">
        <f>SUMIFS('Committments Dump'!$Q:$Q,'Committments Dump'!$C:$C,'Category Table'!U$2,'Committments Dump'!$B:$B,'Category Table'!$A110)</f>
        <v/>
      </c>
      <c r="V110" s="112">
        <f>SUMIFS('Committments Dump'!$Q:$Q,'Committments Dump'!$C:$C,'Category Table'!V$2,'Committments Dump'!$B:$B,'Category Table'!$A110)</f>
        <v/>
      </c>
      <c r="W110" s="112">
        <f>SUMIFS('Committments Dump'!$Q:$Q,'Committments Dump'!$C:$C,'Category Table'!W$2,'Committments Dump'!$B:$B,'Category Table'!$A110)</f>
        <v/>
      </c>
      <c r="X110" s="111">
        <f>SUMIFS('Committments Dump'!$R:$R,'Committments Dump'!$C:$C,'Category Table'!X$2,'Committments Dump'!$B:$B,'Category Table'!$A110)</f>
        <v/>
      </c>
      <c r="Y110" s="112">
        <f>SUMIFS('Committments Dump'!$R:$R,'Committments Dump'!$C:$C,'Category Table'!Y$2,'Committments Dump'!$B:$B,'Category Table'!$A110)</f>
        <v/>
      </c>
      <c r="Z110" s="112">
        <f>SUMIFS('Committments Dump'!$R:$R,'Committments Dump'!$C:$C,'Category Table'!Z$2,'Committments Dump'!$B:$B,'Category Table'!$A110)</f>
        <v/>
      </c>
      <c r="AA110" s="111">
        <f>SUMIFS('Committments Dump'!$S:$S,'Committments Dump'!$C:$C,'Category Table'!AA$2,'Committments Dump'!$B:$B,'Category Table'!$A110)</f>
        <v/>
      </c>
      <c r="AB110" s="112">
        <f>SUMIFS('Committments Dump'!$S:$S,'Committments Dump'!$C:$C,'Category Table'!AB$2,'Committments Dump'!$B:$B,'Category Table'!$A110)</f>
        <v/>
      </c>
      <c r="AC110" s="112">
        <f>SUMIFS('Committments Dump'!$S:$S,'Committments Dump'!$C:$C,'Category Table'!AC$2,'Committments Dump'!$B:$B,'Category Table'!$A110)</f>
        <v/>
      </c>
      <c r="AD110" s="111">
        <f>U110+X110+AA110</f>
        <v/>
      </c>
      <c r="AE110" s="112">
        <f>V110+Y110+AB110</f>
        <v/>
      </c>
      <c r="AF110" s="112">
        <f>W110+Z110+AC110</f>
        <v/>
      </c>
      <c r="AG110" s="111">
        <f>R110+AD110</f>
        <v/>
      </c>
      <c r="AH110" s="112">
        <f>S110+AE110</f>
        <v/>
      </c>
      <c r="AI110" s="112">
        <f>T110+AF110</f>
        <v/>
      </c>
      <c r="AJ110" s="111" t="n"/>
      <c r="AK110" s="112" t="n"/>
      <c r="AL110" s="112" t="n"/>
      <c r="AM110" s="111">
        <f>(O110-AG110)+AJ110</f>
        <v/>
      </c>
      <c r="AN110" s="112">
        <f>(P110-AH110)+AK110</f>
        <v/>
      </c>
      <c r="AO110" s="112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13" t="n">
        <v>0</v>
      </c>
      <c r="D111" s="114" t="n">
        <v>0</v>
      </c>
      <c r="E111" s="114" t="n">
        <v>0</v>
      </c>
      <c r="F111" s="113" t="n">
        <v>0</v>
      </c>
      <c r="G111" s="114" t="n">
        <v>0</v>
      </c>
      <c r="H111" s="114" t="n">
        <v>0</v>
      </c>
      <c r="I111" s="113" t="n">
        <v>0</v>
      </c>
      <c r="J111" s="114" t="n">
        <v>0</v>
      </c>
      <c r="K111" s="114" t="n">
        <v>0</v>
      </c>
      <c r="L111" s="113" t="n">
        <v>0</v>
      </c>
      <c r="M111" s="114" t="n">
        <v>0</v>
      </c>
      <c r="N111" s="114" t="n">
        <v>0</v>
      </c>
      <c r="O111" s="113">
        <f>L111+I111+F111+C111</f>
        <v/>
      </c>
      <c r="P111" s="114">
        <f>M111+J111+G111+D111</f>
        <v/>
      </c>
      <c r="Q111" s="114">
        <f>N111+K111+H111+E111</f>
        <v/>
      </c>
      <c r="R111" s="113">
        <f>SUMIFS('PO Log'!$E:$E,'PO Log'!$D:$D,'Category Table'!R$2,'PO Log'!$C:$C,'Category Table'!$A111)</f>
        <v/>
      </c>
      <c r="S111" s="114">
        <f>SUMIFS('PO Log'!$E:$E,'PO Log'!$D:$D,'Category Table'!S$2,'PO Log'!$C:$C,'Category Table'!$A111)</f>
        <v/>
      </c>
      <c r="T111" s="114">
        <f>SUMIFS('PO Log'!$E:$E,'PO Log'!$D:$D,'Category Table'!T$2,'PO Log'!$C:$C,'Category Table'!$A111)</f>
        <v/>
      </c>
      <c r="U111" s="113">
        <f>SUMIFS('Committments Dump'!$Q:$Q,'Committments Dump'!$C:$C,'Category Table'!U$2,'Committments Dump'!$B:$B,'Category Table'!$A111)</f>
        <v/>
      </c>
      <c r="V111" s="114">
        <f>SUMIFS('Committments Dump'!$Q:$Q,'Committments Dump'!$C:$C,'Category Table'!V$2,'Committments Dump'!$B:$B,'Category Table'!$A111)</f>
        <v/>
      </c>
      <c r="W111" s="114">
        <f>SUMIFS('Committments Dump'!$Q:$Q,'Committments Dump'!$C:$C,'Category Table'!W$2,'Committments Dump'!$B:$B,'Category Table'!$A111)</f>
        <v/>
      </c>
      <c r="X111" s="113">
        <f>SUMIFS('Committments Dump'!$R:$R,'Committments Dump'!$C:$C,'Category Table'!X$2,'Committments Dump'!$B:$B,'Category Table'!$A111)</f>
        <v/>
      </c>
      <c r="Y111" s="114">
        <f>SUMIFS('Committments Dump'!$R:$R,'Committments Dump'!$C:$C,'Category Table'!Y$2,'Committments Dump'!$B:$B,'Category Table'!$A111)</f>
        <v/>
      </c>
      <c r="Z111" s="114">
        <f>SUMIFS('Committments Dump'!$R:$R,'Committments Dump'!$C:$C,'Category Table'!Z$2,'Committments Dump'!$B:$B,'Category Table'!$A111)</f>
        <v/>
      </c>
      <c r="AA111" s="113">
        <f>SUMIFS('Committments Dump'!$S:$S,'Committments Dump'!$C:$C,'Category Table'!AA$2,'Committments Dump'!$B:$B,'Category Table'!$A111)</f>
        <v/>
      </c>
      <c r="AB111" s="114">
        <f>SUMIFS('Committments Dump'!$S:$S,'Committments Dump'!$C:$C,'Category Table'!AB$2,'Committments Dump'!$B:$B,'Category Table'!$A111)</f>
        <v/>
      </c>
      <c r="AC111" s="114">
        <f>SUMIFS('Committments Dump'!$S:$S,'Committments Dump'!$C:$C,'Category Table'!AC$2,'Committments Dump'!$B:$B,'Category Table'!$A111)</f>
        <v/>
      </c>
      <c r="AD111" s="113">
        <f>U111+X111+AA111</f>
        <v/>
      </c>
      <c r="AE111" s="114">
        <f>V111+Y111+AB111</f>
        <v/>
      </c>
      <c r="AF111" s="114">
        <f>W111+Z111+AC111</f>
        <v/>
      </c>
      <c r="AG111" s="113">
        <f>R111+AD111</f>
        <v/>
      </c>
      <c r="AH111" s="114">
        <f>S111+AE111</f>
        <v/>
      </c>
      <c r="AI111" s="114">
        <f>T111+AF111</f>
        <v/>
      </c>
      <c r="AJ111" s="113" t="n"/>
      <c r="AK111" s="114" t="n"/>
      <c r="AL111" s="114" t="n"/>
      <c r="AM111" s="113">
        <f>(O111-AG111)+AJ111</f>
        <v/>
      </c>
      <c r="AN111" s="114">
        <f>(P111-AH111)+AK111</f>
        <v/>
      </c>
      <c r="AO111" s="114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11" t="n">
        <v>0</v>
      </c>
      <c r="D112" s="112" t="n">
        <v>0</v>
      </c>
      <c r="E112" s="112" t="n">
        <v>0</v>
      </c>
      <c r="F112" s="111" t="n">
        <v>-2390722.774245101</v>
      </c>
      <c r="G112" s="112" t="n">
        <v>0</v>
      </c>
      <c r="H112" s="112" t="n">
        <v>0</v>
      </c>
      <c r="I112" s="111" t="n">
        <v>0</v>
      </c>
      <c r="J112" s="112" t="n">
        <v>0</v>
      </c>
      <c r="K112" s="112" t="n">
        <v>0</v>
      </c>
      <c r="L112" s="111" t="n">
        <v>0</v>
      </c>
      <c r="M112" s="112" t="n">
        <v>0</v>
      </c>
      <c r="N112" s="112" t="n">
        <v>0</v>
      </c>
      <c r="O112" s="111">
        <f>L112+I112+F112+C112</f>
        <v/>
      </c>
      <c r="P112" s="112">
        <f>M112+J112+G112+D112</f>
        <v/>
      </c>
      <c r="Q112" s="112">
        <f>N112+K112+H112+E112</f>
        <v/>
      </c>
      <c r="R112" s="111">
        <f>SUMIFS('PO Log'!$E:$E,'PO Log'!$D:$D,'Category Table'!R$2,'PO Log'!$C:$C,'Category Table'!$A112)</f>
        <v/>
      </c>
      <c r="S112" s="112">
        <f>SUMIFS('PO Log'!$E:$E,'PO Log'!$D:$D,'Category Table'!S$2,'PO Log'!$C:$C,'Category Table'!$A112)</f>
        <v/>
      </c>
      <c r="T112" s="112">
        <f>SUMIFS('PO Log'!$E:$E,'PO Log'!$D:$D,'Category Table'!T$2,'PO Log'!$C:$C,'Category Table'!$A112)</f>
        <v/>
      </c>
      <c r="U112" s="111">
        <f>SUMIFS('Committments Dump'!$Q:$Q,'Committments Dump'!$C:$C,'Category Table'!U$2,'Committments Dump'!$B:$B,'Category Table'!$A112)</f>
        <v/>
      </c>
      <c r="V112" s="112">
        <f>SUMIFS('Committments Dump'!$Q:$Q,'Committments Dump'!$C:$C,'Category Table'!V$2,'Committments Dump'!$B:$B,'Category Table'!$A112)</f>
        <v/>
      </c>
      <c r="W112" s="112">
        <f>SUMIFS('Committments Dump'!$Q:$Q,'Committments Dump'!$C:$C,'Category Table'!W$2,'Committments Dump'!$B:$B,'Category Table'!$A112)</f>
        <v/>
      </c>
      <c r="X112" s="111">
        <f>SUMIFS('Committments Dump'!$R:$R,'Committments Dump'!$C:$C,'Category Table'!X$2,'Committments Dump'!$B:$B,'Category Table'!$A112)</f>
        <v/>
      </c>
      <c r="Y112" s="112">
        <f>SUMIFS('Committments Dump'!$R:$R,'Committments Dump'!$C:$C,'Category Table'!Y$2,'Committments Dump'!$B:$B,'Category Table'!$A112)</f>
        <v/>
      </c>
      <c r="Z112" s="112">
        <f>SUMIFS('Committments Dump'!$R:$R,'Committments Dump'!$C:$C,'Category Table'!Z$2,'Committments Dump'!$B:$B,'Category Table'!$A112)</f>
        <v/>
      </c>
      <c r="AA112" s="111">
        <f>SUMIFS('Committments Dump'!$S:$S,'Committments Dump'!$C:$C,'Category Table'!AA$2,'Committments Dump'!$B:$B,'Category Table'!$A112)</f>
        <v/>
      </c>
      <c r="AB112" s="112">
        <f>SUMIFS('Committments Dump'!$S:$S,'Committments Dump'!$C:$C,'Category Table'!AB$2,'Committments Dump'!$B:$B,'Category Table'!$A112)</f>
        <v/>
      </c>
      <c r="AC112" s="112">
        <f>SUMIFS('Committments Dump'!$S:$S,'Committments Dump'!$C:$C,'Category Table'!AC$2,'Committments Dump'!$B:$B,'Category Table'!$A112)</f>
        <v/>
      </c>
      <c r="AD112" s="111">
        <f>U112+X112+AA112</f>
        <v/>
      </c>
      <c r="AE112" s="112">
        <f>V112+Y112+AB112</f>
        <v/>
      </c>
      <c r="AF112" s="112">
        <f>W112+Z112+AC112</f>
        <v/>
      </c>
      <c r="AG112" s="111">
        <f>R112+AD112</f>
        <v/>
      </c>
      <c r="AH112" s="112">
        <f>S112+AE112</f>
        <v/>
      </c>
      <c r="AI112" s="112">
        <f>T112+AF112</f>
        <v/>
      </c>
      <c r="AJ112" s="111" t="n"/>
      <c r="AK112" s="112" t="n"/>
      <c r="AL112" s="112" t="n"/>
      <c r="AM112" s="111">
        <f>(O112-AG112)+AJ112</f>
        <v/>
      </c>
      <c r="AN112" s="112">
        <f>(P112-AH112)+AK112</f>
        <v/>
      </c>
      <c r="AO112" s="112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13" t="n"/>
      <c r="D113" s="114" t="n"/>
      <c r="E113" s="114" t="n"/>
      <c r="F113" s="113" t="n"/>
      <c r="G113" s="114" t="n">
        <v>-1220810.62781625</v>
      </c>
      <c r="H113" s="114" t="n">
        <v>-1200000</v>
      </c>
      <c r="I113" s="113" t="n">
        <v>0</v>
      </c>
      <c r="J113" s="114" t="n">
        <v>0</v>
      </c>
      <c r="K113" s="114" t="n">
        <v>0</v>
      </c>
      <c r="L113" s="113" t="n">
        <v>0</v>
      </c>
      <c r="M113" s="114" t="n">
        <v>0</v>
      </c>
      <c r="N113" s="114" t="n">
        <v>0</v>
      </c>
      <c r="O113" s="113">
        <f>L113+I113+F113+C113</f>
        <v/>
      </c>
      <c r="P113" s="114">
        <f>M113+J113+G113+D113</f>
        <v/>
      </c>
      <c r="Q113" s="114">
        <f>N113+K113+H113+E113</f>
        <v/>
      </c>
      <c r="R113" s="113">
        <f>SUMIFS('PO Log'!$E:$E,'PO Log'!$D:$D,'Category Table'!R$2,'PO Log'!$C:$C,'Category Table'!$A113)</f>
        <v/>
      </c>
      <c r="S113" s="114">
        <f>SUMIFS('PO Log'!$E:$E,'PO Log'!$D:$D,'Category Table'!S$2,'PO Log'!$C:$C,'Category Table'!$A113)</f>
        <v/>
      </c>
      <c r="T113" s="114">
        <f>SUMIFS('PO Log'!$E:$E,'PO Log'!$D:$D,'Category Table'!T$2,'PO Log'!$C:$C,'Category Table'!$A113)</f>
        <v/>
      </c>
      <c r="U113" s="113">
        <f>SUMIFS('Committments Dump'!$Q:$Q,'Committments Dump'!$C:$C,'Category Table'!U$2,'Committments Dump'!$B:$B,'Category Table'!$A113)</f>
        <v/>
      </c>
      <c r="V113" s="114">
        <f>SUMIFS('Committments Dump'!$Q:$Q,'Committments Dump'!$C:$C,'Category Table'!V$2,'Committments Dump'!$B:$B,'Category Table'!$A113)</f>
        <v/>
      </c>
      <c r="W113" s="114">
        <f>SUMIFS('Committments Dump'!$Q:$Q,'Committments Dump'!$C:$C,'Category Table'!W$2,'Committments Dump'!$B:$B,'Category Table'!$A113)</f>
        <v/>
      </c>
      <c r="X113" s="113">
        <f>SUMIFS('Committments Dump'!$R:$R,'Committments Dump'!$C:$C,'Category Table'!X$2,'Committments Dump'!$B:$B,'Category Table'!$A113)</f>
        <v/>
      </c>
      <c r="Y113" s="114">
        <f>SUMIFS('Committments Dump'!$R:$R,'Committments Dump'!$C:$C,'Category Table'!Y$2,'Committments Dump'!$B:$B,'Category Table'!$A113)</f>
        <v/>
      </c>
      <c r="Z113" s="114">
        <f>SUMIFS('Committments Dump'!$R:$R,'Committments Dump'!$C:$C,'Category Table'!Z$2,'Committments Dump'!$B:$B,'Category Table'!$A113)</f>
        <v/>
      </c>
      <c r="AA113" s="113">
        <f>SUMIFS('Committments Dump'!$S:$S,'Committments Dump'!$C:$C,'Category Table'!AA$2,'Committments Dump'!$B:$B,'Category Table'!$A113)</f>
        <v/>
      </c>
      <c r="AB113" s="114">
        <f>SUMIFS('Committments Dump'!$S:$S,'Committments Dump'!$C:$C,'Category Table'!AB$2,'Committments Dump'!$B:$B,'Category Table'!$A113)</f>
        <v/>
      </c>
      <c r="AC113" s="114">
        <f>SUMIFS('Committments Dump'!$S:$S,'Committments Dump'!$C:$C,'Category Table'!AC$2,'Committments Dump'!$B:$B,'Category Table'!$A113)</f>
        <v/>
      </c>
      <c r="AD113" s="113">
        <f>U113+X113+AA113</f>
        <v/>
      </c>
      <c r="AE113" s="114">
        <f>V113+Y113+AB113</f>
        <v/>
      </c>
      <c r="AF113" s="114">
        <f>W113+Z113+AC113</f>
        <v/>
      </c>
      <c r="AG113" s="113">
        <f>R113+AD113</f>
        <v/>
      </c>
      <c r="AH113" s="114">
        <f>S113+AE113</f>
        <v/>
      </c>
      <c r="AI113" s="114">
        <f>T113+AF113</f>
        <v/>
      </c>
      <c r="AJ113" s="113" t="n"/>
      <c r="AK113" s="114" t="n"/>
      <c r="AL113" s="114" t="n"/>
      <c r="AM113" s="113">
        <f>(O113-AG113)+AJ113</f>
        <v/>
      </c>
      <c r="AN113" s="114">
        <f>(P113-AH113)+AK113</f>
        <v/>
      </c>
      <c r="AO113" s="114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11" t="n"/>
      <c r="D114" s="112" t="n"/>
      <c r="E114" s="112" t="n"/>
      <c r="F114" s="111" t="n"/>
      <c r="G114" s="112" t="n"/>
      <c r="H114" s="112" t="n"/>
      <c r="I114" s="111" t="n"/>
      <c r="J114" s="112" t="n"/>
      <c r="K114" s="112" t="n"/>
      <c r="L114" s="111" t="n"/>
      <c r="M114" s="112" t="n"/>
      <c r="N114" s="112" t="n"/>
      <c r="O114" s="111">
        <f>L114+I114+F114+C114</f>
        <v/>
      </c>
      <c r="P114" s="112">
        <f>M114+J114+G114+D114</f>
        <v/>
      </c>
      <c r="Q114" s="112">
        <f>N114+K114+H114+E114</f>
        <v/>
      </c>
      <c r="R114" s="111">
        <f>SUMIFS('PO Log'!$E:$E,'PO Log'!$D:$D,'Category Table'!R$2,'PO Log'!$C:$C,'Category Table'!$A114)</f>
        <v/>
      </c>
      <c r="S114" s="112">
        <f>SUMIFS('PO Log'!$E:$E,'PO Log'!$D:$D,'Category Table'!S$2,'PO Log'!$C:$C,'Category Table'!$A114)</f>
        <v/>
      </c>
      <c r="T114" s="112">
        <f>SUMIFS('PO Log'!$E:$E,'PO Log'!$D:$D,'Category Table'!T$2,'PO Log'!$C:$C,'Category Table'!$A114)</f>
        <v/>
      </c>
      <c r="U114" s="111">
        <f>SUMIFS('Committments Dump'!$Q:$Q,'Committments Dump'!$C:$C,'Category Table'!U$2,'Committments Dump'!$B:$B,'Category Table'!$A114)</f>
        <v/>
      </c>
      <c r="V114" s="112">
        <f>SUMIFS('Committments Dump'!$Q:$Q,'Committments Dump'!$C:$C,'Category Table'!V$2,'Committments Dump'!$B:$B,'Category Table'!$A114)</f>
        <v/>
      </c>
      <c r="W114" s="112">
        <f>SUMIFS('Committments Dump'!$Q:$Q,'Committments Dump'!$C:$C,'Category Table'!W$2,'Committments Dump'!$B:$B,'Category Table'!$A114)</f>
        <v/>
      </c>
      <c r="X114" s="111">
        <f>SUMIFS('Committments Dump'!$R:$R,'Committments Dump'!$C:$C,'Category Table'!X$2,'Committments Dump'!$B:$B,'Category Table'!$A114)</f>
        <v/>
      </c>
      <c r="Y114" s="112">
        <f>SUMIFS('Committments Dump'!$R:$R,'Committments Dump'!$C:$C,'Category Table'!Y$2,'Committments Dump'!$B:$B,'Category Table'!$A114)</f>
        <v/>
      </c>
      <c r="Z114" s="112">
        <f>SUMIFS('Committments Dump'!$R:$R,'Committments Dump'!$C:$C,'Category Table'!Z$2,'Committments Dump'!$B:$B,'Category Table'!$A114)</f>
        <v/>
      </c>
      <c r="AA114" s="111">
        <f>SUMIFS('Committments Dump'!$S:$S,'Committments Dump'!$C:$C,'Category Table'!AA$2,'Committments Dump'!$B:$B,'Category Table'!$A114)</f>
        <v/>
      </c>
      <c r="AB114" s="112">
        <f>SUMIFS('Committments Dump'!$S:$S,'Committments Dump'!$C:$C,'Category Table'!AB$2,'Committments Dump'!$B:$B,'Category Table'!$A114)</f>
        <v/>
      </c>
      <c r="AC114" s="112">
        <f>SUMIFS('Committments Dump'!$S:$S,'Committments Dump'!$C:$C,'Category Table'!AC$2,'Committments Dump'!$B:$B,'Category Table'!$A114)</f>
        <v/>
      </c>
      <c r="AD114" s="111">
        <f>U114+X114+AA114</f>
        <v/>
      </c>
      <c r="AE114" s="112">
        <f>V114+Y114+AB114</f>
        <v/>
      </c>
      <c r="AF114" s="112">
        <f>W114+Z114+AC114</f>
        <v/>
      </c>
      <c r="AG114" s="111">
        <f>R114+AD114</f>
        <v/>
      </c>
      <c r="AH114" s="112">
        <f>S114+AE114</f>
        <v/>
      </c>
      <c r="AI114" s="112">
        <f>T114+AF114</f>
        <v/>
      </c>
      <c r="AJ114" s="111" t="n"/>
      <c r="AK114" s="112" t="n"/>
      <c r="AL114" s="112" t="n"/>
      <c r="AM114" s="111">
        <f>(O114-AG114)+AJ114</f>
        <v/>
      </c>
      <c r="AN114" s="112">
        <f>(P114-AH114)+AK114</f>
        <v/>
      </c>
      <c r="AO114" s="112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13" t="n"/>
      <c r="D115" s="114" t="n"/>
      <c r="E115" s="114" t="n"/>
      <c r="F115" s="113" t="n"/>
      <c r="G115" s="114" t="n"/>
      <c r="H115" s="114" t="n"/>
      <c r="I115" s="113" t="n"/>
      <c r="J115" s="114" t="n"/>
      <c r="K115" s="114" t="n"/>
      <c r="L115" s="113" t="n"/>
      <c r="M115" s="114" t="n"/>
      <c r="N115" s="114" t="n"/>
      <c r="O115" s="113">
        <f>L115+I115+F115+C115</f>
        <v/>
      </c>
      <c r="P115" s="114">
        <f>M115+J115+G115+D115</f>
        <v/>
      </c>
      <c r="Q115" s="114">
        <f>N115+K115+H115+E115</f>
        <v/>
      </c>
      <c r="R115" s="113">
        <f>SUMIFS('PO Log'!$E:$E,'PO Log'!$D:$D,'Category Table'!R$2,'PO Log'!$C:$C,'Category Table'!$A115)</f>
        <v/>
      </c>
      <c r="S115" s="114">
        <f>SUMIFS('PO Log'!$E:$E,'PO Log'!$D:$D,'Category Table'!S$2,'PO Log'!$C:$C,'Category Table'!$A115)</f>
        <v/>
      </c>
      <c r="T115" s="114">
        <f>SUMIFS('PO Log'!$E:$E,'PO Log'!$D:$D,'Category Table'!T$2,'PO Log'!$C:$C,'Category Table'!$A115)</f>
        <v/>
      </c>
      <c r="U115" s="113">
        <f>SUMIFS('Committments Dump'!$Q:$Q,'Committments Dump'!$C:$C,'Category Table'!U$2,'Committments Dump'!$B:$B,'Category Table'!$A115)</f>
        <v/>
      </c>
      <c r="V115" s="114">
        <f>SUMIFS('Committments Dump'!$Q:$Q,'Committments Dump'!$C:$C,'Category Table'!V$2,'Committments Dump'!$B:$B,'Category Table'!$A115)</f>
        <v/>
      </c>
      <c r="W115" s="114">
        <f>SUMIFS('Committments Dump'!$Q:$Q,'Committments Dump'!$C:$C,'Category Table'!W$2,'Committments Dump'!$B:$B,'Category Table'!$A115)</f>
        <v/>
      </c>
      <c r="X115" s="113">
        <f>SUMIFS('Committments Dump'!$R:$R,'Committments Dump'!$C:$C,'Category Table'!X$2,'Committments Dump'!$B:$B,'Category Table'!$A115)</f>
        <v/>
      </c>
      <c r="Y115" s="114">
        <f>SUMIFS('Committments Dump'!$R:$R,'Committments Dump'!$C:$C,'Category Table'!Y$2,'Committments Dump'!$B:$B,'Category Table'!$A115)</f>
        <v/>
      </c>
      <c r="Z115" s="114">
        <f>SUMIFS('Committments Dump'!$R:$R,'Committments Dump'!$C:$C,'Category Table'!Z$2,'Committments Dump'!$B:$B,'Category Table'!$A115)</f>
        <v/>
      </c>
      <c r="AA115" s="113">
        <f>SUMIFS('Committments Dump'!$S:$S,'Committments Dump'!$C:$C,'Category Table'!AA$2,'Committments Dump'!$B:$B,'Category Table'!$A115)</f>
        <v/>
      </c>
      <c r="AB115" s="114">
        <f>SUMIFS('Committments Dump'!$S:$S,'Committments Dump'!$C:$C,'Category Table'!AB$2,'Committments Dump'!$B:$B,'Category Table'!$A115)</f>
        <v/>
      </c>
      <c r="AC115" s="114">
        <f>SUMIFS('Committments Dump'!$S:$S,'Committments Dump'!$C:$C,'Category Table'!AC$2,'Committments Dump'!$B:$B,'Category Table'!$A115)</f>
        <v/>
      </c>
      <c r="AD115" s="113">
        <f>U115+X115+AA115</f>
        <v/>
      </c>
      <c r="AE115" s="114">
        <f>V115+Y115+AB115</f>
        <v/>
      </c>
      <c r="AF115" s="114">
        <f>W115+Z115+AC115</f>
        <v/>
      </c>
      <c r="AG115" s="113">
        <f>R115+AD115</f>
        <v/>
      </c>
      <c r="AH115" s="114">
        <f>S115+AE115</f>
        <v/>
      </c>
      <c r="AI115" s="114">
        <f>T115+AF115</f>
        <v/>
      </c>
      <c r="AJ115" s="113" t="n"/>
      <c r="AK115" s="114" t="n"/>
      <c r="AL115" s="114" t="n"/>
      <c r="AM115" s="113">
        <f>(O115-AG115)+AJ115</f>
        <v/>
      </c>
      <c r="AN115" s="114">
        <f>(P115-AH115)+AK115</f>
        <v/>
      </c>
      <c r="AO115" s="114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11" t="n"/>
      <c r="D116" s="112" t="n"/>
      <c r="E116" s="112" t="n"/>
      <c r="F116" s="111" t="n"/>
      <c r="G116" s="112" t="n"/>
      <c r="H116" s="112" t="n"/>
      <c r="I116" s="111" t="n"/>
      <c r="J116" s="112" t="n"/>
      <c r="K116" s="112" t="n"/>
      <c r="L116" s="111" t="n"/>
      <c r="M116" s="112" t="n"/>
      <c r="N116" s="112" t="n"/>
      <c r="O116" s="111">
        <f>L116+I116+F116+C116</f>
        <v/>
      </c>
      <c r="P116" s="112">
        <f>M116+J116+G116+D116</f>
        <v/>
      </c>
      <c r="Q116" s="112">
        <f>N116+K116+H116+E116</f>
        <v/>
      </c>
      <c r="R116" s="111">
        <f>SUMIFS('PO Log'!$E:$E,'PO Log'!$D:$D,'Category Table'!R$2,'PO Log'!$C:$C,'Category Table'!$A116)</f>
        <v/>
      </c>
      <c r="S116" s="112">
        <f>SUMIFS('PO Log'!$E:$E,'PO Log'!$D:$D,'Category Table'!S$2,'PO Log'!$C:$C,'Category Table'!$A116)</f>
        <v/>
      </c>
      <c r="T116" s="112">
        <f>SUMIFS('PO Log'!$E:$E,'PO Log'!$D:$D,'Category Table'!T$2,'PO Log'!$C:$C,'Category Table'!$A116)</f>
        <v/>
      </c>
      <c r="U116" s="111">
        <f>SUMIFS('Committments Dump'!$Q:$Q,'Committments Dump'!$C:$C,'Category Table'!U$2,'Committments Dump'!$B:$B,'Category Table'!$A116)</f>
        <v/>
      </c>
      <c r="V116" s="112">
        <f>SUMIFS('Committments Dump'!$Q:$Q,'Committments Dump'!$C:$C,'Category Table'!V$2,'Committments Dump'!$B:$B,'Category Table'!$A116)</f>
        <v/>
      </c>
      <c r="W116" s="112">
        <f>SUMIFS('Committments Dump'!$Q:$Q,'Committments Dump'!$C:$C,'Category Table'!W$2,'Committments Dump'!$B:$B,'Category Table'!$A116)</f>
        <v/>
      </c>
      <c r="X116" s="111">
        <f>SUMIFS('Committments Dump'!$R:$R,'Committments Dump'!$C:$C,'Category Table'!X$2,'Committments Dump'!$B:$B,'Category Table'!$A116)</f>
        <v/>
      </c>
      <c r="Y116" s="112">
        <f>SUMIFS('Committments Dump'!$R:$R,'Committments Dump'!$C:$C,'Category Table'!Y$2,'Committments Dump'!$B:$B,'Category Table'!$A116)</f>
        <v/>
      </c>
      <c r="Z116" s="112">
        <f>SUMIFS('Committments Dump'!$R:$R,'Committments Dump'!$C:$C,'Category Table'!Z$2,'Committments Dump'!$B:$B,'Category Table'!$A116)</f>
        <v/>
      </c>
      <c r="AA116" s="111">
        <f>SUMIFS('Committments Dump'!$S:$S,'Committments Dump'!$C:$C,'Category Table'!AA$2,'Committments Dump'!$B:$B,'Category Table'!$A116)</f>
        <v/>
      </c>
      <c r="AB116" s="112">
        <f>SUMIFS('Committments Dump'!$S:$S,'Committments Dump'!$C:$C,'Category Table'!AB$2,'Committments Dump'!$B:$B,'Category Table'!$A116)</f>
        <v/>
      </c>
      <c r="AC116" s="112">
        <f>SUMIFS('Committments Dump'!$S:$S,'Committments Dump'!$C:$C,'Category Table'!AC$2,'Committments Dump'!$B:$B,'Category Table'!$A116)</f>
        <v/>
      </c>
      <c r="AD116" s="111">
        <f>U116+X116+AA116</f>
        <v/>
      </c>
      <c r="AE116" s="112">
        <f>V116+Y116+AB116</f>
        <v/>
      </c>
      <c r="AF116" s="112">
        <f>W116+Z116+AC116</f>
        <v/>
      </c>
      <c r="AG116" s="111">
        <f>R116+AD116</f>
        <v/>
      </c>
      <c r="AH116" s="112">
        <f>S116+AE116</f>
        <v/>
      </c>
      <c r="AI116" s="112">
        <f>T116+AF116</f>
        <v/>
      </c>
      <c r="AJ116" s="111" t="n"/>
      <c r="AK116" s="112" t="n"/>
      <c r="AL116" s="112" t="n"/>
      <c r="AM116" s="111">
        <f>(O116-AG116)+AJ116</f>
        <v/>
      </c>
      <c r="AN116" s="112">
        <f>(P116-AH116)+AK116</f>
        <v/>
      </c>
      <c r="AO116" s="112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13" t="n"/>
      <c r="D117" s="114" t="n"/>
      <c r="E117" s="114" t="n"/>
      <c r="F117" s="113" t="n"/>
      <c r="G117" s="114" t="n"/>
      <c r="H117" s="114" t="n"/>
      <c r="I117" s="113" t="n"/>
      <c r="J117" s="114" t="n"/>
      <c r="K117" s="114" t="n"/>
      <c r="L117" s="113" t="n"/>
      <c r="M117" s="114" t="n"/>
      <c r="N117" s="114" t="n"/>
      <c r="O117" s="113">
        <f>L117+I117+F117+C117</f>
        <v/>
      </c>
      <c r="P117" s="114">
        <f>M117+J117+G117+D117</f>
        <v/>
      </c>
      <c r="Q117" s="114">
        <f>N117+K117+H117+E117</f>
        <v/>
      </c>
      <c r="R117" s="113">
        <f>SUMIFS('PO Log'!$E:$E,'PO Log'!$D:$D,'Category Table'!R$2,'PO Log'!$C:$C,'Category Table'!$A117)</f>
        <v/>
      </c>
      <c r="S117" s="114">
        <f>SUMIFS('PO Log'!$E:$E,'PO Log'!$D:$D,'Category Table'!S$2,'PO Log'!$C:$C,'Category Table'!$A117)</f>
        <v/>
      </c>
      <c r="T117" s="114">
        <f>SUMIFS('PO Log'!$E:$E,'PO Log'!$D:$D,'Category Table'!T$2,'PO Log'!$C:$C,'Category Table'!$A117)</f>
        <v/>
      </c>
      <c r="U117" s="113">
        <f>SUMIFS('Committments Dump'!$Q:$Q,'Committments Dump'!$C:$C,'Category Table'!U$2,'Committments Dump'!$B:$B,'Category Table'!$A117)</f>
        <v/>
      </c>
      <c r="V117" s="114">
        <f>SUMIFS('Committments Dump'!$Q:$Q,'Committments Dump'!$C:$C,'Category Table'!V$2,'Committments Dump'!$B:$B,'Category Table'!$A117)</f>
        <v/>
      </c>
      <c r="W117" s="114">
        <f>SUMIFS('Committments Dump'!$Q:$Q,'Committments Dump'!$C:$C,'Category Table'!W$2,'Committments Dump'!$B:$B,'Category Table'!$A117)</f>
        <v/>
      </c>
      <c r="X117" s="113">
        <f>SUMIFS('Committments Dump'!$R:$R,'Committments Dump'!$C:$C,'Category Table'!X$2,'Committments Dump'!$B:$B,'Category Table'!$A117)</f>
        <v/>
      </c>
      <c r="Y117" s="114">
        <f>SUMIFS('Committments Dump'!$R:$R,'Committments Dump'!$C:$C,'Category Table'!Y$2,'Committments Dump'!$B:$B,'Category Table'!$A117)</f>
        <v/>
      </c>
      <c r="Z117" s="114">
        <f>SUMIFS('Committments Dump'!$R:$R,'Committments Dump'!$C:$C,'Category Table'!Z$2,'Committments Dump'!$B:$B,'Category Table'!$A117)</f>
        <v/>
      </c>
      <c r="AA117" s="113">
        <f>SUMIFS('Committments Dump'!$S:$S,'Committments Dump'!$C:$C,'Category Table'!AA$2,'Committments Dump'!$B:$B,'Category Table'!$A117)</f>
        <v/>
      </c>
      <c r="AB117" s="114">
        <f>SUMIFS('Committments Dump'!$S:$S,'Committments Dump'!$C:$C,'Category Table'!AB$2,'Committments Dump'!$B:$B,'Category Table'!$A117)</f>
        <v/>
      </c>
      <c r="AC117" s="114">
        <f>SUMIFS('Committments Dump'!$S:$S,'Committments Dump'!$C:$C,'Category Table'!AC$2,'Committments Dump'!$B:$B,'Category Table'!$A117)</f>
        <v/>
      </c>
      <c r="AD117" s="113">
        <f>U117+X117+AA117</f>
        <v/>
      </c>
      <c r="AE117" s="114">
        <f>V117+Y117+AB117</f>
        <v/>
      </c>
      <c r="AF117" s="114">
        <f>W117+Z117+AC117</f>
        <v/>
      </c>
      <c r="AG117" s="113">
        <f>R117+AD117</f>
        <v/>
      </c>
      <c r="AH117" s="114">
        <f>S117+AE117</f>
        <v/>
      </c>
      <c r="AI117" s="114">
        <f>T117+AF117</f>
        <v/>
      </c>
      <c r="AJ117" s="113" t="n"/>
      <c r="AK117" s="114" t="n"/>
      <c r="AL117" s="114" t="n"/>
      <c r="AM117" s="113">
        <f>(O117-AG117)+AJ117</f>
        <v/>
      </c>
      <c r="AN117" s="114">
        <f>(P117-AH117)+AK117</f>
        <v/>
      </c>
      <c r="AO117" s="114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11" t="n"/>
      <c r="D118" s="112" t="n"/>
      <c r="E118" s="112" t="n"/>
      <c r="F118" s="111" t="n"/>
      <c r="G118" s="112" t="n"/>
      <c r="H118" s="112" t="n"/>
      <c r="I118" s="111" t="n"/>
      <c r="J118" s="112" t="n"/>
      <c r="K118" s="112" t="n"/>
      <c r="L118" s="111" t="n"/>
      <c r="M118" s="112" t="n"/>
      <c r="N118" s="112" t="n"/>
      <c r="O118" s="111">
        <f>L118+I118+F118+C118</f>
        <v/>
      </c>
      <c r="P118" s="112">
        <f>M118+J118+G118+D118</f>
        <v/>
      </c>
      <c r="Q118" s="112">
        <f>N118+K118+H118+E118</f>
        <v/>
      </c>
      <c r="R118" s="111">
        <f>SUMIFS('PO Log'!$E:$E,'PO Log'!$D:$D,'Category Table'!R$2,'PO Log'!$C:$C,'Category Table'!$A118)</f>
        <v/>
      </c>
      <c r="S118" s="112">
        <f>SUMIFS('PO Log'!$E:$E,'PO Log'!$D:$D,'Category Table'!S$2,'PO Log'!$C:$C,'Category Table'!$A118)</f>
        <v/>
      </c>
      <c r="T118" s="112">
        <f>SUMIFS('PO Log'!$E:$E,'PO Log'!$D:$D,'Category Table'!T$2,'PO Log'!$C:$C,'Category Table'!$A118)</f>
        <v/>
      </c>
      <c r="U118" s="111">
        <f>SUMIFS('Committments Dump'!$Q:$Q,'Committments Dump'!$C:$C,'Category Table'!U$2,'Committments Dump'!$B:$B,'Category Table'!$A118)</f>
        <v/>
      </c>
      <c r="V118" s="112">
        <f>SUMIFS('Committments Dump'!$Q:$Q,'Committments Dump'!$C:$C,'Category Table'!V$2,'Committments Dump'!$B:$B,'Category Table'!$A118)</f>
        <v/>
      </c>
      <c r="W118" s="112">
        <f>SUMIFS('Committments Dump'!$Q:$Q,'Committments Dump'!$C:$C,'Category Table'!W$2,'Committments Dump'!$B:$B,'Category Table'!$A118)</f>
        <v/>
      </c>
      <c r="X118" s="111">
        <f>SUMIFS('Committments Dump'!$R:$R,'Committments Dump'!$C:$C,'Category Table'!X$2,'Committments Dump'!$B:$B,'Category Table'!$A118)</f>
        <v/>
      </c>
      <c r="Y118" s="112">
        <f>SUMIFS('Committments Dump'!$R:$R,'Committments Dump'!$C:$C,'Category Table'!Y$2,'Committments Dump'!$B:$B,'Category Table'!$A118)</f>
        <v/>
      </c>
      <c r="Z118" s="112">
        <f>SUMIFS('Committments Dump'!$R:$R,'Committments Dump'!$C:$C,'Category Table'!Z$2,'Committments Dump'!$B:$B,'Category Table'!$A118)</f>
        <v/>
      </c>
      <c r="AA118" s="111">
        <f>SUMIFS('Committments Dump'!$S:$S,'Committments Dump'!$C:$C,'Category Table'!AA$2,'Committments Dump'!$B:$B,'Category Table'!$A118)</f>
        <v/>
      </c>
      <c r="AB118" s="112">
        <f>SUMIFS('Committments Dump'!$S:$S,'Committments Dump'!$C:$C,'Category Table'!AB$2,'Committments Dump'!$B:$B,'Category Table'!$A118)</f>
        <v/>
      </c>
      <c r="AC118" s="112">
        <f>SUMIFS('Committments Dump'!$S:$S,'Committments Dump'!$C:$C,'Category Table'!AC$2,'Committments Dump'!$B:$B,'Category Table'!$A118)</f>
        <v/>
      </c>
      <c r="AD118" s="111">
        <f>U118+X118+AA118</f>
        <v/>
      </c>
      <c r="AE118" s="112">
        <f>V118+Y118+AB118</f>
        <v/>
      </c>
      <c r="AF118" s="112">
        <f>W118+Z118+AC118</f>
        <v/>
      </c>
      <c r="AG118" s="111">
        <f>R118+AD118</f>
        <v/>
      </c>
      <c r="AH118" s="112">
        <f>S118+AE118</f>
        <v/>
      </c>
      <c r="AI118" s="112">
        <f>T118+AF118</f>
        <v/>
      </c>
      <c r="AJ118" s="111" t="n"/>
      <c r="AK118" s="112" t="n"/>
      <c r="AL118" s="112" t="n"/>
      <c r="AM118" s="111">
        <f>(O118-AG118)+AJ118</f>
        <v/>
      </c>
      <c r="AN118" s="112">
        <f>(P118-AH118)+AK118</f>
        <v/>
      </c>
      <c r="AO118" s="112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13" t="n"/>
      <c r="D119" s="114" t="n"/>
      <c r="E119" s="114" t="n"/>
      <c r="F119" s="113" t="n"/>
      <c r="G119" s="114" t="n"/>
      <c r="H119" s="114" t="n"/>
      <c r="I119" s="113" t="n"/>
      <c r="J119" s="114" t="n"/>
      <c r="K119" s="114" t="n"/>
      <c r="L119" s="113" t="n"/>
      <c r="M119" s="114" t="n"/>
      <c r="N119" s="114" t="n"/>
      <c r="O119" s="113">
        <f>L119+I119+F119+C119</f>
        <v/>
      </c>
      <c r="P119" s="114">
        <f>M119+J119+G119+D119</f>
        <v/>
      </c>
      <c r="Q119" s="114">
        <f>N119+K119+H119+E119</f>
        <v/>
      </c>
      <c r="R119" s="113">
        <f>SUMIFS('PO Log'!$E:$E,'PO Log'!$D:$D,'Category Table'!R$2,'PO Log'!$C:$C,'Category Table'!$A119)</f>
        <v/>
      </c>
      <c r="S119" s="114">
        <f>SUMIFS('PO Log'!$E:$E,'PO Log'!$D:$D,'Category Table'!S$2,'PO Log'!$C:$C,'Category Table'!$A119)</f>
        <v/>
      </c>
      <c r="T119" s="114">
        <f>SUMIFS('PO Log'!$E:$E,'PO Log'!$D:$D,'Category Table'!T$2,'PO Log'!$C:$C,'Category Table'!$A119)</f>
        <v/>
      </c>
      <c r="U119" s="113">
        <f>SUMIFS('Committments Dump'!$Q:$Q,'Committments Dump'!$C:$C,'Category Table'!U$2,'Committments Dump'!$B:$B,'Category Table'!$A119)</f>
        <v/>
      </c>
      <c r="V119" s="114">
        <f>SUMIFS('Committments Dump'!$Q:$Q,'Committments Dump'!$C:$C,'Category Table'!V$2,'Committments Dump'!$B:$B,'Category Table'!$A119)</f>
        <v/>
      </c>
      <c r="W119" s="114">
        <f>SUMIFS('Committments Dump'!$Q:$Q,'Committments Dump'!$C:$C,'Category Table'!W$2,'Committments Dump'!$B:$B,'Category Table'!$A119)</f>
        <v/>
      </c>
      <c r="X119" s="113">
        <f>SUMIFS('Committments Dump'!$R:$R,'Committments Dump'!$C:$C,'Category Table'!X$2,'Committments Dump'!$B:$B,'Category Table'!$A119)</f>
        <v/>
      </c>
      <c r="Y119" s="114">
        <f>SUMIFS('Committments Dump'!$R:$R,'Committments Dump'!$C:$C,'Category Table'!Y$2,'Committments Dump'!$B:$B,'Category Table'!$A119)</f>
        <v/>
      </c>
      <c r="Z119" s="114">
        <f>SUMIFS('Committments Dump'!$R:$R,'Committments Dump'!$C:$C,'Category Table'!Z$2,'Committments Dump'!$B:$B,'Category Table'!$A119)</f>
        <v/>
      </c>
      <c r="AA119" s="113">
        <f>SUMIFS('Committments Dump'!$S:$S,'Committments Dump'!$C:$C,'Category Table'!AA$2,'Committments Dump'!$B:$B,'Category Table'!$A119)</f>
        <v/>
      </c>
      <c r="AB119" s="114">
        <f>SUMIFS('Committments Dump'!$S:$S,'Committments Dump'!$C:$C,'Category Table'!AB$2,'Committments Dump'!$B:$B,'Category Table'!$A119)</f>
        <v/>
      </c>
      <c r="AC119" s="114">
        <f>SUMIFS('Committments Dump'!$S:$S,'Committments Dump'!$C:$C,'Category Table'!AC$2,'Committments Dump'!$B:$B,'Category Table'!$A119)</f>
        <v/>
      </c>
      <c r="AD119" s="113">
        <f>U119+X119+AA119</f>
        <v/>
      </c>
      <c r="AE119" s="114">
        <f>V119+Y119+AB119</f>
        <v/>
      </c>
      <c r="AF119" s="114">
        <f>W119+Z119+AC119</f>
        <v/>
      </c>
      <c r="AG119" s="113">
        <f>R119+AD119</f>
        <v/>
      </c>
      <c r="AH119" s="114">
        <f>S119+AE119</f>
        <v/>
      </c>
      <c r="AI119" s="114">
        <f>T119+AF119</f>
        <v/>
      </c>
      <c r="AJ119" s="113" t="n"/>
      <c r="AK119" s="114" t="n"/>
      <c r="AL119" s="114" t="n"/>
      <c r="AM119" s="113">
        <f>(O119-AG119)+AJ119</f>
        <v/>
      </c>
      <c r="AN119" s="114">
        <f>(P119-AH119)+AK119</f>
        <v/>
      </c>
      <c r="AO119" s="114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11" t="n"/>
      <c r="D120" s="112" t="n"/>
      <c r="E120" s="112" t="n"/>
      <c r="F120" s="111" t="n"/>
      <c r="G120" s="112" t="n"/>
      <c r="H120" s="112" t="n"/>
      <c r="I120" s="111" t="n"/>
      <c r="J120" s="112" t="n"/>
      <c r="K120" s="112" t="n"/>
      <c r="L120" s="111" t="n"/>
      <c r="M120" s="112" t="n"/>
      <c r="N120" s="112" t="n"/>
      <c r="O120" s="111">
        <f>L120+I120+F120+C120</f>
        <v/>
      </c>
      <c r="P120" s="112">
        <f>M120+J120+G120+D120</f>
        <v/>
      </c>
      <c r="Q120" s="112">
        <f>N120+K120+H120+E120</f>
        <v/>
      </c>
      <c r="R120" s="111">
        <f>SUMIFS('PO Log'!$E:$E,'PO Log'!$D:$D,'Category Table'!R$2,'PO Log'!$C:$C,'Category Table'!$A120)</f>
        <v/>
      </c>
      <c r="S120" s="112">
        <f>SUMIFS('PO Log'!$E:$E,'PO Log'!$D:$D,'Category Table'!S$2,'PO Log'!$C:$C,'Category Table'!$A120)</f>
        <v/>
      </c>
      <c r="T120" s="112">
        <f>SUMIFS('PO Log'!$E:$E,'PO Log'!$D:$D,'Category Table'!T$2,'PO Log'!$C:$C,'Category Table'!$A120)</f>
        <v/>
      </c>
      <c r="U120" s="111">
        <f>SUMIFS('Committments Dump'!$Q:$Q,'Committments Dump'!$C:$C,'Category Table'!U$2,'Committments Dump'!$B:$B,'Category Table'!$A120)</f>
        <v/>
      </c>
      <c r="V120" s="112">
        <f>SUMIFS('Committments Dump'!$Q:$Q,'Committments Dump'!$C:$C,'Category Table'!V$2,'Committments Dump'!$B:$B,'Category Table'!$A120)</f>
        <v/>
      </c>
      <c r="W120" s="112">
        <f>SUMIFS('Committments Dump'!$Q:$Q,'Committments Dump'!$C:$C,'Category Table'!W$2,'Committments Dump'!$B:$B,'Category Table'!$A120)</f>
        <v/>
      </c>
      <c r="X120" s="111">
        <f>SUMIFS('Committments Dump'!$R:$R,'Committments Dump'!$C:$C,'Category Table'!X$2,'Committments Dump'!$B:$B,'Category Table'!$A120)</f>
        <v/>
      </c>
      <c r="Y120" s="112">
        <f>SUMIFS('Committments Dump'!$R:$R,'Committments Dump'!$C:$C,'Category Table'!Y$2,'Committments Dump'!$B:$B,'Category Table'!$A120)</f>
        <v/>
      </c>
      <c r="Z120" s="112">
        <f>SUMIFS('Committments Dump'!$R:$R,'Committments Dump'!$C:$C,'Category Table'!Z$2,'Committments Dump'!$B:$B,'Category Table'!$A120)</f>
        <v/>
      </c>
      <c r="AA120" s="111">
        <f>SUMIFS('Committments Dump'!$S:$S,'Committments Dump'!$C:$C,'Category Table'!AA$2,'Committments Dump'!$B:$B,'Category Table'!$A120)</f>
        <v/>
      </c>
      <c r="AB120" s="112">
        <f>SUMIFS('Committments Dump'!$S:$S,'Committments Dump'!$C:$C,'Category Table'!AB$2,'Committments Dump'!$B:$B,'Category Table'!$A120)</f>
        <v/>
      </c>
      <c r="AC120" s="112">
        <f>SUMIFS('Committments Dump'!$S:$S,'Committments Dump'!$C:$C,'Category Table'!AC$2,'Committments Dump'!$B:$B,'Category Table'!$A120)</f>
        <v/>
      </c>
      <c r="AD120" s="111">
        <f>U120+X120+AA120</f>
        <v/>
      </c>
      <c r="AE120" s="112">
        <f>V120+Y120+AB120</f>
        <v/>
      </c>
      <c r="AF120" s="112">
        <f>W120+Z120+AC120</f>
        <v/>
      </c>
      <c r="AG120" s="111">
        <f>R120+AD120</f>
        <v/>
      </c>
      <c r="AH120" s="112">
        <f>S120+AE120</f>
        <v/>
      </c>
      <c r="AI120" s="112">
        <f>T120+AF120</f>
        <v/>
      </c>
      <c r="AJ120" s="111" t="n"/>
      <c r="AK120" s="112" t="n"/>
      <c r="AL120" s="112" t="n"/>
      <c r="AM120" s="111">
        <f>(O120-AG120)+AJ120</f>
        <v/>
      </c>
      <c r="AN120" s="112">
        <f>(P120-AH120)+AK120</f>
        <v/>
      </c>
      <c r="AO120" s="112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13" t="n"/>
      <c r="D121" s="114" t="n"/>
      <c r="E121" s="114" t="n"/>
      <c r="F121" s="113" t="n"/>
      <c r="G121" s="114" t="n"/>
      <c r="H121" s="114" t="n"/>
      <c r="I121" s="113" t="n"/>
      <c r="J121" s="114" t="n"/>
      <c r="K121" s="114" t="n"/>
      <c r="L121" s="113" t="n"/>
      <c r="M121" s="114" t="n"/>
      <c r="N121" s="114" t="n"/>
      <c r="O121" s="113">
        <f>L121+I121+F121+C121</f>
        <v/>
      </c>
      <c r="P121" s="114">
        <f>M121+J121+G121+D121</f>
        <v/>
      </c>
      <c r="Q121" s="114">
        <f>N121+K121+H121+E121</f>
        <v/>
      </c>
      <c r="R121" s="113">
        <f>SUMIFS('PO Log'!$E:$E,'PO Log'!$D:$D,'Category Table'!R$2,'PO Log'!$C:$C,'Category Table'!$A121)</f>
        <v/>
      </c>
      <c r="S121" s="114">
        <f>SUMIFS('PO Log'!$E:$E,'PO Log'!$D:$D,'Category Table'!S$2,'PO Log'!$C:$C,'Category Table'!$A121)</f>
        <v/>
      </c>
      <c r="T121" s="114">
        <f>SUMIFS('PO Log'!$E:$E,'PO Log'!$D:$D,'Category Table'!T$2,'PO Log'!$C:$C,'Category Table'!$A121)</f>
        <v/>
      </c>
      <c r="U121" s="113">
        <f>SUMIFS('Committments Dump'!$Q:$Q,'Committments Dump'!$C:$C,'Category Table'!U$2,'Committments Dump'!$B:$B,'Category Table'!$A121)</f>
        <v/>
      </c>
      <c r="V121" s="114">
        <f>SUMIFS('Committments Dump'!$Q:$Q,'Committments Dump'!$C:$C,'Category Table'!V$2,'Committments Dump'!$B:$B,'Category Table'!$A121)</f>
        <v/>
      </c>
      <c r="W121" s="114">
        <f>SUMIFS('Committments Dump'!$Q:$Q,'Committments Dump'!$C:$C,'Category Table'!W$2,'Committments Dump'!$B:$B,'Category Table'!$A121)</f>
        <v/>
      </c>
      <c r="X121" s="113">
        <f>SUMIFS('Committments Dump'!$R:$R,'Committments Dump'!$C:$C,'Category Table'!X$2,'Committments Dump'!$B:$B,'Category Table'!$A121)</f>
        <v/>
      </c>
      <c r="Y121" s="114">
        <f>SUMIFS('Committments Dump'!$R:$R,'Committments Dump'!$C:$C,'Category Table'!Y$2,'Committments Dump'!$B:$B,'Category Table'!$A121)</f>
        <v/>
      </c>
      <c r="Z121" s="114">
        <f>SUMIFS('Committments Dump'!$R:$R,'Committments Dump'!$C:$C,'Category Table'!Z$2,'Committments Dump'!$B:$B,'Category Table'!$A121)</f>
        <v/>
      </c>
      <c r="AA121" s="113">
        <f>SUMIFS('Committments Dump'!$S:$S,'Committments Dump'!$C:$C,'Category Table'!AA$2,'Committments Dump'!$B:$B,'Category Table'!$A121)</f>
        <v/>
      </c>
      <c r="AB121" s="114">
        <f>SUMIFS('Committments Dump'!$S:$S,'Committments Dump'!$C:$C,'Category Table'!AB$2,'Committments Dump'!$B:$B,'Category Table'!$A121)</f>
        <v/>
      </c>
      <c r="AC121" s="114">
        <f>SUMIFS('Committments Dump'!$S:$S,'Committments Dump'!$C:$C,'Category Table'!AC$2,'Committments Dump'!$B:$B,'Category Table'!$A121)</f>
        <v/>
      </c>
      <c r="AD121" s="113">
        <f>U121+X121+AA121</f>
        <v/>
      </c>
      <c r="AE121" s="114">
        <f>V121+Y121+AB121</f>
        <v/>
      </c>
      <c r="AF121" s="114">
        <f>W121+Z121+AC121</f>
        <v/>
      </c>
      <c r="AG121" s="113">
        <f>R121+AD121</f>
        <v/>
      </c>
      <c r="AH121" s="114">
        <f>S121+AE121</f>
        <v/>
      </c>
      <c r="AI121" s="114">
        <f>T121+AF121</f>
        <v/>
      </c>
      <c r="AJ121" s="113" t="n"/>
      <c r="AK121" s="114" t="n"/>
      <c r="AL121" s="114" t="n"/>
      <c r="AM121" s="113">
        <f>(O121-AG121)+AJ121</f>
        <v/>
      </c>
      <c r="AN121" s="114">
        <f>(P121-AH121)+AK121</f>
        <v/>
      </c>
      <c r="AO121" s="114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11" t="n"/>
      <c r="D122" s="112" t="n"/>
      <c r="E122" s="112" t="n"/>
      <c r="F122" s="111" t="n"/>
      <c r="G122" s="112" t="n"/>
      <c r="H122" s="112" t="n"/>
      <c r="I122" s="111" t="n"/>
      <c r="J122" s="112" t="n"/>
      <c r="K122" s="112" t="n"/>
      <c r="L122" s="111" t="n"/>
      <c r="M122" s="112" t="n"/>
      <c r="N122" s="112" t="n"/>
      <c r="O122" s="111">
        <f>L122+I122+F122+C122</f>
        <v/>
      </c>
      <c r="P122" s="112">
        <f>M122+J122+G122+D122</f>
        <v/>
      </c>
      <c r="Q122" s="112">
        <f>N122+K122+H122+E122</f>
        <v/>
      </c>
      <c r="R122" s="111">
        <f>SUMIFS('PO Log'!$E:$E,'PO Log'!$D:$D,'Category Table'!R$2,'PO Log'!$C:$C,'Category Table'!$A122)</f>
        <v/>
      </c>
      <c r="S122" s="112">
        <f>SUMIFS('PO Log'!$E:$E,'PO Log'!$D:$D,'Category Table'!S$2,'PO Log'!$C:$C,'Category Table'!$A122)</f>
        <v/>
      </c>
      <c r="T122" s="112">
        <f>SUMIFS('PO Log'!$E:$E,'PO Log'!$D:$D,'Category Table'!T$2,'PO Log'!$C:$C,'Category Table'!$A122)</f>
        <v/>
      </c>
      <c r="U122" s="111">
        <f>SUMIFS('Committments Dump'!$Q:$Q,'Committments Dump'!$C:$C,'Category Table'!U$2,'Committments Dump'!$B:$B,'Category Table'!$A122)</f>
        <v/>
      </c>
      <c r="V122" s="112">
        <f>SUMIFS('Committments Dump'!$Q:$Q,'Committments Dump'!$C:$C,'Category Table'!V$2,'Committments Dump'!$B:$B,'Category Table'!$A122)</f>
        <v/>
      </c>
      <c r="W122" s="112">
        <f>SUMIFS('Committments Dump'!$Q:$Q,'Committments Dump'!$C:$C,'Category Table'!W$2,'Committments Dump'!$B:$B,'Category Table'!$A122)</f>
        <v/>
      </c>
      <c r="X122" s="111">
        <f>SUMIFS('Committments Dump'!$R:$R,'Committments Dump'!$C:$C,'Category Table'!X$2,'Committments Dump'!$B:$B,'Category Table'!$A122)</f>
        <v/>
      </c>
      <c r="Y122" s="112">
        <f>SUMIFS('Committments Dump'!$R:$R,'Committments Dump'!$C:$C,'Category Table'!Y$2,'Committments Dump'!$B:$B,'Category Table'!$A122)</f>
        <v/>
      </c>
      <c r="Z122" s="112">
        <f>SUMIFS('Committments Dump'!$R:$R,'Committments Dump'!$C:$C,'Category Table'!Z$2,'Committments Dump'!$B:$B,'Category Table'!$A122)</f>
        <v/>
      </c>
      <c r="AA122" s="111">
        <f>SUMIFS('Committments Dump'!$S:$S,'Committments Dump'!$C:$C,'Category Table'!AA$2,'Committments Dump'!$B:$B,'Category Table'!$A122)</f>
        <v/>
      </c>
      <c r="AB122" s="112">
        <f>SUMIFS('Committments Dump'!$S:$S,'Committments Dump'!$C:$C,'Category Table'!AB$2,'Committments Dump'!$B:$B,'Category Table'!$A122)</f>
        <v/>
      </c>
      <c r="AC122" s="112">
        <f>SUMIFS('Committments Dump'!$S:$S,'Committments Dump'!$C:$C,'Category Table'!AC$2,'Committments Dump'!$B:$B,'Category Table'!$A122)</f>
        <v/>
      </c>
      <c r="AD122" s="111">
        <f>U122+X122+AA122</f>
        <v/>
      </c>
      <c r="AE122" s="112">
        <f>V122+Y122+AB122</f>
        <v/>
      </c>
      <c r="AF122" s="112">
        <f>W122+Z122+AC122</f>
        <v/>
      </c>
      <c r="AG122" s="111">
        <f>R122+AD122</f>
        <v/>
      </c>
      <c r="AH122" s="112">
        <f>S122+AE122</f>
        <v/>
      </c>
      <c r="AI122" s="112">
        <f>T122+AF122</f>
        <v/>
      </c>
      <c r="AJ122" s="111" t="n"/>
      <c r="AK122" s="112" t="n"/>
      <c r="AL122" s="112" t="n"/>
      <c r="AM122" s="111">
        <f>(O122-AG122)+AJ122</f>
        <v/>
      </c>
      <c r="AN122" s="112">
        <f>(P122-AH122)+AK122</f>
        <v/>
      </c>
      <c r="AO122" s="112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13" t="n"/>
      <c r="D123" s="114" t="n"/>
      <c r="E123" s="114" t="n"/>
      <c r="F123" s="113" t="n"/>
      <c r="G123" s="114" t="n"/>
      <c r="H123" s="114" t="n"/>
      <c r="I123" s="113" t="n"/>
      <c r="J123" s="114" t="n"/>
      <c r="K123" s="114" t="n"/>
      <c r="L123" s="113" t="n"/>
      <c r="M123" s="114" t="n"/>
      <c r="N123" s="114" t="n"/>
      <c r="O123" s="113">
        <f>L123+I123+F123+C123</f>
        <v/>
      </c>
      <c r="P123" s="114">
        <f>M123+J123+G123+D123</f>
        <v/>
      </c>
      <c r="Q123" s="114">
        <f>N123+K123+H123+E123</f>
        <v/>
      </c>
      <c r="R123" s="113">
        <f>SUMIFS('PO Log'!$E:$E,'PO Log'!$D:$D,'Category Table'!R$2,'PO Log'!$C:$C,'Category Table'!$A123)</f>
        <v/>
      </c>
      <c r="S123" s="114">
        <f>SUMIFS('PO Log'!$E:$E,'PO Log'!$D:$D,'Category Table'!S$2,'PO Log'!$C:$C,'Category Table'!$A123)</f>
        <v/>
      </c>
      <c r="T123" s="114">
        <f>SUMIFS('PO Log'!$E:$E,'PO Log'!$D:$D,'Category Table'!T$2,'PO Log'!$C:$C,'Category Table'!$A123)</f>
        <v/>
      </c>
      <c r="U123" s="113">
        <f>SUMIFS('Committments Dump'!$Q:$Q,'Committments Dump'!$C:$C,'Category Table'!U$2,'Committments Dump'!$B:$B,'Category Table'!$A123)</f>
        <v/>
      </c>
      <c r="V123" s="114">
        <f>SUMIFS('Committments Dump'!$Q:$Q,'Committments Dump'!$C:$C,'Category Table'!V$2,'Committments Dump'!$B:$B,'Category Table'!$A123)</f>
        <v/>
      </c>
      <c r="W123" s="114">
        <f>SUMIFS('Committments Dump'!$Q:$Q,'Committments Dump'!$C:$C,'Category Table'!W$2,'Committments Dump'!$B:$B,'Category Table'!$A123)</f>
        <v/>
      </c>
      <c r="X123" s="113">
        <f>SUMIFS('Committments Dump'!$R:$R,'Committments Dump'!$C:$C,'Category Table'!X$2,'Committments Dump'!$B:$B,'Category Table'!$A123)</f>
        <v/>
      </c>
      <c r="Y123" s="114">
        <f>SUMIFS('Committments Dump'!$R:$R,'Committments Dump'!$C:$C,'Category Table'!Y$2,'Committments Dump'!$B:$B,'Category Table'!$A123)</f>
        <v/>
      </c>
      <c r="Z123" s="114">
        <f>SUMIFS('Committments Dump'!$R:$R,'Committments Dump'!$C:$C,'Category Table'!Z$2,'Committments Dump'!$B:$B,'Category Table'!$A123)</f>
        <v/>
      </c>
      <c r="AA123" s="113">
        <f>SUMIFS('Committments Dump'!$S:$S,'Committments Dump'!$C:$C,'Category Table'!AA$2,'Committments Dump'!$B:$B,'Category Table'!$A123)</f>
        <v/>
      </c>
      <c r="AB123" s="114">
        <f>SUMIFS('Committments Dump'!$S:$S,'Committments Dump'!$C:$C,'Category Table'!AB$2,'Committments Dump'!$B:$B,'Category Table'!$A123)</f>
        <v/>
      </c>
      <c r="AC123" s="114">
        <f>SUMIFS('Committments Dump'!$S:$S,'Committments Dump'!$C:$C,'Category Table'!AC$2,'Committments Dump'!$B:$B,'Category Table'!$A123)</f>
        <v/>
      </c>
      <c r="AD123" s="113">
        <f>U123+X123+AA123</f>
        <v/>
      </c>
      <c r="AE123" s="114">
        <f>V123+Y123+AB123</f>
        <v/>
      </c>
      <c r="AF123" s="114">
        <f>W123+Z123+AC123</f>
        <v/>
      </c>
      <c r="AG123" s="113">
        <f>R123+AD123</f>
        <v/>
      </c>
      <c r="AH123" s="114">
        <f>S123+AE123</f>
        <v/>
      </c>
      <c r="AI123" s="114">
        <f>T123+AF123</f>
        <v/>
      </c>
      <c r="AJ123" s="113" t="n"/>
      <c r="AK123" s="114" t="n"/>
      <c r="AL123" s="114" t="n"/>
      <c r="AM123" s="113">
        <f>(O123-AG123)+AJ123</f>
        <v/>
      </c>
      <c r="AN123" s="114">
        <f>(P123-AH123)+AK123</f>
        <v/>
      </c>
      <c r="AO123" s="114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11" t="n"/>
      <c r="D124" s="112" t="n"/>
      <c r="E124" s="112" t="n"/>
      <c r="F124" s="111" t="n"/>
      <c r="G124" s="112" t="n"/>
      <c r="H124" s="112" t="n"/>
      <c r="I124" s="111" t="n"/>
      <c r="J124" s="112" t="n"/>
      <c r="K124" s="112" t="n"/>
      <c r="L124" s="111" t="n"/>
      <c r="M124" s="112" t="n"/>
      <c r="N124" s="112" t="n"/>
      <c r="O124" s="111">
        <f>L124+I124+F124+C124</f>
        <v/>
      </c>
      <c r="P124" s="112">
        <f>M124+J124+G124+D124</f>
        <v/>
      </c>
      <c r="Q124" s="112">
        <f>N124+K124+H124+E124</f>
        <v/>
      </c>
      <c r="R124" s="111">
        <f>SUMIFS('PO Log'!$E:$E,'PO Log'!$D:$D,'Category Table'!R$2,'PO Log'!$C:$C,'Category Table'!$A124)</f>
        <v/>
      </c>
      <c r="S124" s="112">
        <f>SUMIFS('PO Log'!$E:$E,'PO Log'!$D:$D,'Category Table'!S$2,'PO Log'!$C:$C,'Category Table'!$A124)</f>
        <v/>
      </c>
      <c r="T124" s="112">
        <f>SUMIFS('PO Log'!$E:$E,'PO Log'!$D:$D,'Category Table'!T$2,'PO Log'!$C:$C,'Category Table'!$A124)</f>
        <v/>
      </c>
      <c r="U124" s="111">
        <f>SUMIFS('Committments Dump'!$Q:$Q,'Committments Dump'!$C:$C,'Category Table'!U$2,'Committments Dump'!$B:$B,'Category Table'!$A124)</f>
        <v/>
      </c>
      <c r="V124" s="112">
        <f>SUMIFS('Committments Dump'!$Q:$Q,'Committments Dump'!$C:$C,'Category Table'!V$2,'Committments Dump'!$B:$B,'Category Table'!$A124)</f>
        <v/>
      </c>
      <c r="W124" s="112">
        <f>SUMIFS('Committments Dump'!$Q:$Q,'Committments Dump'!$C:$C,'Category Table'!W$2,'Committments Dump'!$B:$B,'Category Table'!$A124)</f>
        <v/>
      </c>
      <c r="X124" s="111">
        <f>SUMIFS('Committments Dump'!$R:$R,'Committments Dump'!$C:$C,'Category Table'!X$2,'Committments Dump'!$B:$B,'Category Table'!$A124)</f>
        <v/>
      </c>
      <c r="Y124" s="112">
        <f>SUMIFS('Committments Dump'!$R:$R,'Committments Dump'!$C:$C,'Category Table'!Y$2,'Committments Dump'!$B:$B,'Category Table'!$A124)</f>
        <v/>
      </c>
      <c r="Z124" s="112">
        <f>SUMIFS('Committments Dump'!$R:$R,'Committments Dump'!$C:$C,'Category Table'!Z$2,'Committments Dump'!$B:$B,'Category Table'!$A124)</f>
        <v/>
      </c>
      <c r="AA124" s="111">
        <f>SUMIFS('Committments Dump'!$S:$S,'Committments Dump'!$C:$C,'Category Table'!AA$2,'Committments Dump'!$B:$B,'Category Table'!$A124)</f>
        <v/>
      </c>
      <c r="AB124" s="112">
        <f>SUMIFS('Committments Dump'!$S:$S,'Committments Dump'!$C:$C,'Category Table'!AB$2,'Committments Dump'!$B:$B,'Category Table'!$A124)</f>
        <v/>
      </c>
      <c r="AC124" s="112">
        <f>SUMIFS('Committments Dump'!$S:$S,'Committments Dump'!$C:$C,'Category Table'!AC$2,'Committments Dump'!$B:$B,'Category Table'!$A124)</f>
        <v/>
      </c>
      <c r="AD124" s="111">
        <f>U124+X124+AA124</f>
        <v/>
      </c>
      <c r="AE124" s="112">
        <f>V124+Y124+AB124</f>
        <v/>
      </c>
      <c r="AF124" s="112">
        <f>W124+Z124+AC124</f>
        <v/>
      </c>
      <c r="AG124" s="111">
        <f>R124+AD124</f>
        <v/>
      </c>
      <c r="AH124" s="112">
        <f>S124+AE124</f>
        <v/>
      </c>
      <c r="AI124" s="112">
        <f>T124+AF124</f>
        <v/>
      </c>
      <c r="AJ124" s="111" t="n"/>
      <c r="AK124" s="112" t="n"/>
      <c r="AL124" s="112" t="n"/>
      <c r="AM124" s="111">
        <f>(O124-AG124)+AJ124</f>
        <v/>
      </c>
      <c r="AN124" s="112">
        <f>(P124-AH124)+AK124</f>
        <v/>
      </c>
      <c r="AO124" s="112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13" t="n"/>
      <c r="D125" s="114" t="n"/>
      <c r="E125" s="114" t="n"/>
      <c r="F125" s="113" t="n"/>
      <c r="G125" s="114" t="n"/>
      <c r="H125" s="114" t="n"/>
      <c r="I125" s="113" t="n"/>
      <c r="J125" s="114" t="n"/>
      <c r="K125" s="114" t="n"/>
      <c r="L125" s="113" t="n"/>
      <c r="M125" s="114" t="n"/>
      <c r="N125" s="114" t="n"/>
      <c r="O125" s="113">
        <f>L125+I125+F125+C125</f>
        <v/>
      </c>
      <c r="P125" s="114">
        <f>M125+J125+G125+D125</f>
        <v/>
      </c>
      <c r="Q125" s="114">
        <f>N125+K125+H125+E125</f>
        <v/>
      </c>
      <c r="R125" s="113">
        <f>SUMIFS('PO Log'!$E:$E,'PO Log'!$D:$D,'Category Table'!R$2,'PO Log'!$C:$C,'Category Table'!$A125)</f>
        <v/>
      </c>
      <c r="S125" s="114">
        <f>SUMIFS('PO Log'!$E:$E,'PO Log'!$D:$D,'Category Table'!S$2,'PO Log'!$C:$C,'Category Table'!$A125)</f>
        <v/>
      </c>
      <c r="T125" s="114">
        <f>SUMIFS('PO Log'!$E:$E,'PO Log'!$D:$D,'Category Table'!T$2,'PO Log'!$C:$C,'Category Table'!$A125)</f>
        <v/>
      </c>
      <c r="U125" s="113">
        <f>SUMIFS('Committments Dump'!$Q:$Q,'Committments Dump'!$C:$C,'Category Table'!U$2,'Committments Dump'!$B:$B,'Category Table'!$A125)</f>
        <v/>
      </c>
      <c r="V125" s="114">
        <f>SUMIFS('Committments Dump'!$Q:$Q,'Committments Dump'!$C:$C,'Category Table'!V$2,'Committments Dump'!$B:$B,'Category Table'!$A125)</f>
        <v/>
      </c>
      <c r="W125" s="114">
        <f>SUMIFS('Committments Dump'!$Q:$Q,'Committments Dump'!$C:$C,'Category Table'!W$2,'Committments Dump'!$B:$B,'Category Table'!$A125)</f>
        <v/>
      </c>
      <c r="X125" s="113">
        <f>SUMIFS('Committments Dump'!$R:$R,'Committments Dump'!$C:$C,'Category Table'!X$2,'Committments Dump'!$B:$B,'Category Table'!$A125)</f>
        <v/>
      </c>
      <c r="Y125" s="114">
        <f>SUMIFS('Committments Dump'!$R:$R,'Committments Dump'!$C:$C,'Category Table'!Y$2,'Committments Dump'!$B:$B,'Category Table'!$A125)</f>
        <v/>
      </c>
      <c r="Z125" s="114">
        <f>SUMIFS('Committments Dump'!$R:$R,'Committments Dump'!$C:$C,'Category Table'!Z$2,'Committments Dump'!$B:$B,'Category Table'!$A125)</f>
        <v/>
      </c>
      <c r="AA125" s="113">
        <f>SUMIFS('Committments Dump'!$S:$S,'Committments Dump'!$C:$C,'Category Table'!AA$2,'Committments Dump'!$B:$B,'Category Table'!$A125)</f>
        <v/>
      </c>
      <c r="AB125" s="114">
        <f>SUMIFS('Committments Dump'!$S:$S,'Committments Dump'!$C:$C,'Category Table'!AB$2,'Committments Dump'!$B:$B,'Category Table'!$A125)</f>
        <v/>
      </c>
      <c r="AC125" s="114">
        <f>SUMIFS('Committments Dump'!$S:$S,'Committments Dump'!$C:$C,'Category Table'!AC$2,'Committments Dump'!$B:$B,'Category Table'!$A125)</f>
        <v/>
      </c>
      <c r="AD125" s="113">
        <f>U125+X125+AA125</f>
        <v/>
      </c>
      <c r="AE125" s="114">
        <f>V125+Y125+AB125</f>
        <v/>
      </c>
      <c r="AF125" s="114">
        <f>W125+Z125+AC125</f>
        <v/>
      </c>
      <c r="AG125" s="113">
        <f>R125+AD125</f>
        <v/>
      </c>
      <c r="AH125" s="114">
        <f>S125+AE125</f>
        <v/>
      </c>
      <c r="AI125" s="114">
        <f>T125+AF125</f>
        <v/>
      </c>
      <c r="AJ125" s="113" t="n"/>
      <c r="AK125" s="114" t="n"/>
      <c r="AL125" s="114" t="n"/>
      <c r="AM125" s="113">
        <f>(O125-AG125)+AJ125</f>
        <v/>
      </c>
      <c r="AN125" s="114">
        <f>(P125-AH125)+AK125</f>
        <v/>
      </c>
      <c r="AO125" s="114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11" t="n"/>
      <c r="D126" s="112" t="n"/>
      <c r="E126" s="112" t="n"/>
      <c r="F126" s="111" t="n"/>
      <c r="G126" s="112" t="n"/>
      <c r="H126" s="112" t="n"/>
      <c r="I126" s="111" t="n"/>
      <c r="J126" s="112" t="n"/>
      <c r="K126" s="112" t="n"/>
      <c r="L126" s="111" t="n"/>
      <c r="M126" s="112" t="n"/>
      <c r="N126" s="112" t="n"/>
      <c r="O126" s="111">
        <f>L126+I126+F126+C126</f>
        <v/>
      </c>
      <c r="P126" s="112">
        <f>M126+J126+G126+D126</f>
        <v/>
      </c>
      <c r="Q126" s="112">
        <f>N126+K126+H126+E126</f>
        <v/>
      </c>
      <c r="R126" s="111">
        <f>SUMIFS('PO Log'!$E:$E,'PO Log'!$D:$D,'Category Table'!R$2,'PO Log'!$C:$C,'Category Table'!$A126)</f>
        <v/>
      </c>
      <c r="S126" s="112">
        <f>SUMIFS('PO Log'!$E:$E,'PO Log'!$D:$D,'Category Table'!S$2,'PO Log'!$C:$C,'Category Table'!$A126)</f>
        <v/>
      </c>
      <c r="T126" s="112">
        <f>SUMIFS('PO Log'!$E:$E,'PO Log'!$D:$D,'Category Table'!T$2,'PO Log'!$C:$C,'Category Table'!$A126)</f>
        <v/>
      </c>
      <c r="U126" s="111">
        <f>SUMIFS('Committments Dump'!$Q:$Q,'Committments Dump'!$C:$C,'Category Table'!U$2,'Committments Dump'!$B:$B,'Category Table'!$A126)</f>
        <v/>
      </c>
      <c r="V126" s="112">
        <f>SUMIFS('Committments Dump'!$Q:$Q,'Committments Dump'!$C:$C,'Category Table'!V$2,'Committments Dump'!$B:$B,'Category Table'!$A126)</f>
        <v/>
      </c>
      <c r="W126" s="112">
        <f>SUMIFS('Committments Dump'!$Q:$Q,'Committments Dump'!$C:$C,'Category Table'!W$2,'Committments Dump'!$B:$B,'Category Table'!$A126)</f>
        <v/>
      </c>
      <c r="X126" s="111">
        <f>SUMIFS('Committments Dump'!$R:$R,'Committments Dump'!$C:$C,'Category Table'!X$2,'Committments Dump'!$B:$B,'Category Table'!$A126)</f>
        <v/>
      </c>
      <c r="Y126" s="112">
        <f>SUMIFS('Committments Dump'!$R:$R,'Committments Dump'!$C:$C,'Category Table'!Y$2,'Committments Dump'!$B:$B,'Category Table'!$A126)</f>
        <v/>
      </c>
      <c r="Z126" s="112">
        <f>SUMIFS('Committments Dump'!$R:$R,'Committments Dump'!$C:$C,'Category Table'!Z$2,'Committments Dump'!$B:$B,'Category Table'!$A126)</f>
        <v/>
      </c>
      <c r="AA126" s="111">
        <f>SUMIFS('Committments Dump'!$S:$S,'Committments Dump'!$C:$C,'Category Table'!AA$2,'Committments Dump'!$B:$B,'Category Table'!$A126)</f>
        <v/>
      </c>
      <c r="AB126" s="112">
        <f>SUMIFS('Committments Dump'!$S:$S,'Committments Dump'!$C:$C,'Category Table'!AB$2,'Committments Dump'!$B:$B,'Category Table'!$A126)</f>
        <v/>
      </c>
      <c r="AC126" s="112">
        <f>SUMIFS('Committments Dump'!$S:$S,'Committments Dump'!$C:$C,'Category Table'!AC$2,'Committments Dump'!$B:$B,'Category Table'!$A126)</f>
        <v/>
      </c>
      <c r="AD126" s="111">
        <f>U126+X126+AA126</f>
        <v/>
      </c>
      <c r="AE126" s="112">
        <f>V126+Y126+AB126</f>
        <v/>
      </c>
      <c r="AF126" s="112">
        <f>W126+Z126+AC126</f>
        <v/>
      </c>
      <c r="AG126" s="111">
        <f>R126+AD126</f>
        <v/>
      </c>
      <c r="AH126" s="112">
        <f>S126+AE126</f>
        <v/>
      </c>
      <c r="AI126" s="112">
        <f>T126+AF126</f>
        <v/>
      </c>
      <c r="AJ126" s="111" t="n"/>
      <c r="AK126" s="112" t="n"/>
      <c r="AL126" s="112" t="n"/>
      <c r="AM126" s="111">
        <f>(O126-AG126)+AJ126</f>
        <v/>
      </c>
      <c r="AN126" s="112">
        <f>(P126-AH126)+AK126</f>
        <v/>
      </c>
      <c r="AO126" s="112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13" t="n"/>
      <c r="D127" s="114" t="n"/>
      <c r="E127" s="114" t="n"/>
      <c r="F127" s="113" t="n"/>
      <c r="G127" s="114" t="n"/>
      <c r="H127" s="114" t="n"/>
      <c r="I127" s="113" t="n"/>
      <c r="J127" s="114" t="n"/>
      <c r="K127" s="114" t="n"/>
      <c r="L127" s="113" t="n"/>
      <c r="M127" s="114" t="n"/>
      <c r="N127" s="114" t="n"/>
      <c r="O127" s="113">
        <f>L127+I127+F127+C127</f>
        <v/>
      </c>
      <c r="P127" s="114">
        <f>M127+J127+G127+D127</f>
        <v/>
      </c>
      <c r="Q127" s="114">
        <f>N127+K127+H127+E127</f>
        <v/>
      </c>
      <c r="R127" s="113">
        <f>SUMIFS('PO Log'!$E:$E,'PO Log'!$D:$D,'Category Table'!R$2,'PO Log'!$C:$C,'Category Table'!$A127)</f>
        <v/>
      </c>
      <c r="S127" s="114">
        <f>SUMIFS('PO Log'!$E:$E,'PO Log'!$D:$D,'Category Table'!S$2,'PO Log'!$C:$C,'Category Table'!$A127)</f>
        <v/>
      </c>
      <c r="T127" s="114">
        <f>SUMIFS('PO Log'!$E:$E,'PO Log'!$D:$D,'Category Table'!T$2,'PO Log'!$C:$C,'Category Table'!$A127)</f>
        <v/>
      </c>
      <c r="U127" s="113">
        <f>SUMIFS('Committments Dump'!$Q:$Q,'Committments Dump'!$C:$C,'Category Table'!U$2,'Committments Dump'!$B:$B,'Category Table'!$A127)</f>
        <v/>
      </c>
      <c r="V127" s="114">
        <f>SUMIFS('Committments Dump'!$Q:$Q,'Committments Dump'!$C:$C,'Category Table'!V$2,'Committments Dump'!$B:$B,'Category Table'!$A127)</f>
        <v/>
      </c>
      <c r="W127" s="114">
        <f>SUMIFS('Committments Dump'!$Q:$Q,'Committments Dump'!$C:$C,'Category Table'!W$2,'Committments Dump'!$B:$B,'Category Table'!$A127)</f>
        <v/>
      </c>
      <c r="X127" s="113">
        <f>SUMIFS('Committments Dump'!$R:$R,'Committments Dump'!$C:$C,'Category Table'!X$2,'Committments Dump'!$B:$B,'Category Table'!$A127)</f>
        <v/>
      </c>
      <c r="Y127" s="114">
        <f>SUMIFS('Committments Dump'!$R:$R,'Committments Dump'!$C:$C,'Category Table'!Y$2,'Committments Dump'!$B:$B,'Category Table'!$A127)</f>
        <v/>
      </c>
      <c r="Z127" s="114">
        <f>SUMIFS('Committments Dump'!$R:$R,'Committments Dump'!$C:$C,'Category Table'!Z$2,'Committments Dump'!$B:$B,'Category Table'!$A127)</f>
        <v/>
      </c>
      <c r="AA127" s="113">
        <f>SUMIFS('Committments Dump'!$S:$S,'Committments Dump'!$C:$C,'Category Table'!AA$2,'Committments Dump'!$B:$B,'Category Table'!$A127)</f>
        <v/>
      </c>
      <c r="AB127" s="114">
        <f>SUMIFS('Committments Dump'!$S:$S,'Committments Dump'!$C:$C,'Category Table'!AB$2,'Committments Dump'!$B:$B,'Category Table'!$A127)</f>
        <v/>
      </c>
      <c r="AC127" s="114">
        <f>SUMIFS('Committments Dump'!$S:$S,'Committments Dump'!$C:$C,'Category Table'!AC$2,'Committments Dump'!$B:$B,'Category Table'!$A127)</f>
        <v/>
      </c>
      <c r="AD127" s="113">
        <f>U127+X127+AA127</f>
        <v/>
      </c>
      <c r="AE127" s="114">
        <f>V127+Y127+AB127</f>
        <v/>
      </c>
      <c r="AF127" s="114">
        <f>W127+Z127+AC127</f>
        <v/>
      </c>
      <c r="AG127" s="113">
        <f>R127+AD127</f>
        <v/>
      </c>
      <c r="AH127" s="114">
        <f>S127+AE127</f>
        <v/>
      </c>
      <c r="AI127" s="114">
        <f>T127+AF127</f>
        <v/>
      </c>
      <c r="AJ127" s="113" t="n"/>
      <c r="AK127" s="114" t="n"/>
      <c r="AL127" s="114" t="n"/>
      <c r="AM127" s="113">
        <f>(O127-AG127)+AJ127</f>
        <v/>
      </c>
      <c r="AN127" s="114">
        <f>(P127-AH127)+AK127</f>
        <v/>
      </c>
      <c r="AO127" s="114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11" t="n"/>
      <c r="D128" s="112" t="n"/>
      <c r="E128" s="112" t="n"/>
      <c r="F128" s="111" t="n"/>
      <c r="G128" s="112" t="n"/>
      <c r="H128" s="112" t="n"/>
      <c r="I128" s="111" t="n"/>
      <c r="J128" s="112" t="n"/>
      <c r="K128" s="112" t="n"/>
      <c r="L128" s="111" t="n"/>
      <c r="M128" s="112" t="n"/>
      <c r="N128" s="112" t="n"/>
      <c r="O128" s="111">
        <f>L128+I128+F128+C128</f>
        <v/>
      </c>
      <c r="P128" s="112">
        <f>M128+J128+G128+D128</f>
        <v/>
      </c>
      <c r="Q128" s="112">
        <f>N128+K128+H128+E128</f>
        <v/>
      </c>
      <c r="R128" s="111">
        <f>SUMIFS('PO Log'!$E:$E,'PO Log'!$D:$D,'Category Table'!R$2,'PO Log'!$C:$C,'Category Table'!$A128)</f>
        <v/>
      </c>
      <c r="S128" s="112">
        <f>SUMIFS('PO Log'!$E:$E,'PO Log'!$D:$D,'Category Table'!S$2,'PO Log'!$C:$C,'Category Table'!$A128)</f>
        <v/>
      </c>
      <c r="T128" s="112">
        <f>SUMIFS('PO Log'!$E:$E,'PO Log'!$D:$D,'Category Table'!T$2,'PO Log'!$C:$C,'Category Table'!$A128)</f>
        <v/>
      </c>
      <c r="U128" s="111">
        <f>SUMIFS('Committments Dump'!$Q:$Q,'Committments Dump'!$C:$C,'Category Table'!U$2,'Committments Dump'!$B:$B,'Category Table'!$A128)</f>
        <v/>
      </c>
      <c r="V128" s="112">
        <f>SUMIFS('Committments Dump'!$Q:$Q,'Committments Dump'!$C:$C,'Category Table'!V$2,'Committments Dump'!$B:$B,'Category Table'!$A128)</f>
        <v/>
      </c>
      <c r="W128" s="112">
        <f>SUMIFS('Committments Dump'!$Q:$Q,'Committments Dump'!$C:$C,'Category Table'!W$2,'Committments Dump'!$B:$B,'Category Table'!$A128)</f>
        <v/>
      </c>
      <c r="X128" s="111">
        <f>SUMIFS('Committments Dump'!$R:$R,'Committments Dump'!$C:$C,'Category Table'!X$2,'Committments Dump'!$B:$B,'Category Table'!$A128)</f>
        <v/>
      </c>
      <c r="Y128" s="112">
        <f>SUMIFS('Committments Dump'!$R:$R,'Committments Dump'!$C:$C,'Category Table'!Y$2,'Committments Dump'!$B:$B,'Category Table'!$A128)</f>
        <v/>
      </c>
      <c r="Z128" s="112">
        <f>SUMIFS('Committments Dump'!$R:$R,'Committments Dump'!$C:$C,'Category Table'!Z$2,'Committments Dump'!$B:$B,'Category Table'!$A128)</f>
        <v/>
      </c>
      <c r="AA128" s="111">
        <f>SUMIFS('Committments Dump'!$S:$S,'Committments Dump'!$C:$C,'Category Table'!AA$2,'Committments Dump'!$B:$B,'Category Table'!$A128)</f>
        <v/>
      </c>
      <c r="AB128" s="112">
        <f>SUMIFS('Committments Dump'!$S:$S,'Committments Dump'!$C:$C,'Category Table'!AB$2,'Committments Dump'!$B:$B,'Category Table'!$A128)</f>
        <v/>
      </c>
      <c r="AC128" s="112">
        <f>SUMIFS('Committments Dump'!$S:$S,'Committments Dump'!$C:$C,'Category Table'!AC$2,'Committments Dump'!$B:$B,'Category Table'!$A128)</f>
        <v/>
      </c>
      <c r="AD128" s="111">
        <f>U128+X128+AA128</f>
        <v/>
      </c>
      <c r="AE128" s="112">
        <f>V128+Y128+AB128</f>
        <v/>
      </c>
      <c r="AF128" s="112">
        <f>W128+Z128+AC128</f>
        <v/>
      </c>
      <c r="AG128" s="111">
        <f>R128+AD128</f>
        <v/>
      </c>
      <c r="AH128" s="112">
        <f>S128+AE128</f>
        <v/>
      </c>
      <c r="AI128" s="112">
        <f>T128+AF128</f>
        <v/>
      </c>
      <c r="AJ128" s="111" t="n"/>
      <c r="AK128" s="112" t="n"/>
      <c r="AL128" s="112" t="n"/>
      <c r="AM128" s="111">
        <f>(O128-AG128)+AJ128</f>
        <v/>
      </c>
      <c r="AN128" s="112">
        <f>(P128-AH128)+AK128</f>
        <v/>
      </c>
      <c r="AO128" s="112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13" t="n"/>
      <c r="D129" s="114" t="n"/>
      <c r="E129" s="114" t="n"/>
      <c r="F129" s="113" t="n"/>
      <c r="G129" s="114" t="n"/>
      <c r="H129" s="114" t="n"/>
      <c r="I129" s="113" t="n"/>
      <c r="J129" s="114" t="n"/>
      <c r="K129" s="114" t="n"/>
      <c r="L129" s="113" t="n"/>
      <c r="M129" s="114" t="n"/>
      <c r="N129" s="114" t="n"/>
      <c r="O129" s="113">
        <f>L129+I129+F129+C129</f>
        <v/>
      </c>
      <c r="P129" s="114">
        <f>M129+J129+G129+D129</f>
        <v/>
      </c>
      <c r="Q129" s="114">
        <f>N129+K129+H129+E129</f>
        <v/>
      </c>
      <c r="R129" s="113">
        <f>SUMIFS('PO Log'!$E:$E,'PO Log'!$D:$D,'Category Table'!R$2,'PO Log'!$C:$C,'Category Table'!$A129)</f>
        <v/>
      </c>
      <c r="S129" s="114">
        <f>SUMIFS('PO Log'!$E:$E,'PO Log'!$D:$D,'Category Table'!S$2,'PO Log'!$C:$C,'Category Table'!$A129)</f>
        <v/>
      </c>
      <c r="T129" s="114">
        <f>SUMIFS('PO Log'!$E:$E,'PO Log'!$D:$D,'Category Table'!T$2,'PO Log'!$C:$C,'Category Table'!$A129)</f>
        <v/>
      </c>
      <c r="U129" s="113">
        <f>SUMIFS('Committments Dump'!$Q:$Q,'Committments Dump'!$C:$C,'Category Table'!U$2,'Committments Dump'!$B:$B,'Category Table'!$A129)</f>
        <v/>
      </c>
      <c r="V129" s="114">
        <f>SUMIFS('Committments Dump'!$Q:$Q,'Committments Dump'!$C:$C,'Category Table'!V$2,'Committments Dump'!$B:$B,'Category Table'!$A129)</f>
        <v/>
      </c>
      <c r="W129" s="114">
        <f>SUMIFS('Committments Dump'!$Q:$Q,'Committments Dump'!$C:$C,'Category Table'!W$2,'Committments Dump'!$B:$B,'Category Table'!$A129)</f>
        <v/>
      </c>
      <c r="X129" s="113">
        <f>SUMIFS('Committments Dump'!$R:$R,'Committments Dump'!$C:$C,'Category Table'!X$2,'Committments Dump'!$B:$B,'Category Table'!$A129)</f>
        <v/>
      </c>
      <c r="Y129" s="114">
        <f>SUMIFS('Committments Dump'!$R:$R,'Committments Dump'!$C:$C,'Category Table'!Y$2,'Committments Dump'!$B:$B,'Category Table'!$A129)</f>
        <v/>
      </c>
      <c r="Z129" s="114">
        <f>SUMIFS('Committments Dump'!$R:$R,'Committments Dump'!$C:$C,'Category Table'!Z$2,'Committments Dump'!$B:$B,'Category Table'!$A129)</f>
        <v/>
      </c>
      <c r="AA129" s="113">
        <f>SUMIFS('Committments Dump'!$S:$S,'Committments Dump'!$C:$C,'Category Table'!AA$2,'Committments Dump'!$B:$B,'Category Table'!$A129)</f>
        <v/>
      </c>
      <c r="AB129" s="114">
        <f>SUMIFS('Committments Dump'!$S:$S,'Committments Dump'!$C:$C,'Category Table'!AB$2,'Committments Dump'!$B:$B,'Category Table'!$A129)</f>
        <v/>
      </c>
      <c r="AC129" s="114">
        <f>SUMIFS('Committments Dump'!$S:$S,'Committments Dump'!$C:$C,'Category Table'!AC$2,'Committments Dump'!$B:$B,'Category Table'!$A129)</f>
        <v/>
      </c>
      <c r="AD129" s="113">
        <f>U129+X129+AA129</f>
        <v/>
      </c>
      <c r="AE129" s="114">
        <f>V129+Y129+AB129</f>
        <v/>
      </c>
      <c r="AF129" s="114">
        <f>W129+Z129+AC129</f>
        <v/>
      </c>
      <c r="AG129" s="113">
        <f>R129+AD129</f>
        <v/>
      </c>
      <c r="AH129" s="114">
        <f>S129+AE129</f>
        <v/>
      </c>
      <c r="AI129" s="114">
        <f>T129+AF129</f>
        <v/>
      </c>
      <c r="AJ129" s="113" t="n"/>
      <c r="AK129" s="114" t="n"/>
      <c r="AL129" s="114" t="n"/>
      <c r="AM129" s="113">
        <f>(O129-AG129)+AJ129</f>
        <v/>
      </c>
      <c r="AN129" s="114">
        <f>(P129-AH129)+AK129</f>
        <v/>
      </c>
      <c r="AO129" s="114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11" t="n"/>
      <c r="D130" s="112" t="n"/>
      <c r="E130" s="112" t="n"/>
      <c r="F130" s="111" t="n"/>
      <c r="G130" s="112" t="n"/>
      <c r="H130" s="112" t="n"/>
      <c r="I130" s="111" t="n"/>
      <c r="J130" s="112" t="n"/>
      <c r="K130" s="112" t="n"/>
      <c r="L130" s="111" t="n"/>
      <c r="M130" s="112" t="n"/>
      <c r="N130" s="112" t="n"/>
      <c r="O130" s="111">
        <f>L130+I130+F130+C130</f>
        <v/>
      </c>
      <c r="P130" s="112">
        <f>M130+J130+G130+D130</f>
        <v/>
      </c>
      <c r="Q130" s="112">
        <f>N130+K130+H130+E130</f>
        <v/>
      </c>
      <c r="R130" s="111">
        <f>SUMIFS('PO Log'!$E:$E,'PO Log'!$D:$D,'Category Table'!R$2,'PO Log'!$C:$C,'Category Table'!$A130)</f>
        <v/>
      </c>
      <c r="S130" s="112">
        <f>SUMIFS('PO Log'!$E:$E,'PO Log'!$D:$D,'Category Table'!S$2,'PO Log'!$C:$C,'Category Table'!$A130)</f>
        <v/>
      </c>
      <c r="T130" s="112">
        <f>SUMIFS('PO Log'!$E:$E,'PO Log'!$D:$D,'Category Table'!T$2,'PO Log'!$C:$C,'Category Table'!$A130)</f>
        <v/>
      </c>
      <c r="U130" s="111">
        <f>SUMIFS('Committments Dump'!$Q:$Q,'Committments Dump'!$C:$C,'Category Table'!U$2,'Committments Dump'!$B:$B,'Category Table'!$A130)</f>
        <v/>
      </c>
      <c r="V130" s="112">
        <f>SUMIFS('Committments Dump'!$Q:$Q,'Committments Dump'!$C:$C,'Category Table'!V$2,'Committments Dump'!$B:$B,'Category Table'!$A130)</f>
        <v/>
      </c>
      <c r="W130" s="112">
        <f>SUMIFS('Committments Dump'!$Q:$Q,'Committments Dump'!$C:$C,'Category Table'!W$2,'Committments Dump'!$B:$B,'Category Table'!$A130)</f>
        <v/>
      </c>
      <c r="X130" s="111">
        <f>SUMIFS('Committments Dump'!$R:$R,'Committments Dump'!$C:$C,'Category Table'!X$2,'Committments Dump'!$B:$B,'Category Table'!$A130)</f>
        <v/>
      </c>
      <c r="Y130" s="112">
        <f>SUMIFS('Committments Dump'!$R:$R,'Committments Dump'!$C:$C,'Category Table'!Y$2,'Committments Dump'!$B:$B,'Category Table'!$A130)</f>
        <v/>
      </c>
      <c r="Z130" s="112">
        <f>SUMIFS('Committments Dump'!$R:$R,'Committments Dump'!$C:$C,'Category Table'!Z$2,'Committments Dump'!$B:$B,'Category Table'!$A130)</f>
        <v/>
      </c>
      <c r="AA130" s="111">
        <f>SUMIFS('Committments Dump'!$S:$S,'Committments Dump'!$C:$C,'Category Table'!AA$2,'Committments Dump'!$B:$B,'Category Table'!$A130)</f>
        <v/>
      </c>
      <c r="AB130" s="112">
        <f>SUMIFS('Committments Dump'!$S:$S,'Committments Dump'!$C:$C,'Category Table'!AB$2,'Committments Dump'!$B:$B,'Category Table'!$A130)</f>
        <v/>
      </c>
      <c r="AC130" s="112">
        <f>SUMIFS('Committments Dump'!$S:$S,'Committments Dump'!$C:$C,'Category Table'!AC$2,'Committments Dump'!$B:$B,'Category Table'!$A130)</f>
        <v/>
      </c>
      <c r="AD130" s="111">
        <f>U130+X130+AA130</f>
        <v/>
      </c>
      <c r="AE130" s="112">
        <f>V130+Y130+AB130</f>
        <v/>
      </c>
      <c r="AF130" s="112">
        <f>W130+Z130+AC130</f>
        <v/>
      </c>
      <c r="AG130" s="111">
        <f>R130+AD130</f>
        <v/>
      </c>
      <c r="AH130" s="112">
        <f>S130+AE130</f>
        <v/>
      </c>
      <c r="AI130" s="112">
        <f>T130+AF130</f>
        <v/>
      </c>
      <c r="AJ130" s="111" t="n"/>
      <c r="AK130" s="112" t="n"/>
      <c r="AL130" s="112" t="n"/>
      <c r="AM130" s="111">
        <f>(O130-AG130)+AJ130</f>
        <v/>
      </c>
      <c r="AN130" s="112">
        <f>(P130-AH130)+AK130</f>
        <v/>
      </c>
      <c r="AO130" s="112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13" t="n"/>
      <c r="D131" s="114" t="n"/>
      <c r="E131" s="114" t="n"/>
      <c r="F131" s="113" t="n"/>
      <c r="G131" s="114" t="n"/>
      <c r="H131" s="114" t="n"/>
      <c r="I131" s="113" t="n"/>
      <c r="J131" s="114" t="n"/>
      <c r="K131" s="114" t="n"/>
      <c r="L131" s="113" t="n"/>
      <c r="M131" s="114" t="n"/>
      <c r="N131" s="114" t="n"/>
      <c r="O131" s="113">
        <f>L131+I131+F131+C131</f>
        <v/>
      </c>
      <c r="P131" s="114">
        <f>M131+J131+G131+D131</f>
        <v/>
      </c>
      <c r="Q131" s="114">
        <f>N131+K131+H131+E131</f>
        <v/>
      </c>
      <c r="R131" s="113">
        <f>SUMIFS('PO Log'!$E:$E,'PO Log'!$D:$D,'Category Table'!R$2,'PO Log'!$C:$C,'Category Table'!$A131)</f>
        <v/>
      </c>
      <c r="S131" s="114">
        <f>SUMIFS('PO Log'!$E:$E,'PO Log'!$D:$D,'Category Table'!S$2,'PO Log'!$C:$C,'Category Table'!$A131)</f>
        <v/>
      </c>
      <c r="T131" s="114">
        <f>SUMIFS('PO Log'!$E:$E,'PO Log'!$D:$D,'Category Table'!T$2,'PO Log'!$C:$C,'Category Table'!$A131)</f>
        <v/>
      </c>
      <c r="U131" s="113">
        <f>SUMIFS('Committments Dump'!$Q:$Q,'Committments Dump'!$C:$C,'Category Table'!U$2,'Committments Dump'!$B:$B,'Category Table'!$A131)</f>
        <v/>
      </c>
      <c r="V131" s="114">
        <f>SUMIFS('Committments Dump'!$Q:$Q,'Committments Dump'!$C:$C,'Category Table'!V$2,'Committments Dump'!$B:$B,'Category Table'!$A131)</f>
        <v/>
      </c>
      <c r="W131" s="114">
        <f>SUMIFS('Committments Dump'!$Q:$Q,'Committments Dump'!$C:$C,'Category Table'!W$2,'Committments Dump'!$B:$B,'Category Table'!$A131)</f>
        <v/>
      </c>
      <c r="X131" s="113">
        <f>SUMIFS('Committments Dump'!$R:$R,'Committments Dump'!$C:$C,'Category Table'!X$2,'Committments Dump'!$B:$B,'Category Table'!$A131)</f>
        <v/>
      </c>
      <c r="Y131" s="114">
        <f>SUMIFS('Committments Dump'!$R:$R,'Committments Dump'!$C:$C,'Category Table'!Y$2,'Committments Dump'!$B:$B,'Category Table'!$A131)</f>
        <v/>
      </c>
      <c r="Z131" s="114">
        <f>SUMIFS('Committments Dump'!$R:$R,'Committments Dump'!$C:$C,'Category Table'!Z$2,'Committments Dump'!$B:$B,'Category Table'!$A131)</f>
        <v/>
      </c>
      <c r="AA131" s="113">
        <f>SUMIFS('Committments Dump'!$S:$S,'Committments Dump'!$C:$C,'Category Table'!AA$2,'Committments Dump'!$B:$B,'Category Table'!$A131)</f>
        <v/>
      </c>
      <c r="AB131" s="114">
        <f>SUMIFS('Committments Dump'!$S:$S,'Committments Dump'!$C:$C,'Category Table'!AB$2,'Committments Dump'!$B:$B,'Category Table'!$A131)</f>
        <v/>
      </c>
      <c r="AC131" s="114">
        <f>SUMIFS('Committments Dump'!$S:$S,'Committments Dump'!$C:$C,'Category Table'!AC$2,'Committments Dump'!$B:$B,'Category Table'!$A131)</f>
        <v/>
      </c>
      <c r="AD131" s="113">
        <f>U131+X131+AA131</f>
        <v/>
      </c>
      <c r="AE131" s="114">
        <f>V131+Y131+AB131</f>
        <v/>
      </c>
      <c r="AF131" s="114">
        <f>W131+Z131+AC131</f>
        <v/>
      </c>
      <c r="AG131" s="113">
        <f>R131+AD131</f>
        <v/>
      </c>
      <c r="AH131" s="114">
        <f>S131+AE131</f>
        <v/>
      </c>
      <c r="AI131" s="114">
        <f>T131+AF131</f>
        <v/>
      </c>
      <c r="AJ131" s="113" t="n"/>
      <c r="AK131" s="114" t="n"/>
      <c r="AL131" s="114" t="n"/>
      <c r="AM131" s="113">
        <f>(O131-AG131)+AJ131</f>
        <v/>
      </c>
      <c r="AN131" s="114">
        <f>(P131-AH131)+AK131</f>
        <v/>
      </c>
      <c r="AO131" s="114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11" t="n"/>
      <c r="D132" s="112" t="n"/>
      <c r="E132" s="112" t="n"/>
      <c r="F132" s="111" t="n"/>
      <c r="G132" s="112" t="n"/>
      <c r="H132" s="112" t="n"/>
      <c r="I132" s="111" t="n"/>
      <c r="J132" s="112" t="n"/>
      <c r="K132" s="112" t="n"/>
      <c r="L132" s="111" t="n"/>
      <c r="M132" s="112" t="n"/>
      <c r="N132" s="112" t="n"/>
      <c r="O132" s="111">
        <f>L132+I132+F132+C132</f>
        <v/>
      </c>
      <c r="P132" s="112">
        <f>M132+J132+G132+D132</f>
        <v/>
      </c>
      <c r="Q132" s="112">
        <f>N132+K132+H132+E132</f>
        <v/>
      </c>
      <c r="R132" s="111">
        <f>SUMIFS('PO Log'!$E:$E,'PO Log'!$D:$D,'Category Table'!R$2,'PO Log'!$C:$C,'Category Table'!$A132)</f>
        <v/>
      </c>
      <c r="S132" s="112">
        <f>SUMIFS('PO Log'!$E:$E,'PO Log'!$D:$D,'Category Table'!S$2,'PO Log'!$C:$C,'Category Table'!$A132)</f>
        <v/>
      </c>
      <c r="T132" s="112">
        <f>SUMIFS('PO Log'!$E:$E,'PO Log'!$D:$D,'Category Table'!T$2,'PO Log'!$C:$C,'Category Table'!$A132)</f>
        <v/>
      </c>
      <c r="U132" s="111">
        <f>SUMIFS('Committments Dump'!$Q:$Q,'Committments Dump'!$C:$C,'Category Table'!U$2,'Committments Dump'!$B:$B,'Category Table'!$A132)</f>
        <v/>
      </c>
      <c r="V132" s="112">
        <f>SUMIFS('Committments Dump'!$Q:$Q,'Committments Dump'!$C:$C,'Category Table'!V$2,'Committments Dump'!$B:$B,'Category Table'!$A132)</f>
        <v/>
      </c>
      <c r="W132" s="112">
        <f>SUMIFS('Committments Dump'!$Q:$Q,'Committments Dump'!$C:$C,'Category Table'!W$2,'Committments Dump'!$B:$B,'Category Table'!$A132)</f>
        <v/>
      </c>
      <c r="X132" s="111">
        <f>SUMIFS('Committments Dump'!$R:$R,'Committments Dump'!$C:$C,'Category Table'!X$2,'Committments Dump'!$B:$B,'Category Table'!$A132)</f>
        <v/>
      </c>
      <c r="Y132" s="112">
        <f>SUMIFS('Committments Dump'!$R:$R,'Committments Dump'!$C:$C,'Category Table'!Y$2,'Committments Dump'!$B:$B,'Category Table'!$A132)</f>
        <v/>
      </c>
      <c r="Z132" s="112">
        <f>SUMIFS('Committments Dump'!$R:$R,'Committments Dump'!$C:$C,'Category Table'!Z$2,'Committments Dump'!$B:$B,'Category Table'!$A132)</f>
        <v/>
      </c>
      <c r="AA132" s="111">
        <f>SUMIFS('Committments Dump'!$S:$S,'Committments Dump'!$C:$C,'Category Table'!AA$2,'Committments Dump'!$B:$B,'Category Table'!$A132)</f>
        <v/>
      </c>
      <c r="AB132" s="112">
        <f>SUMIFS('Committments Dump'!$S:$S,'Committments Dump'!$C:$C,'Category Table'!AB$2,'Committments Dump'!$B:$B,'Category Table'!$A132)</f>
        <v/>
      </c>
      <c r="AC132" s="112">
        <f>SUMIFS('Committments Dump'!$S:$S,'Committments Dump'!$C:$C,'Category Table'!AC$2,'Committments Dump'!$B:$B,'Category Table'!$A132)</f>
        <v/>
      </c>
      <c r="AD132" s="111">
        <f>U132+X132+AA132</f>
        <v/>
      </c>
      <c r="AE132" s="112">
        <f>V132+Y132+AB132</f>
        <v/>
      </c>
      <c r="AF132" s="112">
        <f>W132+Z132+AC132</f>
        <v/>
      </c>
      <c r="AG132" s="111">
        <f>R132+AD132</f>
        <v/>
      </c>
      <c r="AH132" s="112">
        <f>S132+AE132</f>
        <v/>
      </c>
      <c r="AI132" s="112">
        <f>T132+AF132</f>
        <v/>
      </c>
      <c r="AJ132" s="111" t="n"/>
      <c r="AK132" s="112" t="n"/>
      <c r="AL132" s="112" t="n"/>
      <c r="AM132" s="111">
        <f>(O132-AG132)+AJ132</f>
        <v/>
      </c>
      <c r="AN132" s="112">
        <f>(P132-AH132)+AK132</f>
        <v/>
      </c>
      <c r="AO132" s="112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13" t="n"/>
      <c r="D133" s="114" t="n"/>
      <c r="E133" s="114" t="n"/>
      <c r="F133" s="113" t="n"/>
      <c r="G133" s="114" t="n"/>
      <c r="H133" s="114" t="n"/>
      <c r="I133" s="113" t="n"/>
      <c r="J133" s="114" t="n"/>
      <c r="K133" s="114" t="n"/>
      <c r="L133" s="113" t="n"/>
      <c r="M133" s="114" t="n"/>
      <c r="N133" s="114" t="n"/>
      <c r="O133" s="113">
        <f>L133+I133+F133+C133</f>
        <v/>
      </c>
      <c r="P133" s="114">
        <f>M133+J133+G133+D133</f>
        <v/>
      </c>
      <c r="Q133" s="114">
        <f>N133+K133+H133+E133</f>
        <v/>
      </c>
      <c r="R133" s="113">
        <f>SUMIFS('PO Log'!$E:$E,'PO Log'!$D:$D,'Category Table'!R$2,'PO Log'!$C:$C,'Category Table'!$A133)</f>
        <v/>
      </c>
      <c r="S133" s="114">
        <f>SUMIFS('PO Log'!$E:$E,'PO Log'!$D:$D,'Category Table'!S$2,'PO Log'!$C:$C,'Category Table'!$A133)</f>
        <v/>
      </c>
      <c r="T133" s="114">
        <f>SUMIFS('PO Log'!$E:$E,'PO Log'!$D:$D,'Category Table'!T$2,'PO Log'!$C:$C,'Category Table'!$A133)</f>
        <v/>
      </c>
      <c r="U133" s="113">
        <f>SUMIFS('Committments Dump'!$Q:$Q,'Committments Dump'!$C:$C,'Category Table'!U$2,'Committments Dump'!$B:$B,'Category Table'!$A133)</f>
        <v/>
      </c>
      <c r="V133" s="114">
        <f>SUMIFS('Committments Dump'!$Q:$Q,'Committments Dump'!$C:$C,'Category Table'!V$2,'Committments Dump'!$B:$B,'Category Table'!$A133)</f>
        <v/>
      </c>
      <c r="W133" s="114">
        <f>SUMIFS('Committments Dump'!$Q:$Q,'Committments Dump'!$C:$C,'Category Table'!W$2,'Committments Dump'!$B:$B,'Category Table'!$A133)</f>
        <v/>
      </c>
      <c r="X133" s="113">
        <f>SUMIFS('Committments Dump'!$R:$R,'Committments Dump'!$C:$C,'Category Table'!X$2,'Committments Dump'!$B:$B,'Category Table'!$A133)</f>
        <v/>
      </c>
      <c r="Y133" s="114">
        <f>SUMIFS('Committments Dump'!$R:$R,'Committments Dump'!$C:$C,'Category Table'!Y$2,'Committments Dump'!$B:$B,'Category Table'!$A133)</f>
        <v/>
      </c>
      <c r="Z133" s="114">
        <f>SUMIFS('Committments Dump'!$R:$R,'Committments Dump'!$C:$C,'Category Table'!Z$2,'Committments Dump'!$B:$B,'Category Table'!$A133)</f>
        <v/>
      </c>
      <c r="AA133" s="113">
        <f>SUMIFS('Committments Dump'!$S:$S,'Committments Dump'!$C:$C,'Category Table'!AA$2,'Committments Dump'!$B:$B,'Category Table'!$A133)</f>
        <v/>
      </c>
      <c r="AB133" s="114">
        <f>SUMIFS('Committments Dump'!$S:$S,'Committments Dump'!$C:$C,'Category Table'!AB$2,'Committments Dump'!$B:$B,'Category Table'!$A133)</f>
        <v/>
      </c>
      <c r="AC133" s="114">
        <f>SUMIFS('Committments Dump'!$S:$S,'Committments Dump'!$C:$C,'Category Table'!AC$2,'Committments Dump'!$B:$B,'Category Table'!$A133)</f>
        <v/>
      </c>
      <c r="AD133" s="113">
        <f>U133+X133+AA133</f>
        <v/>
      </c>
      <c r="AE133" s="114">
        <f>V133+Y133+AB133</f>
        <v/>
      </c>
      <c r="AF133" s="114">
        <f>W133+Z133+AC133</f>
        <v/>
      </c>
      <c r="AG133" s="113">
        <f>R133+AD133</f>
        <v/>
      </c>
      <c r="AH133" s="114">
        <f>S133+AE133</f>
        <v/>
      </c>
      <c r="AI133" s="114">
        <f>T133+AF133</f>
        <v/>
      </c>
      <c r="AJ133" s="113" t="n"/>
      <c r="AK133" s="114" t="n"/>
      <c r="AL133" s="114" t="n"/>
      <c r="AM133" s="113">
        <f>(O133-AG133)+AJ133</f>
        <v/>
      </c>
      <c r="AN133" s="114">
        <f>(P133-AH133)+AK133</f>
        <v/>
      </c>
      <c r="AO133" s="114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11" t="n"/>
      <c r="D134" s="112" t="n"/>
      <c r="E134" s="112" t="n"/>
      <c r="F134" s="111" t="n"/>
      <c r="G134" s="112" t="n"/>
      <c r="H134" s="112" t="n"/>
      <c r="I134" s="111" t="n"/>
      <c r="J134" s="112" t="n"/>
      <c r="K134" s="112" t="n"/>
      <c r="L134" s="111" t="n"/>
      <c r="M134" s="112" t="n"/>
      <c r="N134" s="112" t="n"/>
      <c r="O134" s="111">
        <f>L134+I134+F134+C134</f>
        <v/>
      </c>
      <c r="P134" s="112">
        <f>M134+J134+G134+D134</f>
        <v/>
      </c>
      <c r="Q134" s="112">
        <f>N134+K134+H134+E134</f>
        <v/>
      </c>
      <c r="R134" s="111">
        <f>SUMIFS('PO Log'!$E:$E,'PO Log'!$D:$D,'Category Table'!R$2,'PO Log'!$C:$C,'Category Table'!$A134)</f>
        <v/>
      </c>
      <c r="S134" s="112">
        <f>SUMIFS('PO Log'!$E:$E,'PO Log'!$D:$D,'Category Table'!S$2,'PO Log'!$C:$C,'Category Table'!$A134)</f>
        <v/>
      </c>
      <c r="T134" s="112">
        <f>SUMIFS('PO Log'!$E:$E,'PO Log'!$D:$D,'Category Table'!T$2,'PO Log'!$C:$C,'Category Table'!$A134)</f>
        <v/>
      </c>
      <c r="U134" s="111">
        <f>SUMIFS('Committments Dump'!$Q:$Q,'Committments Dump'!$C:$C,'Category Table'!U$2,'Committments Dump'!$B:$B,'Category Table'!$A134)</f>
        <v/>
      </c>
      <c r="V134" s="112">
        <f>SUMIFS('Committments Dump'!$Q:$Q,'Committments Dump'!$C:$C,'Category Table'!V$2,'Committments Dump'!$B:$B,'Category Table'!$A134)</f>
        <v/>
      </c>
      <c r="W134" s="112">
        <f>SUMIFS('Committments Dump'!$Q:$Q,'Committments Dump'!$C:$C,'Category Table'!W$2,'Committments Dump'!$B:$B,'Category Table'!$A134)</f>
        <v/>
      </c>
      <c r="X134" s="111">
        <f>SUMIFS('Committments Dump'!$R:$R,'Committments Dump'!$C:$C,'Category Table'!X$2,'Committments Dump'!$B:$B,'Category Table'!$A134)</f>
        <v/>
      </c>
      <c r="Y134" s="112">
        <f>SUMIFS('Committments Dump'!$R:$R,'Committments Dump'!$C:$C,'Category Table'!Y$2,'Committments Dump'!$B:$B,'Category Table'!$A134)</f>
        <v/>
      </c>
      <c r="Z134" s="112">
        <f>SUMIFS('Committments Dump'!$R:$R,'Committments Dump'!$C:$C,'Category Table'!Z$2,'Committments Dump'!$B:$B,'Category Table'!$A134)</f>
        <v/>
      </c>
      <c r="AA134" s="111">
        <f>SUMIFS('Committments Dump'!$S:$S,'Committments Dump'!$C:$C,'Category Table'!AA$2,'Committments Dump'!$B:$B,'Category Table'!$A134)</f>
        <v/>
      </c>
      <c r="AB134" s="112">
        <f>SUMIFS('Committments Dump'!$S:$S,'Committments Dump'!$C:$C,'Category Table'!AB$2,'Committments Dump'!$B:$B,'Category Table'!$A134)</f>
        <v/>
      </c>
      <c r="AC134" s="112">
        <f>SUMIFS('Committments Dump'!$S:$S,'Committments Dump'!$C:$C,'Category Table'!AC$2,'Committments Dump'!$B:$B,'Category Table'!$A134)</f>
        <v/>
      </c>
      <c r="AD134" s="111">
        <f>U134+X134+AA134</f>
        <v/>
      </c>
      <c r="AE134" s="112">
        <f>V134+Y134+AB134</f>
        <v/>
      </c>
      <c r="AF134" s="112">
        <f>W134+Z134+AC134</f>
        <v/>
      </c>
      <c r="AG134" s="111">
        <f>R134+AD134</f>
        <v/>
      </c>
      <c r="AH134" s="112">
        <f>S134+AE134</f>
        <v/>
      </c>
      <c r="AI134" s="112">
        <f>T134+AF134</f>
        <v/>
      </c>
      <c r="AJ134" s="111" t="n"/>
      <c r="AK134" s="112" t="n"/>
      <c r="AL134" s="112" t="n"/>
      <c r="AM134" s="111">
        <f>(O134-AG134)+AJ134</f>
        <v/>
      </c>
      <c r="AN134" s="112">
        <f>(P134-AH134)+AK134</f>
        <v/>
      </c>
      <c r="AO134" s="112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13" t="n"/>
      <c r="D135" s="114" t="n"/>
      <c r="E135" s="114" t="n"/>
      <c r="F135" s="113" t="n"/>
      <c r="G135" s="114" t="n"/>
      <c r="H135" s="114" t="n"/>
      <c r="I135" s="113" t="n"/>
      <c r="J135" s="114" t="n"/>
      <c r="K135" s="114" t="n"/>
      <c r="L135" s="113" t="n"/>
      <c r="M135" s="114" t="n"/>
      <c r="N135" s="114" t="n"/>
      <c r="O135" s="113">
        <f>L135+I135+F135+C135</f>
        <v/>
      </c>
      <c r="P135" s="114">
        <f>M135+J135+G135+D135</f>
        <v/>
      </c>
      <c r="Q135" s="114">
        <f>N135+K135+H135+E135</f>
        <v/>
      </c>
      <c r="R135" s="113">
        <f>SUMIFS('PO Log'!$E:$E,'PO Log'!$D:$D,'Category Table'!R$2,'PO Log'!$C:$C,'Category Table'!$A135)</f>
        <v/>
      </c>
      <c r="S135" s="114">
        <f>SUMIFS('PO Log'!$E:$E,'PO Log'!$D:$D,'Category Table'!S$2,'PO Log'!$C:$C,'Category Table'!$A135)</f>
        <v/>
      </c>
      <c r="T135" s="114">
        <f>SUMIFS('PO Log'!$E:$E,'PO Log'!$D:$D,'Category Table'!T$2,'PO Log'!$C:$C,'Category Table'!$A135)</f>
        <v/>
      </c>
      <c r="U135" s="113">
        <f>SUMIFS('Committments Dump'!$Q:$Q,'Committments Dump'!$C:$C,'Category Table'!U$2,'Committments Dump'!$B:$B,'Category Table'!$A135)</f>
        <v/>
      </c>
      <c r="V135" s="114">
        <f>SUMIFS('Committments Dump'!$Q:$Q,'Committments Dump'!$C:$C,'Category Table'!V$2,'Committments Dump'!$B:$B,'Category Table'!$A135)</f>
        <v/>
      </c>
      <c r="W135" s="114">
        <f>SUMIFS('Committments Dump'!$Q:$Q,'Committments Dump'!$C:$C,'Category Table'!W$2,'Committments Dump'!$B:$B,'Category Table'!$A135)</f>
        <v/>
      </c>
      <c r="X135" s="113">
        <f>SUMIFS('Committments Dump'!$R:$R,'Committments Dump'!$C:$C,'Category Table'!X$2,'Committments Dump'!$B:$B,'Category Table'!$A135)</f>
        <v/>
      </c>
      <c r="Y135" s="114">
        <f>SUMIFS('Committments Dump'!$R:$R,'Committments Dump'!$C:$C,'Category Table'!Y$2,'Committments Dump'!$B:$B,'Category Table'!$A135)</f>
        <v/>
      </c>
      <c r="Z135" s="114">
        <f>SUMIFS('Committments Dump'!$R:$R,'Committments Dump'!$C:$C,'Category Table'!Z$2,'Committments Dump'!$B:$B,'Category Table'!$A135)</f>
        <v/>
      </c>
      <c r="AA135" s="113">
        <f>SUMIFS('Committments Dump'!$S:$S,'Committments Dump'!$C:$C,'Category Table'!AA$2,'Committments Dump'!$B:$B,'Category Table'!$A135)</f>
        <v/>
      </c>
      <c r="AB135" s="114">
        <f>SUMIFS('Committments Dump'!$S:$S,'Committments Dump'!$C:$C,'Category Table'!AB$2,'Committments Dump'!$B:$B,'Category Table'!$A135)</f>
        <v/>
      </c>
      <c r="AC135" s="114">
        <f>SUMIFS('Committments Dump'!$S:$S,'Committments Dump'!$C:$C,'Category Table'!AC$2,'Committments Dump'!$B:$B,'Category Table'!$A135)</f>
        <v/>
      </c>
      <c r="AD135" s="113">
        <f>U135+X135+AA135</f>
        <v/>
      </c>
      <c r="AE135" s="114">
        <f>V135+Y135+AB135</f>
        <v/>
      </c>
      <c r="AF135" s="114">
        <f>W135+Z135+AC135</f>
        <v/>
      </c>
      <c r="AG135" s="113">
        <f>R135+AD135</f>
        <v/>
      </c>
      <c r="AH135" s="114">
        <f>S135+AE135</f>
        <v/>
      </c>
      <c r="AI135" s="114">
        <f>T135+AF135</f>
        <v/>
      </c>
      <c r="AJ135" s="113" t="n"/>
      <c r="AK135" s="114" t="n"/>
      <c r="AL135" s="114" t="n"/>
      <c r="AM135" s="113">
        <f>(O135-AG135)+AJ135</f>
        <v/>
      </c>
      <c r="AN135" s="114">
        <f>(P135-AH135)+AK135</f>
        <v/>
      </c>
      <c r="AO135" s="114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11" t="n"/>
      <c r="D136" s="112" t="n"/>
      <c r="E136" s="112" t="n"/>
      <c r="F136" s="111" t="n"/>
      <c r="G136" s="112" t="n"/>
      <c r="H136" s="112" t="n"/>
      <c r="I136" s="111" t="n"/>
      <c r="J136" s="112" t="n"/>
      <c r="K136" s="112" t="n"/>
      <c r="L136" s="111" t="n"/>
      <c r="M136" s="112" t="n"/>
      <c r="N136" s="112" t="n"/>
      <c r="O136" s="111">
        <f>L136+I136+F136+C136</f>
        <v/>
      </c>
      <c r="P136" s="112">
        <f>M136+J136+G136+D136</f>
        <v/>
      </c>
      <c r="Q136" s="112">
        <f>N136+K136+H136+E136</f>
        <v/>
      </c>
      <c r="R136" s="111">
        <f>SUMIFS('PO Log'!$E:$E,'PO Log'!$D:$D,'Category Table'!R$2,'PO Log'!$C:$C,'Category Table'!$A136)</f>
        <v/>
      </c>
      <c r="S136" s="112">
        <f>SUMIFS('PO Log'!$E:$E,'PO Log'!$D:$D,'Category Table'!S$2,'PO Log'!$C:$C,'Category Table'!$A136)</f>
        <v/>
      </c>
      <c r="T136" s="112">
        <f>SUMIFS('PO Log'!$E:$E,'PO Log'!$D:$D,'Category Table'!T$2,'PO Log'!$C:$C,'Category Table'!$A136)</f>
        <v/>
      </c>
      <c r="U136" s="111">
        <f>SUMIFS('Committments Dump'!$Q:$Q,'Committments Dump'!$C:$C,'Category Table'!U$2,'Committments Dump'!$B:$B,'Category Table'!$A136)</f>
        <v/>
      </c>
      <c r="V136" s="112">
        <f>SUMIFS('Committments Dump'!$Q:$Q,'Committments Dump'!$C:$C,'Category Table'!V$2,'Committments Dump'!$B:$B,'Category Table'!$A136)</f>
        <v/>
      </c>
      <c r="W136" s="112">
        <f>SUMIFS('Committments Dump'!$Q:$Q,'Committments Dump'!$C:$C,'Category Table'!W$2,'Committments Dump'!$B:$B,'Category Table'!$A136)</f>
        <v/>
      </c>
      <c r="X136" s="111">
        <f>SUMIFS('Committments Dump'!$R:$R,'Committments Dump'!$C:$C,'Category Table'!X$2,'Committments Dump'!$B:$B,'Category Table'!$A136)</f>
        <v/>
      </c>
      <c r="Y136" s="112">
        <f>SUMIFS('Committments Dump'!$R:$R,'Committments Dump'!$C:$C,'Category Table'!Y$2,'Committments Dump'!$B:$B,'Category Table'!$A136)</f>
        <v/>
      </c>
      <c r="Z136" s="112">
        <f>SUMIFS('Committments Dump'!$R:$R,'Committments Dump'!$C:$C,'Category Table'!Z$2,'Committments Dump'!$B:$B,'Category Table'!$A136)</f>
        <v/>
      </c>
      <c r="AA136" s="111">
        <f>SUMIFS('Committments Dump'!$S:$S,'Committments Dump'!$C:$C,'Category Table'!AA$2,'Committments Dump'!$B:$B,'Category Table'!$A136)</f>
        <v/>
      </c>
      <c r="AB136" s="112">
        <f>SUMIFS('Committments Dump'!$S:$S,'Committments Dump'!$C:$C,'Category Table'!AB$2,'Committments Dump'!$B:$B,'Category Table'!$A136)</f>
        <v/>
      </c>
      <c r="AC136" s="112">
        <f>SUMIFS('Committments Dump'!$S:$S,'Committments Dump'!$C:$C,'Category Table'!AC$2,'Committments Dump'!$B:$B,'Category Table'!$A136)</f>
        <v/>
      </c>
      <c r="AD136" s="111">
        <f>U136+X136+AA136</f>
        <v/>
      </c>
      <c r="AE136" s="112">
        <f>V136+Y136+AB136</f>
        <v/>
      </c>
      <c r="AF136" s="112">
        <f>W136+Z136+AC136</f>
        <v/>
      </c>
      <c r="AG136" s="111">
        <f>R136+AD136</f>
        <v/>
      </c>
      <c r="AH136" s="112">
        <f>S136+AE136</f>
        <v/>
      </c>
      <c r="AI136" s="112">
        <f>T136+AF136</f>
        <v/>
      </c>
      <c r="AJ136" s="111" t="n"/>
      <c r="AK136" s="112" t="n"/>
      <c r="AL136" s="112" t="n"/>
      <c r="AM136" s="111">
        <f>(O136-AG136)+AJ136</f>
        <v/>
      </c>
      <c r="AN136" s="112">
        <f>(P136-AH136)+AK136</f>
        <v/>
      </c>
      <c r="AO136" s="112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13" t="n"/>
      <c r="D137" s="114" t="n"/>
      <c r="E137" s="114" t="n"/>
      <c r="F137" s="113" t="n"/>
      <c r="G137" s="114" t="n"/>
      <c r="H137" s="114" t="n"/>
      <c r="I137" s="113" t="n"/>
      <c r="J137" s="114" t="n"/>
      <c r="K137" s="114" t="n"/>
      <c r="L137" s="113" t="n"/>
      <c r="M137" s="114" t="n"/>
      <c r="N137" s="114" t="n"/>
      <c r="O137" s="113">
        <f>L137+I137+F137+C137</f>
        <v/>
      </c>
      <c r="P137" s="114">
        <f>M137+J137+G137+D137</f>
        <v/>
      </c>
      <c r="Q137" s="114">
        <f>N137+K137+H137+E137</f>
        <v/>
      </c>
      <c r="R137" s="113">
        <f>SUMIFS('PO Log'!$E:$E,'PO Log'!$D:$D,'Category Table'!R$2,'PO Log'!$C:$C,'Category Table'!$A137)</f>
        <v/>
      </c>
      <c r="S137" s="114">
        <f>SUMIFS('PO Log'!$E:$E,'PO Log'!$D:$D,'Category Table'!S$2,'PO Log'!$C:$C,'Category Table'!$A137)</f>
        <v/>
      </c>
      <c r="T137" s="114">
        <f>SUMIFS('PO Log'!$E:$E,'PO Log'!$D:$D,'Category Table'!T$2,'PO Log'!$C:$C,'Category Table'!$A137)</f>
        <v/>
      </c>
      <c r="U137" s="113">
        <f>SUMIFS('Committments Dump'!$Q:$Q,'Committments Dump'!$C:$C,'Category Table'!U$2,'Committments Dump'!$B:$B,'Category Table'!$A137)</f>
        <v/>
      </c>
      <c r="V137" s="114">
        <f>SUMIFS('Committments Dump'!$Q:$Q,'Committments Dump'!$C:$C,'Category Table'!V$2,'Committments Dump'!$B:$B,'Category Table'!$A137)</f>
        <v/>
      </c>
      <c r="W137" s="114">
        <f>SUMIFS('Committments Dump'!$Q:$Q,'Committments Dump'!$C:$C,'Category Table'!W$2,'Committments Dump'!$B:$B,'Category Table'!$A137)</f>
        <v/>
      </c>
      <c r="X137" s="113">
        <f>SUMIFS('Committments Dump'!$R:$R,'Committments Dump'!$C:$C,'Category Table'!X$2,'Committments Dump'!$B:$B,'Category Table'!$A137)</f>
        <v/>
      </c>
      <c r="Y137" s="114">
        <f>SUMIFS('Committments Dump'!$R:$R,'Committments Dump'!$C:$C,'Category Table'!Y$2,'Committments Dump'!$B:$B,'Category Table'!$A137)</f>
        <v/>
      </c>
      <c r="Z137" s="114">
        <f>SUMIFS('Committments Dump'!$R:$R,'Committments Dump'!$C:$C,'Category Table'!Z$2,'Committments Dump'!$B:$B,'Category Table'!$A137)</f>
        <v/>
      </c>
      <c r="AA137" s="113">
        <f>SUMIFS('Committments Dump'!$S:$S,'Committments Dump'!$C:$C,'Category Table'!AA$2,'Committments Dump'!$B:$B,'Category Table'!$A137)</f>
        <v/>
      </c>
      <c r="AB137" s="114">
        <f>SUMIFS('Committments Dump'!$S:$S,'Committments Dump'!$C:$C,'Category Table'!AB$2,'Committments Dump'!$B:$B,'Category Table'!$A137)</f>
        <v/>
      </c>
      <c r="AC137" s="114">
        <f>SUMIFS('Committments Dump'!$S:$S,'Committments Dump'!$C:$C,'Category Table'!AC$2,'Committments Dump'!$B:$B,'Category Table'!$A137)</f>
        <v/>
      </c>
      <c r="AD137" s="113">
        <f>U137+X137+AA137</f>
        <v/>
      </c>
      <c r="AE137" s="114">
        <f>V137+Y137+AB137</f>
        <v/>
      </c>
      <c r="AF137" s="114">
        <f>W137+Z137+AC137</f>
        <v/>
      </c>
      <c r="AG137" s="113">
        <f>R137+AD137</f>
        <v/>
      </c>
      <c r="AH137" s="114">
        <f>S137+AE137</f>
        <v/>
      </c>
      <c r="AI137" s="114">
        <f>T137+AF137</f>
        <v/>
      </c>
      <c r="AJ137" s="113" t="n"/>
      <c r="AK137" s="114" t="n"/>
      <c r="AL137" s="114" t="n"/>
      <c r="AM137" s="113">
        <f>(O137-AG137)+AJ137</f>
        <v/>
      </c>
      <c r="AN137" s="114">
        <f>(P137-AH137)+AK137</f>
        <v/>
      </c>
      <c r="AO137" s="114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11" t="n"/>
      <c r="D138" s="112" t="n"/>
      <c r="E138" s="112" t="n"/>
      <c r="F138" s="111" t="n"/>
      <c r="G138" s="112" t="n"/>
      <c r="H138" s="112" t="n"/>
      <c r="I138" s="111" t="n"/>
      <c r="J138" s="112" t="n"/>
      <c r="K138" s="112" t="n"/>
      <c r="L138" s="111" t="n"/>
      <c r="M138" s="112" t="n"/>
      <c r="N138" s="112" t="n"/>
      <c r="O138" s="111">
        <f>L138+I138+F138+C138</f>
        <v/>
      </c>
      <c r="P138" s="112">
        <f>M138+J138+G138+D138</f>
        <v/>
      </c>
      <c r="Q138" s="112">
        <f>N138+K138+H138+E138</f>
        <v/>
      </c>
      <c r="R138" s="111">
        <f>SUMIFS('PO Log'!$E:$E,'PO Log'!$D:$D,'Category Table'!R$2,'PO Log'!$C:$C,'Category Table'!$A138)</f>
        <v/>
      </c>
      <c r="S138" s="112">
        <f>SUMIFS('PO Log'!$E:$E,'PO Log'!$D:$D,'Category Table'!S$2,'PO Log'!$C:$C,'Category Table'!$A138)</f>
        <v/>
      </c>
      <c r="T138" s="112">
        <f>SUMIFS('PO Log'!$E:$E,'PO Log'!$D:$D,'Category Table'!T$2,'PO Log'!$C:$C,'Category Table'!$A138)</f>
        <v/>
      </c>
      <c r="U138" s="111">
        <f>SUMIFS('Committments Dump'!$Q:$Q,'Committments Dump'!$C:$C,'Category Table'!U$2,'Committments Dump'!$B:$B,'Category Table'!$A138)</f>
        <v/>
      </c>
      <c r="V138" s="112">
        <f>SUMIFS('Committments Dump'!$Q:$Q,'Committments Dump'!$C:$C,'Category Table'!V$2,'Committments Dump'!$B:$B,'Category Table'!$A138)</f>
        <v/>
      </c>
      <c r="W138" s="112">
        <f>SUMIFS('Committments Dump'!$Q:$Q,'Committments Dump'!$C:$C,'Category Table'!W$2,'Committments Dump'!$B:$B,'Category Table'!$A138)</f>
        <v/>
      </c>
      <c r="X138" s="111">
        <f>SUMIFS('Committments Dump'!$R:$R,'Committments Dump'!$C:$C,'Category Table'!X$2,'Committments Dump'!$B:$B,'Category Table'!$A138)</f>
        <v/>
      </c>
      <c r="Y138" s="112">
        <f>SUMIFS('Committments Dump'!$R:$R,'Committments Dump'!$C:$C,'Category Table'!Y$2,'Committments Dump'!$B:$B,'Category Table'!$A138)</f>
        <v/>
      </c>
      <c r="Z138" s="112">
        <f>SUMIFS('Committments Dump'!$R:$R,'Committments Dump'!$C:$C,'Category Table'!Z$2,'Committments Dump'!$B:$B,'Category Table'!$A138)</f>
        <v/>
      </c>
      <c r="AA138" s="111">
        <f>SUMIFS('Committments Dump'!$S:$S,'Committments Dump'!$C:$C,'Category Table'!AA$2,'Committments Dump'!$B:$B,'Category Table'!$A138)</f>
        <v/>
      </c>
      <c r="AB138" s="112">
        <f>SUMIFS('Committments Dump'!$S:$S,'Committments Dump'!$C:$C,'Category Table'!AB$2,'Committments Dump'!$B:$B,'Category Table'!$A138)</f>
        <v/>
      </c>
      <c r="AC138" s="112">
        <f>SUMIFS('Committments Dump'!$S:$S,'Committments Dump'!$C:$C,'Category Table'!AC$2,'Committments Dump'!$B:$B,'Category Table'!$A138)</f>
        <v/>
      </c>
      <c r="AD138" s="111">
        <f>U138+X138+AA138</f>
        <v/>
      </c>
      <c r="AE138" s="112">
        <f>V138+Y138+AB138</f>
        <v/>
      </c>
      <c r="AF138" s="112">
        <f>W138+Z138+AC138</f>
        <v/>
      </c>
      <c r="AG138" s="111">
        <f>R138+AD138</f>
        <v/>
      </c>
      <c r="AH138" s="112">
        <f>S138+AE138</f>
        <v/>
      </c>
      <c r="AI138" s="112">
        <f>T138+AF138</f>
        <v/>
      </c>
      <c r="AJ138" s="111" t="n"/>
      <c r="AK138" s="112" t="n"/>
      <c r="AL138" s="112" t="n"/>
      <c r="AM138" s="111">
        <f>(O138-AG138)+AJ138</f>
        <v/>
      </c>
      <c r="AN138" s="112">
        <f>(P138-AH138)+AK138</f>
        <v/>
      </c>
      <c r="AO138" s="112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13" t="n"/>
      <c r="D139" s="114" t="n"/>
      <c r="E139" s="114" t="n"/>
      <c r="F139" s="113" t="n"/>
      <c r="G139" s="114" t="n"/>
      <c r="H139" s="114" t="n"/>
      <c r="I139" s="113" t="n"/>
      <c r="J139" s="114" t="n"/>
      <c r="K139" s="114" t="n"/>
      <c r="L139" s="113" t="n"/>
      <c r="M139" s="114" t="n"/>
      <c r="N139" s="114" t="n"/>
      <c r="O139" s="113">
        <f>L139+I139+F139+C139</f>
        <v/>
      </c>
      <c r="P139" s="114">
        <f>M139+J139+G139+D139</f>
        <v/>
      </c>
      <c r="Q139" s="114">
        <f>N139+K139+H139+E139</f>
        <v/>
      </c>
      <c r="R139" s="113">
        <f>SUMIFS('PO Log'!$E:$E,'PO Log'!$D:$D,'Category Table'!R$2,'PO Log'!$C:$C,'Category Table'!$A139)</f>
        <v/>
      </c>
      <c r="S139" s="114">
        <f>SUMIFS('PO Log'!$E:$E,'PO Log'!$D:$D,'Category Table'!S$2,'PO Log'!$C:$C,'Category Table'!$A139)</f>
        <v/>
      </c>
      <c r="T139" s="114">
        <f>SUMIFS('PO Log'!$E:$E,'PO Log'!$D:$D,'Category Table'!T$2,'PO Log'!$C:$C,'Category Table'!$A139)</f>
        <v/>
      </c>
      <c r="U139" s="113">
        <f>SUMIFS('Committments Dump'!$Q:$Q,'Committments Dump'!$C:$C,'Category Table'!U$2,'Committments Dump'!$B:$B,'Category Table'!$A139)</f>
        <v/>
      </c>
      <c r="V139" s="114">
        <f>SUMIFS('Committments Dump'!$Q:$Q,'Committments Dump'!$C:$C,'Category Table'!V$2,'Committments Dump'!$B:$B,'Category Table'!$A139)</f>
        <v/>
      </c>
      <c r="W139" s="114">
        <f>SUMIFS('Committments Dump'!$Q:$Q,'Committments Dump'!$C:$C,'Category Table'!W$2,'Committments Dump'!$B:$B,'Category Table'!$A139)</f>
        <v/>
      </c>
      <c r="X139" s="113">
        <f>SUMIFS('Committments Dump'!$R:$R,'Committments Dump'!$C:$C,'Category Table'!X$2,'Committments Dump'!$B:$B,'Category Table'!$A139)</f>
        <v/>
      </c>
      <c r="Y139" s="114">
        <f>SUMIFS('Committments Dump'!$R:$R,'Committments Dump'!$C:$C,'Category Table'!Y$2,'Committments Dump'!$B:$B,'Category Table'!$A139)</f>
        <v/>
      </c>
      <c r="Z139" s="114">
        <f>SUMIFS('Committments Dump'!$R:$R,'Committments Dump'!$C:$C,'Category Table'!Z$2,'Committments Dump'!$B:$B,'Category Table'!$A139)</f>
        <v/>
      </c>
      <c r="AA139" s="113">
        <f>SUMIFS('Committments Dump'!$S:$S,'Committments Dump'!$C:$C,'Category Table'!AA$2,'Committments Dump'!$B:$B,'Category Table'!$A139)</f>
        <v/>
      </c>
      <c r="AB139" s="114">
        <f>SUMIFS('Committments Dump'!$S:$S,'Committments Dump'!$C:$C,'Category Table'!AB$2,'Committments Dump'!$B:$B,'Category Table'!$A139)</f>
        <v/>
      </c>
      <c r="AC139" s="114">
        <f>SUMIFS('Committments Dump'!$S:$S,'Committments Dump'!$C:$C,'Category Table'!AC$2,'Committments Dump'!$B:$B,'Category Table'!$A139)</f>
        <v/>
      </c>
      <c r="AD139" s="113">
        <f>U139+X139+AA139</f>
        <v/>
      </c>
      <c r="AE139" s="114">
        <f>V139+Y139+AB139</f>
        <v/>
      </c>
      <c r="AF139" s="114">
        <f>W139+Z139+AC139</f>
        <v/>
      </c>
      <c r="AG139" s="113">
        <f>R139+AD139</f>
        <v/>
      </c>
      <c r="AH139" s="114">
        <f>S139+AE139</f>
        <v/>
      </c>
      <c r="AI139" s="114">
        <f>T139+AF139</f>
        <v/>
      </c>
      <c r="AJ139" s="113" t="n"/>
      <c r="AK139" s="114" t="n"/>
      <c r="AL139" s="114" t="n"/>
      <c r="AM139" s="113">
        <f>(O139-AG139)+AJ139</f>
        <v/>
      </c>
      <c r="AN139" s="114">
        <f>(P139-AH139)+AK139</f>
        <v/>
      </c>
      <c r="AO139" s="114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11" t="n"/>
      <c r="D140" s="112" t="n"/>
      <c r="E140" s="112" t="n"/>
      <c r="F140" s="111" t="n"/>
      <c r="G140" s="112" t="n"/>
      <c r="H140" s="112" t="n"/>
      <c r="I140" s="111" t="n"/>
      <c r="J140" s="112" t="n"/>
      <c r="K140" s="112" t="n"/>
      <c r="L140" s="111" t="n"/>
      <c r="M140" s="112" t="n"/>
      <c r="N140" s="112" t="n"/>
      <c r="O140" s="111">
        <f>L140+I140+F140+C140</f>
        <v/>
      </c>
      <c r="P140" s="112">
        <f>M140+J140+G140+D140</f>
        <v/>
      </c>
      <c r="Q140" s="112">
        <f>N140+K140+H140+E140</f>
        <v/>
      </c>
      <c r="R140" s="111">
        <f>SUMIFS('PO Log'!$E:$E,'PO Log'!$D:$D,'Category Table'!R$2,'PO Log'!$C:$C,'Category Table'!$A140)</f>
        <v/>
      </c>
      <c r="S140" s="112">
        <f>SUMIFS('PO Log'!$E:$E,'PO Log'!$D:$D,'Category Table'!S$2,'PO Log'!$C:$C,'Category Table'!$A140)</f>
        <v/>
      </c>
      <c r="T140" s="112">
        <f>SUMIFS('PO Log'!$E:$E,'PO Log'!$D:$D,'Category Table'!T$2,'PO Log'!$C:$C,'Category Table'!$A140)</f>
        <v/>
      </c>
      <c r="U140" s="111">
        <f>SUMIFS('Committments Dump'!$Q:$Q,'Committments Dump'!$C:$C,'Category Table'!U$2,'Committments Dump'!$B:$B,'Category Table'!$A140)</f>
        <v/>
      </c>
      <c r="V140" s="112">
        <f>SUMIFS('Committments Dump'!$Q:$Q,'Committments Dump'!$C:$C,'Category Table'!V$2,'Committments Dump'!$B:$B,'Category Table'!$A140)</f>
        <v/>
      </c>
      <c r="W140" s="112">
        <f>SUMIFS('Committments Dump'!$Q:$Q,'Committments Dump'!$C:$C,'Category Table'!W$2,'Committments Dump'!$B:$B,'Category Table'!$A140)</f>
        <v/>
      </c>
      <c r="X140" s="111">
        <f>SUMIFS('Committments Dump'!$R:$R,'Committments Dump'!$C:$C,'Category Table'!X$2,'Committments Dump'!$B:$B,'Category Table'!$A140)</f>
        <v/>
      </c>
      <c r="Y140" s="112">
        <f>SUMIFS('Committments Dump'!$R:$R,'Committments Dump'!$C:$C,'Category Table'!Y$2,'Committments Dump'!$B:$B,'Category Table'!$A140)</f>
        <v/>
      </c>
      <c r="Z140" s="112">
        <f>SUMIFS('Committments Dump'!$R:$R,'Committments Dump'!$C:$C,'Category Table'!Z$2,'Committments Dump'!$B:$B,'Category Table'!$A140)</f>
        <v/>
      </c>
      <c r="AA140" s="111">
        <f>SUMIFS('Committments Dump'!$S:$S,'Committments Dump'!$C:$C,'Category Table'!AA$2,'Committments Dump'!$B:$B,'Category Table'!$A140)</f>
        <v/>
      </c>
      <c r="AB140" s="112">
        <f>SUMIFS('Committments Dump'!$S:$S,'Committments Dump'!$C:$C,'Category Table'!AB$2,'Committments Dump'!$B:$B,'Category Table'!$A140)</f>
        <v/>
      </c>
      <c r="AC140" s="112">
        <f>SUMIFS('Committments Dump'!$S:$S,'Committments Dump'!$C:$C,'Category Table'!AC$2,'Committments Dump'!$B:$B,'Category Table'!$A140)</f>
        <v/>
      </c>
      <c r="AD140" s="111">
        <f>U140+X140+AA140</f>
        <v/>
      </c>
      <c r="AE140" s="112">
        <f>V140+Y140+AB140</f>
        <v/>
      </c>
      <c r="AF140" s="112">
        <f>W140+Z140+AC140</f>
        <v/>
      </c>
      <c r="AG140" s="111">
        <f>R140+AD140</f>
        <v/>
      </c>
      <c r="AH140" s="112">
        <f>S140+AE140</f>
        <v/>
      </c>
      <c r="AI140" s="112">
        <f>T140+AF140</f>
        <v/>
      </c>
      <c r="AJ140" s="111" t="n"/>
      <c r="AK140" s="112" t="n"/>
      <c r="AL140" s="112" t="n"/>
      <c r="AM140" s="111">
        <f>(O140-AG140)+AJ140</f>
        <v/>
      </c>
      <c r="AN140" s="112">
        <f>(P140-AH140)+AK140</f>
        <v/>
      </c>
      <c r="AO140" s="112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13" t="n"/>
      <c r="D141" s="114" t="n"/>
      <c r="E141" s="114" t="n"/>
      <c r="F141" s="113" t="n"/>
      <c r="G141" s="114" t="n"/>
      <c r="H141" s="114" t="n"/>
      <c r="I141" s="113" t="n"/>
      <c r="J141" s="114" t="n"/>
      <c r="K141" s="114" t="n"/>
      <c r="L141" s="113" t="n"/>
      <c r="M141" s="114" t="n"/>
      <c r="N141" s="114" t="n"/>
      <c r="O141" s="113">
        <f>L141+I141+F141+C141</f>
        <v/>
      </c>
      <c r="P141" s="114">
        <f>M141+J141+G141+D141</f>
        <v/>
      </c>
      <c r="Q141" s="114">
        <f>N141+K141+H141+E141</f>
        <v/>
      </c>
      <c r="R141" s="113">
        <f>SUMIFS('PO Log'!$E:$E,'PO Log'!$D:$D,'Category Table'!R$2,'PO Log'!$C:$C,'Category Table'!$A141)</f>
        <v/>
      </c>
      <c r="S141" s="114">
        <f>SUMIFS('PO Log'!$E:$E,'PO Log'!$D:$D,'Category Table'!S$2,'PO Log'!$C:$C,'Category Table'!$A141)</f>
        <v/>
      </c>
      <c r="T141" s="114">
        <f>SUMIFS('PO Log'!$E:$E,'PO Log'!$D:$D,'Category Table'!T$2,'PO Log'!$C:$C,'Category Table'!$A141)</f>
        <v/>
      </c>
      <c r="U141" s="113">
        <f>SUMIFS('Committments Dump'!$Q:$Q,'Committments Dump'!$C:$C,'Category Table'!U$2,'Committments Dump'!$B:$B,'Category Table'!$A141)</f>
        <v/>
      </c>
      <c r="V141" s="114">
        <f>SUMIFS('Committments Dump'!$Q:$Q,'Committments Dump'!$C:$C,'Category Table'!V$2,'Committments Dump'!$B:$B,'Category Table'!$A141)</f>
        <v/>
      </c>
      <c r="W141" s="114">
        <f>SUMIFS('Committments Dump'!$Q:$Q,'Committments Dump'!$C:$C,'Category Table'!W$2,'Committments Dump'!$B:$B,'Category Table'!$A141)</f>
        <v/>
      </c>
      <c r="X141" s="113">
        <f>SUMIFS('Committments Dump'!$R:$R,'Committments Dump'!$C:$C,'Category Table'!X$2,'Committments Dump'!$B:$B,'Category Table'!$A141)</f>
        <v/>
      </c>
      <c r="Y141" s="114">
        <f>SUMIFS('Committments Dump'!$R:$R,'Committments Dump'!$C:$C,'Category Table'!Y$2,'Committments Dump'!$B:$B,'Category Table'!$A141)</f>
        <v/>
      </c>
      <c r="Z141" s="114">
        <f>SUMIFS('Committments Dump'!$R:$R,'Committments Dump'!$C:$C,'Category Table'!Z$2,'Committments Dump'!$B:$B,'Category Table'!$A141)</f>
        <v/>
      </c>
      <c r="AA141" s="113">
        <f>SUMIFS('Committments Dump'!$S:$S,'Committments Dump'!$C:$C,'Category Table'!AA$2,'Committments Dump'!$B:$B,'Category Table'!$A141)</f>
        <v/>
      </c>
      <c r="AB141" s="114">
        <f>SUMIFS('Committments Dump'!$S:$S,'Committments Dump'!$C:$C,'Category Table'!AB$2,'Committments Dump'!$B:$B,'Category Table'!$A141)</f>
        <v/>
      </c>
      <c r="AC141" s="114">
        <f>SUMIFS('Committments Dump'!$S:$S,'Committments Dump'!$C:$C,'Category Table'!AC$2,'Committments Dump'!$B:$B,'Category Table'!$A141)</f>
        <v/>
      </c>
      <c r="AD141" s="113">
        <f>U141+X141+AA141</f>
        <v/>
      </c>
      <c r="AE141" s="114">
        <f>V141+Y141+AB141</f>
        <v/>
      </c>
      <c r="AF141" s="114">
        <f>W141+Z141+AC141</f>
        <v/>
      </c>
      <c r="AG141" s="113">
        <f>R141+AD141</f>
        <v/>
      </c>
      <c r="AH141" s="114">
        <f>S141+AE141</f>
        <v/>
      </c>
      <c r="AI141" s="114">
        <f>T141+AF141</f>
        <v/>
      </c>
      <c r="AJ141" s="113" t="n"/>
      <c r="AK141" s="114" t="n"/>
      <c r="AL141" s="114" t="n"/>
      <c r="AM141" s="113">
        <f>(O141-AG141)+AJ141</f>
        <v/>
      </c>
      <c r="AN141" s="114">
        <f>(P141-AH141)+AK141</f>
        <v/>
      </c>
      <c r="AO141" s="114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11" t="n"/>
      <c r="D142" s="112" t="n"/>
      <c r="E142" s="112" t="n"/>
      <c r="F142" s="111" t="n"/>
      <c r="G142" s="112" t="n"/>
      <c r="H142" s="112" t="n"/>
      <c r="I142" s="111" t="n"/>
      <c r="J142" s="112" t="n"/>
      <c r="K142" s="112" t="n"/>
      <c r="L142" s="111" t="n"/>
      <c r="M142" s="112" t="n"/>
      <c r="N142" s="112" t="n"/>
      <c r="O142" s="111">
        <f>L142+I142+F142+C142</f>
        <v/>
      </c>
      <c r="P142" s="112">
        <f>M142+J142+G142+D142</f>
        <v/>
      </c>
      <c r="Q142" s="112">
        <f>N142+K142+H142+E142</f>
        <v/>
      </c>
      <c r="R142" s="111">
        <f>SUMIFS('PO Log'!$E:$E,'PO Log'!$D:$D,'Category Table'!R$2,'PO Log'!$C:$C,'Category Table'!$A142)</f>
        <v/>
      </c>
      <c r="S142" s="112">
        <f>SUMIFS('PO Log'!$E:$E,'PO Log'!$D:$D,'Category Table'!S$2,'PO Log'!$C:$C,'Category Table'!$A142)</f>
        <v/>
      </c>
      <c r="T142" s="112">
        <f>SUMIFS('PO Log'!$E:$E,'PO Log'!$D:$D,'Category Table'!T$2,'PO Log'!$C:$C,'Category Table'!$A142)</f>
        <v/>
      </c>
      <c r="U142" s="111">
        <f>SUMIFS('Committments Dump'!$Q:$Q,'Committments Dump'!$C:$C,'Category Table'!U$2,'Committments Dump'!$B:$B,'Category Table'!$A142)</f>
        <v/>
      </c>
      <c r="V142" s="112">
        <f>SUMIFS('Committments Dump'!$Q:$Q,'Committments Dump'!$C:$C,'Category Table'!V$2,'Committments Dump'!$B:$B,'Category Table'!$A142)</f>
        <v/>
      </c>
      <c r="W142" s="112">
        <f>SUMIFS('Committments Dump'!$Q:$Q,'Committments Dump'!$C:$C,'Category Table'!W$2,'Committments Dump'!$B:$B,'Category Table'!$A142)</f>
        <v/>
      </c>
      <c r="X142" s="111">
        <f>SUMIFS('Committments Dump'!$R:$R,'Committments Dump'!$C:$C,'Category Table'!X$2,'Committments Dump'!$B:$B,'Category Table'!$A142)</f>
        <v/>
      </c>
      <c r="Y142" s="112">
        <f>SUMIFS('Committments Dump'!$R:$R,'Committments Dump'!$C:$C,'Category Table'!Y$2,'Committments Dump'!$B:$B,'Category Table'!$A142)</f>
        <v/>
      </c>
      <c r="Z142" s="112">
        <f>SUMIFS('Committments Dump'!$R:$R,'Committments Dump'!$C:$C,'Category Table'!Z$2,'Committments Dump'!$B:$B,'Category Table'!$A142)</f>
        <v/>
      </c>
      <c r="AA142" s="111">
        <f>SUMIFS('Committments Dump'!$S:$S,'Committments Dump'!$C:$C,'Category Table'!AA$2,'Committments Dump'!$B:$B,'Category Table'!$A142)</f>
        <v/>
      </c>
      <c r="AB142" s="112">
        <f>SUMIFS('Committments Dump'!$S:$S,'Committments Dump'!$C:$C,'Category Table'!AB$2,'Committments Dump'!$B:$B,'Category Table'!$A142)</f>
        <v/>
      </c>
      <c r="AC142" s="112">
        <f>SUMIFS('Committments Dump'!$S:$S,'Committments Dump'!$C:$C,'Category Table'!AC$2,'Committments Dump'!$B:$B,'Category Table'!$A142)</f>
        <v/>
      </c>
      <c r="AD142" s="111">
        <f>U142+X142+AA142</f>
        <v/>
      </c>
      <c r="AE142" s="112">
        <f>V142+Y142+AB142</f>
        <v/>
      </c>
      <c r="AF142" s="112">
        <f>W142+Z142+AC142</f>
        <v/>
      </c>
      <c r="AG142" s="111">
        <f>R142+AD142</f>
        <v/>
      </c>
      <c r="AH142" s="112">
        <f>S142+AE142</f>
        <v/>
      </c>
      <c r="AI142" s="112">
        <f>T142+AF142</f>
        <v/>
      </c>
      <c r="AJ142" s="111" t="n"/>
      <c r="AK142" s="112" t="n"/>
      <c r="AL142" s="112" t="n"/>
      <c r="AM142" s="111">
        <f>(O142-AG142)+AJ142</f>
        <v/>
      </c>
      <c r="AN142" s="112">
        <f>(P142-AH142)+AK142</f>
        <v/>
      </c>
      <c r="AO142" s="112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13" t="n"/>
      <c r="D143" s="114" t="n"/>
      <c r="E143" s="114" t="n"/>
      <c r="F143" s="113" t="n"/>
      <c r="G143" s="114" t="n"/>
      <c r="H143" s="114" t="n"/>
      <c r="I143" s="113" t="n"/>
      <c r="J143" s="114" t="n"/>
      <c r="K143" s="114" t="n"/>
      <c r="L143" s="113" t="n"/>
      <c r="M143" s="114" t="n"/>
      <c r="N143" s="114" t="n"/>
      <c r="O143" s="113">
        <f>L143+I143+F143+C143</f>
        <v/>
      </c>
      <c r="P143" s="114">
        <f>M143+J143+G143+D143</f>
        <v/>
      </c>
      <c r="Q143" s="114">
        <f>N143+K143+H143+E143</f>
        <v/>
      </c>
      <c r="R143" s="113">
        <f>SUMIFS('PO Log'!$E:$E,'PO Log'!$D:$D,'Category Table'!R$2,'PO Log'!$C:$C,'Category Table'!$A143)</f>
        <v/>
      </c>
      <c r="S143" s="114">
        <f>SUMIFS('PO Log'!$E:$E,'PO Log'!$D:$D,'Category Table'!S$2,'PO Log'!$C:$C,'Category Table'!$A143)</f>
        <v/>
      </c>
      <c r="T143" s="114">
        <f>SUMIFS('PO Log'!$E:$E,'PO Log'!$D:$D,'Category Table'!T$2,'PO Log'!$C:$C,'Category Table'!$A143)</f>
        <v/>
      </c>
      <c r="U143" s="113">
        <f>SUMIFS('Committments Dump'!$Q:$Q,'Committments Dump'!$C:$C,'Category Table'!U$2,'Committments Dump'!$B:$B,'Category Table'!$A143)</f>
        <v/>
      </c>
      <c r="V143" s="114">
        <f>SUMIFS('Committments Dump'!$Q:$Q,'Committments Dump'!$C:$C,'Category Table'!V$2,'Committments Dump'!$B:$B,'Category Table'!$A143)</f>
        <v/>
      </c>
      <c r="W143" s="114">
        <f>SUMIFS('Committments Dump'!$Q:$Q,'Committments Dump'!$C:$C,'Category Table'!W$2,'Committments Dump'!$B:$B,'Category Table'!$A143)</f>
        <v/>
      </c>
      <c r="X143" s="113">
        <f>SUMIFS('Committments Dump'!$R:$R,'Committments Dump'!$C:$C,'Category Table'!X$2,'Committments Dump'!$B:$B,'Category Table'!$A143)</f>
        <v/>
      </c>
      <c r="Y143" s="114">
        <f>SUMIFS('Committments Dump'!$R:$R,'Committments Dump'!$C:$C,'Category Table'!Y$2,'Committments Dump'!$B:$B,'Category Table'!$A143)</f>
        <v/>
      </c>
      <c r="Z143" s="114">
        <f>SUMIFS('Committments Dump'!$R:$R,'Committments Dump'!$C:$C,'Category Table'!Z$2,'Committments Dump'!$B:$B,'Category Table'!$A143)</f>
        <v/>
      </c>
      <c r="AA143" s="113">
        <f>SUMIFS('Committments Dump'!$S:$S,'Committments Dump'!$C:$C,'Category Table'!AA$2,'Committments Dump'!$B:$B,'Category Table'!$A143)</f>
        <v/>
      </c>
      <c r="AB143" s="114">
        <f>SUMIFS('Committments Dump'!$S:$S,'Committments Dump'!$C:$C,'Category Table'!AB$2,'Committments Dump'!$B:$B,'Category Table'!$A143)</f>
        <v/>
      </c>
      <c r="AC143" s="114">
        <f>SUMIFS('Committments Dump'!$S:$S,'Committments Dump'!$C:$C,'Category Table'!AC$2,'Committments Dump'!$B:$B,'Category Table'!$A143)</f>
        <v/>
      </c>
      <c r="AD143" s="113">
        <f>U143+X143+AA143</f>
        <v/>
      </c>
      <c r="AE143" s="114">
        <f>V143+Y143+AB143</f>
        <v/>
      </c>
      <c r="AF143" s="114">
        <f>W143+Z143+AC143</f>
        <v/>
      </c>
      <c r="AG143" s="113">
        <f>R143+AD143</f>
        <v/>
      </c>
      <c r="AH143" s="114">
        <f>S143+AE143</f>
        <v/>
      </c>
      <c r="AI143" s="114">
        <f>T143+AF143</f>
        <v/>
      </c>
      <c r="AJ143" s="113" t="n"/>
      <c r="AK143" s="114" t="n"/>
      <c r="AL143" s="114" t="n"/>
      <c r="AM143" s="113">
        <f>(O143-AG143)+AJ143</f>
        <v/>
      </c>
      <c r="AN143" s="114">
        <f>(P143-AH143)+AK143</f>
        <v/>
      </c>
      <c r="AO143" s="114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11" t="n"/>
      <c r="D144" s="112" t="n"/>
      <c r="E144" s="112" t="n"/>
      <c r="F144" s="111" t="n"/>
      <c r="G144" s="112" t="n"/>
      <c r="H144" s="112" t="n"/>
      <c r="I144" s="111" t="n"/>
      <c r="J144" s="112" t="n"/>
      <c r="K144" s="112" t="n"/>
      <c r="L144" s="111" t="n"/>
      <c r="M144" s="112" t="n"/>
      <c r="N144" s="112" t="n"/>
      <c r="O144" s="111">
        <f>L144+I144+F144+C144</f>
        <v/>
      </c>
      <c r="P144" s="112">
        <f>M144+J144+G144+D144</f>
        <v/>
      </c>
      <c r="Q144" s="112">
        <f>N144+K144+H144+E144</f>
        <v/>
      </c>
      <c r="R144" s="111">
        <f>SUMIFS('PO Log'!$E:$E,'PO Log'!$D:$D,'Category Table'!R$2,'PO Log'!$C:$C,'Category Table'!$A144)</f>
        <v/>
      </c>
      <c r="S144" s="112">
        <f>SUMIFS('PO Log'!$E:$E,'PO Log'!$D:$D,'Category Table'!S$2,'PO Log'!$C:$C,'Category Table'!$A144)</f>
        <v/>
      </c>
      <c r="T144" s="112">
        <f>SUMIFS('PO Log'!$E:$E,'PO Log'!$D:$D,'Category Table'!T$2,'PO Log'!$C:$C,'Category Table'!$A144)</f>
        <v/>
      </c>
      <c r="U144" s="111">
        <f>SUMIFS('Committments Dump'!$Q:$Q,'Committments Dump'!$C:$C,'Category Table'!U$2,'Committments Dump'!$B:$B,'Category Table'!$A144)</f>
        <v/>
      </c>
      <c r="V144" s="112">
        <f>SUMIFS('Committments Dump'!$Q:$Q,'Committments Dump'!$C:$C,'Category Table'!V$2,'Committments Dump'!$B:$B,'Category Table'!$A144)</f>
        <v/>
      </c>
      <c r="W144" s="112">
        <f>SUMIFS('Committments Dump'!$Q:$Q,'Committments Dump'!$C:$C,'Category Table'!W$2,'Committments Dump'!$B:$B,'Category Table'!$A144)</f>
        <v/>
      </c>
      <c r="X144" s="111">
        <f>SUMIFS('Committments Dump'!$R:$R,'Committments Dump'!$C:$C,'Category Table'!X$2,'Committments Dump'!$B:$B,'Category Table'!$A144)</f>
        <v/>
      </c>
      <c r="Y144" s="112">
        <f>SUMIFS('Committments Dump'!$R:$R,'Committments Dump'!$C:$C,'Category Table'!Y$2,'Committments Dump'!$B:$B,'Category Table'!$A144)</f>
        <v/>
      </c>
      <c r="Z144" s="112">
        <f>SUMIFS('Committments Dump'!$R:$R,'Committments Dump'!$C:$C,'Category Table'!Z$2,'Committments Dump'!$B:$B,'Category Table'!$A144)</f>
        <v/>
      </c>
      <c r="AA144" s="111">
        <f>SUMIFS('Committments Dump'!$S:$S,'Committments Dump'!$C:$C,'Category Table'!AA$2,'Committments Dump'!$B:$B,'Category Table'!$A144)</f>
        <v/>
      </c>
      <c r="AB144" s="112">
        <f>SUMIFS('Committments Dump'!$S:$S,'Committments Dump'!$C:$C,'Category Table'!AB$2,'Committments Dump'!$B:$B,'Category Table'!$A144)</f>
        <v/>
      </c>
      <c r="AC144" s="112">
        <f>SUMIFS('Committments Dump'!$S:$S,'Committments Dump'!$C:$C,'Category Table'!AC$2,'Committments Dump'!$B:$B,'Category Table'!$A144)</f>
        <v/>
      </c>
      <c r="AD144" s="111">
        <f>U144+X144+AA144</f>
        <v/>
      </c>
      <c r="AE144" s="112">
        <f>V144+Y144+AB144</f>
        <v/>
      </c>
      <c r="AF144" s="112">
        <f>W144+Z144+AC144</f>
        <v/>
      </c>
      <c r="AG144" s="111">
        <f>R144+AD144</f>
        <v/>
      </c>
      <c r="AH144" s="112">
        <f>S144+AE144</f>
        <v/>
      </c>
      <c r="AI144" s="112">
        <f>T144+AF144</f>
        <v/>
      </c>
      <c r="AJ144" s="111" t="n"/>
      <c r="AK144" s="112" t="n"/>
      <c r="AL144" s="112" t="n"/>
      <c r="AM144" s="111">
        <f>(O144-AG144)+AJ144</f>
        <v/>
      </c>
      <c r="AN144" s="112">
        <f>(P144-AH144)+AK144</f>
        <v/>
      </c>
      <c r="AO144" s="112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13" t="n"/>
      <c r="D145" s="114" t="n"/>
      <c r="E145" s="114" t="n"/>
      <c r="F145" s="113" t="n"/>
      <c r="G145" s="114" t="n"/>
      <c r="H145" s="114" t="n"/>
      <c r="I145" s="113" t="n"/>
      <c r="J145" s="114" t="n"/>
      <c r="K145" s="114" t="n"/>
      <c r="L145" s="113" t="n"/>
      <c r="M145" s="114" t="n"/>
      <c r="N145" s="114" t="n"/>
      <c r="O145" s="113">
        <f>L145+I145+F145+C145</f>
        <v/>
      </c>
      <c r="P145" s="114">
        <f>M145+J145+G145+D145</f>
        <v/>
      </c>
      <c r="Q145" s="114">
        <f>N145+K145+H145+E145</f>
        <v/>
      </c>
      <c r="R145" s="113">
        <f>SUMIFS('PO Log'!$E:$E,'PO Log'!$D:$D,'Category Table'!R$2,'PO Log'!$C:$C,'Category Table'!$A145)</f>
        <v/>
      </c>
      <c r="S145" s="114">
        <f>SUMIFS('PO Log'!$E:$E,'PO Log'!$D:$D,'Category Table'!S$2,'PO Log'!$C:$C,'Category Table'!$A145)</f>
        <v/>
      </c>
      <c r="T145" s="114">
        <f>SUMIFS('PO Log'!$E:$E,'PO Log'!$D:$D,'Category Table'!T$2,'PO Log'!$C:$C,'Category Table'!$A145)</f>
        <v/>
      </c>
      <c r="U145" s="113">
        <f>SUMIFS('Committments Dump'!$Q:$Q,'Committments Dump'!$C:$C,'Category Table'!U$2,'Committments Dump'!$B:$B,'Category Table'!$A145)</f>
        <v/>
      </c>
      <c r="V145" s="114">
        <f>SUMIFS('Committments Dump'!$Q:$Q,'Committments Dump'!$C:$C,'Category Table'!V$2,'Committments Dump'!$B:$B,'Category Table'!$A145)</f>
        <v/>
      </c>
      <c r="W145" s="114">
        <f>SUMIFS('Committments Dump'!$Q:$Q,'Committments Dump'!$C:$C,'Category Table'!W$2,'Committments Dump'!$B:$B,'Category Table'!$A145)</f>
        <v/>
      </c>
      <c r="X145" s="113">
        <f>SUMIFS('Committments Dump'!$R:$R,'Committments Dump'!$C:$C,'Category Table'!X$2,'Committments Dump'!$B:$B,'Category Table'!$A145)</f>
        <v/>
      </c>
      <c r="Y145" s="114">
        <f>SUMIFS('Committments Dump'!$R:$R,'Committments Dump'!$C:$C,'Category Table'!Y$2,'Committments Dump'!$B:$B,'Category Table'!$A145)</f>
        <v/>
      </c>
      <c r="Z145" s="114">
        <f>SUMIFS('Committments Dump'!$R:$R,'Committments Dump'!$C:$C,'Category Table'!Z$2,'Committments Dump'!$B:$B,'Category Table'!$A145)</f>
        <v/>
      </c>
      <c r="AA145" s="113">
        <f>SUMIFS('Committments Dump'!$S:$S,'Committments Dump'!$C:$C,'Category Table'!AA$2,'Committments Dump'!$B:$B,'Category Table'!$A145)</f>
        <v/>
      </c>
      <c r="AB145" s="114">
        <f>SUMIFS('Committments Dump'!$S:$S,'Committments Dump'!$C:$C,'Category Table'!AB$2,'Committments Dump'!$B:$B,'Category Table'!$A145)</f>
        <v/>
      </c>
      <c r="AC145" s="114">
        <f>SUMIFS('Committments Dump'!$S:$S,'Committments Dump'!$C:$C,'Category Table'!AC$2,'Committments Dump'!$B:$B,'Category Table'!$A145)</f>
        <v/>
      </c>
      <c r="AD145" s="113">
        <f>U145+X145+AA145</f>
        <v/>
      </c>
      <c r="AE145" s="114">
        <f>V145+Y145+AB145</f>
        <v/>
      </c>
      <c r="AF145" s="114">
        <f>W145+Z145+AC145</f>
        <v/>
      </c>
      <c r="AG145" s="113">
        <f>R145+AD145</f>
        <v/>
      </c>
      <c r="AH145" s="114">
        <f>S145+AE145</f>
        <v/>
      </c>
      <c r="AI145" s="114">
        <f>T145+AF145</f>
        <v/>
      </c>
      <c r="AJ145" s="113" t="n"/>
      <c r="AK145" s="114" t="n"/>
      <c r="AL145" s="114" t="n"/>
      <c r="AM145" s="113">
        <f>(O145-AG145)+AJ145</f>
        <v/>
      </c>
      <c r="AN145" s="114">
        <f>(P145-AH145)+AK145</f>
        <v/>
      </c>
      <c r="AO145" s="114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11" t="n"/>
      <c r="D146" s="112" t="n"/>
      <c r="E146" s="112" t="n"/>
      <c r="F146" s="111" t="n"/>
      <c r="G146" s="112" t="n"/>
      <c r="H146" s="112" t="n"/>
      <c r="I146" s="111" t="n"/>
      <c r="J146" s="112" t="n"/>
      <c r="K146" s="112" t="n"/>
      <c r="L146" s="111" t="n"/>
      <c r="M146" s="112" t="n"/>
      <c r="N146" s="112" t="n"/>
      <c r="O146" s="111">
        <f>L146+I146+F146+C146</f>
        <v/>
      </c>
      <c r="P146" s="112">
        <f>M146+J146+G146+D146</f>
        <v/>
      </c>
      <c r="Q146" s="112">
        <f>N146+K146+H146+E146</f>
        <v/>
      </c>
      <c r="R146" s="111">
        <f>SUMIFS('PO Log'!$E:$E,'PO Log'!$D:$D,'Category Table'!R$2,'PO Log'!$C:$C,'Category Table'!$A146)</f>
        <v/>
      </c>
      <c r="S146" s="112">
        <f>SUMIFS('PO Log'!$E:$E,'PO Log'!$D:$D,'Category Table'!S$2,'PO Log'!$C:$C,'Category Table'!$A146)</f>
        <v/>
      </c>
      <c r="T146" s="112">
        <f>SUMIFS('PO Log'!$E:$E,'PO Log'!$D:$D,'Category Table'!T$2,'PO Log'!$C:$C,'Category Table'!$A146)</f>
        <v/>
      </c>
      <c r="U146" s="111">
        <f>SUMIFS('Committments Dump'!$Q:$Q,'Committments Dump'!$C:$C,'Category Table'!U$2,'Committments Dump'!$B:$B,'Category Table'!$A146)</f>
        <v/>
      </c>
      <c r="V146" s="112">
        <f>SUMIFS('Committments Dump'!$Q:$Q,'Committments Dump'!$C:$C,'Category Table'!V$2,'Committments Dump'!$B:$B,'Category Table'!$A146)</f>
        <v/>
      </c>
      <c r="W146" s="112">
        <f>SUMIFS('Committments Dump'!$Q:$Q,'Committments Dump'!$C:$C,'Category Table'!W$2,'Committments Dump'!$B:$B,'Category Table'!$A146)</f>
        <v/>
      </c>
      <c r="X146" s="111">
        <f>SUMIFS('Committments Dump'!$R:$R,'Committments Dump'!$C:$C,'Category Table'!X$2,'Committments Dump'!$B:$B,'Category Table'!$A146)</f>
        <v/>
      </c>
      <c r="Y146" s="112">
        <f>SUMIFS('Committments Dump'!$R:$R,'Committments Dump'!$C:$C,'Category Table'!Y$2,'Committments Dump'!$B:$B,'Category Table'!$A146)</f>
        <v/>
      </c>
      <c r="Z146" s="112">
        <f>SUMIFS('Committments Dump'!$R:$R,'Committments Dump'!$C:$C,'Category Table'!Z$2,'Committments Dump'!$B:$B,'Category Table'!$A146)</f>
        <v/>
      </c>
      <c r="AA146" s="111">
        <f>SUMIFS('Committments Dump'!$S:$S,'Committments Dump'!$C:$C,'Category Table'!AA$2,'Committments Dump'!$B:$B,'Category Table'!$A146)</f>
        <v/>
      </c>
      <c r="AB146" s="112">
        <f>SUMIFS('Committments Dump'!$S:$S,'Committments Dump'!$C:$C,'Category Table'!AB$2,'Committments Dump'!$B:$B,'Category Table'!$A146)</f>
        <v/>
      </c>
      <c r="AC146" s="112">
        <f>SUMIFS('Committments Dump'!$S:$S,'Committments Dump'!$C:$C,'Category Table'!AC$2,'Committments Dump'!$B:$B,'Category Table'!$A146)</f>
        <v/>
      </c>
      <c r="AD146" s="111">
        <f>U146+X146+AA146</f>
        <v/>
      </c>
      <c r="AE146" s="112">
        <f>V146+Y146+AB146</f>
        <v/>
      </c>
      <c r="AF146" s="112">
        <f>W146+Z146+AC146</f>
        <v/>
      </c>
      <c r="AG146" s="111">
        <f>R146+AD146</f>
        <v/>
      </c>
      <c r="AH146" s="112">
        <f>S146+AE146</f>
        <v/>
      </c>
      <c r="AI146" s="112">
        <f>T146+AF146</f>
        <v/>
      </c>
      <c r="AJ146" s="111" t="n"/>
      <c r="AK146" s="112" t="n"/>
      <c r="AL146" s="112" t="n"/>
      <c r="AM146" s="111">
        <f>(O146-AG146)+AJ146</f>
        <v/>
      </c>
      <c r="AN146" s="112">
        <f>(P146-AH146)+AK146</f>
        <v/>
      </c>
      <c r="AO146" s="112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13" t="n"/>
      <c r="D147" s="114" t="n"/>
      <c r="E147" s="114" t="n"/>
      <c r="F147" s="113" t="n"/>
      <c r="G147" s="114" t="n"/>
      <c r="H147" s="114" t="n"/>
      <c r="I147" s="113" t="n"/>
      <c r="J147" s="114" t="n"/>
      <c r="K147" s="114" t="n"/>
      <c r="L147" s="113" t="n"/>
      <c r="M147" s="114" t="n"/>
      <c r="N147" s="114" t="n"/>
      <c r="O147" s="113">
        <f>L147+I147+F147+C147</f>
        <v/>
      </c>
      <c r="P147" s="114">
        <f>M147+J147+G147+D147</f>
        <v/>
      </c>
      <c r="Q147" s="114">
        <f>N147+K147+H147+E147</f>
        <v/>
      </c>
      <c r="R147" s="113">
        <f>SUMIFS('PO Log'!$E:$E,'PO Log'!$D:$D,'Category Table'!R$2,'PO Log'!$C:$C,'Category Table'!$A147)</f>
        <v/>
      </c>
      <c r="S147" s="114">
        <f>SUMIFS('PO Log'!$E:$E,'PO Log'!$D:$D,'Category Table'!S$2,'PO Log'!$C:$C,'Category Table'!$A147)</f>
        <v/>
      </c>
      <c r="T147" s="114">
        <f>SUMIFS('PO Log'!$E:$E,'PO Log'!$D:$D,'Category Table'!T$2,'PO Log'!$C:$C,'Category Table'!$A147)</f>
        <v/>
      </c>
      <c r="U147" s="113">
        <f>SUMIFS('Committments Dump'!$Q:$Q,'Committments Dump'!$C:$C,'Category Table'!U$2,'Committments Dump'!$B:$B,'Category Table'!$A147)</f>
        <v/>
      </c>
      <c r="V147" s="114">
        <f>SUMIFS('Committments Dump'!$Q:$Q,'Committments Dump'!$C:$C,'Category Table'!V$2,'Committments Dump'!$B:$B,'Category Table'!$A147)</f>
        <v/>
      </c>
      <c r="W147" s="114">
        <f>SUMIFS('Committments Dump'!$Q:$Q,'Committments Dump'!$C:$C,'Category Table'!W$2,'Committments Dump'!$B:$B,'Category Table'!$A147)</f>
        <v/>
      </c>
      <c r="X147" s="113">
        <f>SUMIFS('Committments Dump'!$R:$R,'Committments Dump'!$C:$C,'Category Table'!X$2,'Committments Dump'!$B:$B,'Category Table'!$A147)</f>
        <v/>
      </c>
      <c r="Y147" s="114">
        <f>SUMIFS('Committments Dump'!$R:$R,'Committments Dump'!$C:$C,'Category Table'!Y$2,'Committments Dump'!$B:$B,'Category Table'!$A147)</f>
        <v/>
      </c>
      <c r="Z147" s="114">
        <f>SUMIFS('Committments Dump'!$R:$R,'Committments Dump'!$C:$C,'Category Table'!Z$2,'Committments Dump'!$B:$B,'Category Table'!$A147)</f>
        <v/>
      </c>
      <c r="AA147" s="113">
        <f>SUMIFS('Committments Dump'!$S:$S,'Committments Dump'!$C:$C,'Category Table'!AA$2,'Committments Dump'!$B:$B,'Category Table'!$A147)</f>
        <v/>
      </c>
      <c r="AB147" s="114">
        <f>SUMIFS('Committments Dump'!$S:$S,'Committments Dump'!$C:$C,'Category Table'!AB$2,'Committments Dump'!$B:$B,'Category Table'!$A147)</f>
        <v/>
      </c>
      <c r="AC147" s="114">
        <f>SUMIFS('Committments Dump'!$S:$S,'Committments Dump'!$C:$C,'Category Table'!AC$2,'Committments Dump'!$B:$B,'Category Table'!$A147)</f>
        <v/>
      </c>
      <c r="AD147" s="113">
        <f>U147+X147+AA147</f>
        <v/>
      </c>
      <c r="AE147" s="114">
        <f>V147+Y147+AB147</f>
        <v/>
      </c>
      <c r="AF147" s="114">
        <f>W147+Z147+AC147</f>
        <v/>
      </c>
      <c r="AG147" s="113">
        <f>R147+AD147</f>
        <v/>
      </c>
      <c r="AH147" s="114">
        <f>S147+AE147</f>
        <v/>
      </c>
      <c r="AI147" s="114">
        <f>T147+AF147</f>
        <v/>
      </c>
      <c r="AJ147" s="113" t="n"/>
      <c r="AK147" s="114" t="n"/>
      <c r="AL147" s="114" t="n"/>
      <c r="AM147" s="113">
        <f>(O147-AG147)+AJ147</f>
        <v/>
      </c>
      <c r="AN147" s="114">
        <f>(P147-AH147)+AK147</f>
        <v/>
      </c>
      <c r="AO147" s="114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11" t="n"/>
      <c r="D148" s="112" t="n"/>
      <c r="E148" s="112" t="n"/>
      <c r="F148" s="111" t="n"/>
      <c r="G148" s="112" t="n"/>
      <c r="H148" s="112" t="n"/>
      <c r="I148" s="111" t="n"/>
      <c r="J148" s="112" t="n"/>
      <c r="K148" s="112" t="n"/>
      <c r="L148" s="111" t="n"/>
      <c r="M148" s="112" t="n"/>
      <c r="N148" s="112" t="n"/>
      <c r="O148" s="111">
        <f>L148+I148+F148+C148</f>
        <v/>
      </c>
      <c r="P148" s="112">
        <f>M148+J148+G148+D148</f>
        <v/>
      </c>
      <c r="Q148" s="112">
        <f>N148+K148+H148+E148</f>
        <v/>
      </c>
      <c r="R148" s="111">
        <f>SUMIFS('PO Log'!$E:$E,'PO Log'!$D:$D,'Category Table'!R$2,'PO Log'!$C:$C,'Category Table'!$A148)</f>
        <v/>
      </c>
      <c r="S148" s="112">
        <f>SUMIFS('PO Log'!$E:$E,'PO Log'!$D:$D,'Category Table'!S$2,'PO Log'!$C:$C,'Category Table'!$A148)</f>
        <v/>
      </c>
      <c r="T148" s="112">
        <f>SUMIFS('PO Log'!$E:$E,'PO Log'!$D:$D,'Category Table'!T$2,'PO Log'!$C:$C,'Category Table'!$A148)</f>
        <v/>
      </c>
      <c r="U148" s="111">
        <f>SUMIFS('Committments Dump'!$Q:$Q,'Committments Dump'!$C:$C,'Category Table'!U$2,'Committments Dump'!$B:$B,'Category Table'!$A148)</f>
        <v/>
      </c>
      <c r="V148" s="112">
        <f>SUMIFS('Committments Dump'!$Q:$Q,'Committments Dump'!$C:$C,'Category Table'!V$2,'Committments Dump'!$B:$B,'Category Table'!$A148)</f>
        <v/>
      </c>
      <c r="W148" s="112">
        <f>SUMIFS('Committments Dump'!$Q:$Q,'Committments Dump'!$C:$C,'Category Table'!W$2,'Committments Dump'!$B:$B,'Category Table'!$A148)</f>
        <v/>
      </c>
      <c r="X148" s="111">
        <f>SUMIFS('Committments Dump'!$R:$R,'Committments Dump'!$C:$C,'Category Table'!X$2,'Committments Dump'!$B:$B,'Category Table'!$A148)</f>
        <v/>
      </c>
      <c r="Y148" s="112">
        <f>SUMIFS('Committments Dump'!$R:$R,'Committments Dump'!$C:$C,'Category Table'!Y$2,'Committments Dump'!$B:$B,'Category Table'!$A148)</f>
        <v/>
      </c>
      <c r="Z148" s="112">
        <f>SUMIFS('Committments Dump'!$R:$R,'Committments Dump'!$C:$C,'Category Table'!Z$2,'Committments Dump'!$B:$B,'Category Table'!$A148)</f>
        <v/>
      </c>
      <c r="AA148" s="111">
        <f>SUMIFS('Committments Dump'!$S:$S,'Committments Dump'!$C:$C,'Category Table'!AA$2,'Committments Dump'!$B:$B,'Category Table'!$A148)</f>
        <v/>
      </c>
      <c r="AB148" s="112">
        <f>SUMIFS('Committments Dump'!$S:$S,'Committments Dump'!$C:$C,'Category Table'!AB$2,'Committments Dump'!$B:$B,'Category Table'!$A148)</f>
        <v/>
      </c>
      <c r="AC148" s="112">
        <f>SUMIFS('Committments Dump'!$S:$S,'Committments Dump'!$C:$C,'Category Table'!AC$2,'Committments Dump'!$B:$B,'Category Table'!$A148)</f>
        <v/>
      </c>
      <c r="AD148" s="111">
        <f>U148+X148+AA148</f>
        <v/>
      </c>
      <c r="AE148" s="112">
        <f>V148+Y148+AB148</f>
        <v/>
      </c>
      <c r="AF148" s="112">
        <f>W148+Z148+AC148</f>
        <v/>
      </c>
      <c r="AG148" s="111">
        <f>R148+AD148</f>
        <v/>
      </c>
      <c r="AH148" s="112">
        <f>S148+AE148</f>
        <v/>
      </c>
      <c r="AI148" s="112">
        <f>T148+AF148</f>
        <v/>
      </c>
      <c r="AJ148" s="111" t="n"/>
      <c r="AK148" s="112" t="n"/>
      <c r="AL148" s="112" t="n"/>
      <c r="AM148" s="111">
        <f>(O148-AG148)+AJ148</f>
        <v/>
      </c>
      <c r="AN148" s="112">
        <f>(P148-AH148)+AK148</f>
        <v/>
      </c>
      <c r="AO148" s="112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13" t="n"/>
      <c r="D149" s="114" t="n"/>
      <c r="E149" s="114" t="n"/>
      <c r="F149" s="113" t="n"/>
      <c r="G149" s="114" t="n"/>
      <c r="H149" s="114" t="n"/>
      <c r="I149" s="113" t="n"/>
      <c r="J149" s="114" t="n"/>
      <c r="K149" s="114" t="n"/>
      <c r="L149" s="113" t="n"/>
      <c r="M149" s="114" t="n"/>
      <c r="N149" s="114" t="n"/>
      <c r="O149" s="113">
        <f>L149+I149+F149+C149</f>
        <v/>
      </c>
      <c r="P149" s="114">
        <f>M149+J149+G149+D149</f>
        <v/>
      </c>
      <c r="Q149" s="114">
        <f>N149+K149+H149+E149</f>
        <v/>
      </c>
      <c r="R149" s="113">
        <f>SUMIFS('PO Log'!$E:$E,'PO Log'!$D:$D,'Category Table'!R$2,'PO Log'!$C:$C,'Category Table'!$A149)</f>
        <v/>
      </c>
      <c r="S149" s="114">
        <f>SUMIFS('PO Log'!$E:$E,'PO Log'!$D:$D,'Category Table'!S$2,'PO Log'!$C:$C,'Category Table'!$A149)</f>
        <v/>
      </c>
      <c r="T149" s="114">
        <f>SUMIFS('PO Log'!$E:$E,'PO Log'!$D:$D,'Category Table'!T$2,'PO Log'!$C:$C,'Category Table'!$A149)</f>
        <v/>
      </c>
      <c r="U149" s="113">
        <f>SUMIFS('Committments Dump'!$Q:$Q,'Committments Dump'!$C:$C,'Category Table'!U$2,'Committments Dump'!$B:$B,'Category Table'!$A149)</f>
        <v/>
      </c>
      <c r="V149" s="114">
        <f>SUMIFS('Committments Dump'!$Q:$Q,'Committments Dump'!$C:$C,'Category Table'!V$2,'Committments Dump'!$B:$B,'Category Table'!$A149)</f>
        <v/>
      </c>
      <c r="W149" s="114">
        <f>SUMIFS('Committments Dump'!$Q:$Q,'Committments Dump'!$C:$C,'Category Table'!W$2,'Committments Dump'!$B:$B,'Category Table'!$A149)</f>
        <v/>
      </c>
      <c r="X149" s="113">
        <f>SUMIFS('Committments Dump'!$R:$R,'Committments Dump'!$C:$C,'Category Table'!X$2,'Committments Dump'!$B:$B,'Category Table'!$A149)</f>
        <v/>
      </c>
      <c r="Y149" s="114">
        <f>SUMIFS('Committments Dump'!$R:$R,'Committments Dump'!$C:$C,'Category Table'!Y$2,'Committments Dump'!$B:$B,'Category Table'!$A149)</f>
        <v/>
      </c>
      <c r="Z149" s="114">
        <f>SUMIFS('Committments Dump'!$R:$R,'Committments Dump'!$C:$C,'Category Table'!Z$2,'Committments Dump'!$B:$B,'Category Table'!$A149)</f>
        <v/>
      </c>
      <c r="AA149" s="113">
        <f>SUMIFS('Committments Dump'!$S:$S,'Committments Dump'!$C:$C,'Category Table'!AA$2,'Committments Dump'!$B:$B,'Category Table'!$A149)</f>
        <v/>
      </c>
      <c r="AB149" s="114">
        <f>SUMIFS('Committments Dump'!$S:$S,'Committments Dump'!$C:$C,'Category Table'!AB$2,'Committments Dump'!$B:$B,'Category Table'!$A149)</f>
        <v/>
      </c>
      <c r="AC149" s="114">
        <f>SUMIFS('Committments Dump'!$S:$S,'Committments Dump'!$C:$C,'Category Table'!AC$2,'Committments Dump'!$B:$B,'Category Table'!$A149)</f>
        <v/>
      </c>
      <c r="AD149" s="113">
        <f>U149+X149+AA149</f>
        <v/>
      </c>
      <c r="AE149" s="114">
        <f>V149+Y149+AB149</f>
        <v/>
      </c>
      <c r="AF149" s="114">
        <f>W149+Z149+AC149</f>
        <v/>
      </c>
      <c r="AG149" s="113">
        <f>R149+AD149</f>
        <v/>
      </c>
      <c r="AH149" s="114">
        <f>S149+AE149</f>
        <v/>
      </c>
      <c r="AI149" s="114">
        <f>T149+AF149</f>
        <v/>
      </c>
      <c r="AJ149" s="113" t="n"/>
      <c r="AK149" s="114" t="n"/>
      <c r="AL149" s="114" t="n"/>
      <c r="AM149" s="113">
        <f>(O149-AG149)+AJ149</f>
        <v/>
      </c>
      <c r="AN149" s="114">
        <f>(P149-AH149)+AK149</f>
        <v/>
      </c>
      <c r="AO149" s="114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11" t="n"/>
      <c r="D150" s="112" t="n"/>
      <c r="E150" s="112" t="n"/>
      <c r="F150" s="111" t="n"/>
      <c r="G150" s="112" t="n"/>
      <c r="H150" s="112" t="n"/>
      <c r="I150" s="111" t="n"/>
      <c r="J150" s="112" t="n"/>
      <c r="K150" s="112" t="n"/>
      <c r="L150" s="111" t="n"/>
      <c r="M150" s="112" t="n"/>
      <c r="N150" s="112" t="n"/>
      <c r="O150" s="111">
        <f>L150+I150+F150+C150</f>
        <v/>
      </c>
      <c r="P150" s="112">
        <f>M150+J150+G150+D150</f>
        <v/>
      </c>
      <c r="Q150" s="112">
        <f>N150+K150+H150+E150</f>
        <v/>
      </c>
      <c r="R150" s="111">
        <f>SUMIFS('PO Log'!$E:$E,'PO Log'!$D:$D,'Category Table'!R$2,'PO Log'!$C:$C,'Category Table'!$A150)</f>
        <v/>
      </c>
      <c r="S150" s="112">
        <f>SUMIFS('PO Log'!$E:$E,'PO Log'!$D:$D,'Category Table'!S$2,'PO Log'!$C:$C,'Category Table'!$A150)</f>
        <v/>
      </c>
      <c r="T150" s="112">
        <f>SUMIFS('PO Log'!$E:$E,'PO Log'!$D:$D,'Category Table'!T$2,'PO Log'!$C:$C,'Category Table'!$A150)</f>
        <v/>
      </c>
      <c r="U150" s="111">
        <f>SUMIFS('Committments Dump'!$Q:$Q,'Committments Dump'!$C:$C,'Category Table'!U$2,'Committments Dump'!$B:$B,'Category Table'!$A150)</f>
        <v/>
      </c>
      <c r="V150" s="112">
        <f>SUMIFS('Committments Dump'!$Q:$Q,'Committments Dump'!$C:$C,'Category Table'!V$2,'Committments Dump'!$B:$B,'Category Table'!$A150)</f>
        <v/>
      </c>
      <c r="W150" s="112">
        <f>SUMIFS('Committments Dump'!$Q:$Q,'Committments Dump'!$C:$C,'Category Table'!W$2,'Committments Dump'!$B:$B,'Category Table'!$A150)</f>
        <v/>
      </c>
      <c r="X150" s="111">
        <f>SUMIFS('Committments Dump'!$R:$R,'Committments Dump'!$C:$C,'Category Table'!X$2,'Committments Dump'!$B:$B,'Category Table'!$A150)</f>
        <v/>
      </c>
      <c r="Y150" s="112">
        <f>SUMIFS('Committments Dump'!$R:$R,'Committments Dump'!$C:$C,'Category Table'!Y$2,'Committments Dump'!$B:$B,'Category Table'!$A150)</f>
        <v/>
      </c>
      <c r="Z150" s="112">
        <f>SUMIFS('Committments Dump'!$R:$R,'Committments Dump'!$C:$C,'Category Table'!Z$2,'Committments Dump'!$B:$B,'Category Table'!$A150)</f>
        <v/>
      </c>
      <c r="AA150" s="111">
        <f>SUMIFS('Committments Dump'!$S:$S,'Committments Dump'!$C:$C,'Category Table'!AA$2,'Committments Dump'!$B:$B,'Category Table'!$A150)</f>
        <v/>
      </c>
      <c r="AB150" s="112">
        <f>SUMIFS('Committments Dump'!$S:$S,'Committments Dump'!$C:$C,'Category Table'!AB$2,'Committments Dump'!$B:$B,'Category Table'!$A150)</f>
        <v/>
      </c>
      <c r="AC150" s="112">
        <f>SUMIFS('Committments Dump'!$S:$S,'Committments Dump'!$C:$C,'Category Table'!AC$2,'Committments Dump'!$B:$B,'Category Table'!$A150)</f>
        <v/>
      </c>
      <c r="AD150" s="111">
        <f>U150+X150+AA150</f>
        <v/>
      </c>
      <c r="AE150" s="112">
        <f>V150+Y150+AB150</f>
        <v/>
      </c>
      <c r="AF150" s="112">
        <f>W150+Z150+AC150</f>
        <v/>
      </c>
      <c r="AG150" s="111">
        <f>R150+AD150</f>
        <v/>
      </c>
      <c r="AH150" s="112">
        <f>S150+AE150</f>
        <v/>
      </c>
      <c r="AI150" s="112">
        <f>T150+AF150</f>
        <v/>
      </c>
      <c r="AJ150" s="111" t="n"/>
      <c r="AK150" s="112" t="n"/>
      <c r="AL150" s="112" t="n"/>
      <c r="AM150" s="111">
        <f>(O150-AG150)+AJ150</f>
        <v/>
      </c>
      <c r="AN150" s="112">
        <f>(P150-AH150)+AK150</f>
        <v/>
      </c>
      <c r="AO150" s="112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13" t="n"/>
      <c r="D151" s="114" t="n"/>
      <c r="E151" s="114" t="n"/>
      <c r="F151" s="113" t="n"/>
      <c r="G151" s="114" t="n"/>
      <c r="H151" s="114" t="n"/>
      <c r="I151" s="113" t="n"/>
      <c r="J151" s="114" t="n"/>
      <c r="K151" s="114" t="n"/>
      <c r="L151" s="113" t="n"/>
      <c r="M151" s="114" t="n"/>
      <c r="N151" s="114" t="n"/>
      <c r="O151" s="113">
        <f>L151+I151+F151+C151</f>
        <v/>
      </c>
      <c r="P151" s="114">
        <f>M151+J151+G151+D151</f>
        <v/>
      </c>
      <c r="Q151" s="114">
        <f>N151+K151+H151+E151</f>
        <v/>
      </c>
      <c r="R151" s="113">
        <f>SUMIFS('PO Log'!$E:$E,'PO Log'!$D:$D,'Category Table'!R$2,'PO Log'!$C:$C,'Category Table'!$A151)</f>
        <v/>
      </c>
      <c r="S151" s="114">
        <f>SUMIFS('PO Log'!$E:$E,'PO Log'!$D:$D,'Category Table'!S$2,'PO Log'!$C:$C,'Category Table'!$A151)</f>
        <v/>
      </c>
      <c r="T151" s="114">
        <f>SUMIFS('PO Log'!$E:$E,'PO Log'!$D:$D,'Category Table'!T$2,'PO Log'!$C:$C,'Category Table'!$A151)</f>
        <v/>
      </c>
      <c r="U151" s="113">
        <f>SUMIFS('Committments Dump'!$Q:$Q,'Committments Dump'!$C:$C,'Category Table'!U$2,'Committments Dump'!$B:$B,'Category Table'!$A151)</f>
        <v/>
      </c>
      <c r="V151" s="114">
        <f>SUMIFS('Committments Dump'!$Q:$Q,'Committments Dump'!$C:$C,'Category Table'!V$2,'Committments Dump'!$B:$B,'Category Table'!$A151)</f>
        <v/>
      </c>
      <c r="W151" s="114">
        <f>SUMIFS('Committments Dump'!$Q:$Q,'Committments Dump'!$C:$C,'Category Table'!W$2,'Committments Dump'!$B:$B,'Category Table'!$A151)</f>
        <v/>
      </c>
      <c r="X151" s="113">
        <f>SUMIFS('Committments Dump'!$R:$R,'Committments Dump'!$C:$C,'Category Table'!X$2,'Committments Dump'!$B:$B,'Category Table'!$A151)</f>
        <v/>
      </c>
      <c r="Y151" s="114">
        <f>SUMIFS('Committments Dump'!$R:$R,'Committments Dump'!$C:$C,'Category Table'!Y$2,'Committments Dump'!$B:$B,'Category Table'!$A151)</f>
        <v/>
      </c>
      <c r="Z151" s="114">
        <f>SUMIFS('Committments Dump'!$R:$R,'Committments Dump'!$C:$C,'Category Table'!Z$2,'Committments Dump'!$B:$B,'Category Table'!$A151)</f>
        <v/>
      </c>
      <c r="AA151" s="113">
        <f>SUMIFS('Committments Dump'!$S:$S,'Committments Dump'!$C:$C,'Category Table'!AA$2,'Committments Dump'!$B:$B,'Category Table'!$A151)</f>
        <v/>
      </c>
      <c r="AB151" s="114">
        <f>SUMIFS('Committments Dump'!$S:$S,'Committments Dump'!$C:$C,'Category Table'!AB$2,'Committments Dump'!$B:$B,'Category Table'!$A151)</f>
        <v/>
      </c>
      <c r="AC151" s="114">
        <f>SUMIFS('Committments Dump'!$S:$S,'Committments Dump'!$C:$C,'Category Table'!AC$2,'Committments Dump'!$B:$B,'Category Table'!$A151)</f>
        <v/>
      </c>
      <c r="AD151" s="113">
        <f>U151+X151+AA151</f>
        <v/>
      </c>
      <c r="AE151" s="114">
        <f>V151+Y151+AB151</f>
        <v/>
      </c>
      <c r="AF151" s="114">
        <f>W151+Z151+AC151</f>
        <v/>
      </c>
      <c r="AG151" s="113">
        <f>R151+AD151</f>
        <v/>
      </c>
      <c r="AH151" s="114">
        <f>S151+AE151</f>
        <v/>
      </c>
      <c r="AI151" s="114">
        <f>T151+AF151</f>
        <v/>
      </c>
      <c r="AJ151" s="113" t="n"/>
      <c r="AK151" s="114" t="n"/>
      <c r="AL151" s="114" t="n"/>
      <c r="AM151" s="113">
        <f>(O151-AG151)+AJ151</f>
        <v/>
      </c>
      <c r="AN151" s="114">
        <f>(P151-AH151)+AK151</f>
        <v/>
      </c>
      <c r="AO151" s="114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11" t="n"/>
      <c r="D152" s="112" t="n"/>
      <c r="E152" s="112" t="n"/>
      <c r="F152" s="111" t="n"/>
      <c r="G152" s="112" t="n"/>
      <c r="H152" s="112" t="n"/>
      <c r="I152" s="111" t="n"/>
      <c r="J152" s="112" t="n"/>
      <c r="K152" s="112" t="n"/>
      <c r="L152" s="111" t="n"/>
      <c r="M152" s="112" t="n"/>
      <c r="N152" s="112" t="n"/>
      <c r="O152" s="111">
        <f>L152+I152+F152+C152</f>
        <v/>
      </c>
      <c r="P152" s="112">
        <f>M152+J152+G152+D152</f>
        <v/>
      </c>
      <c r="Q152" s="112">
        <f>N152+K152+H152+E152</f>
        <v/>
      </c>
      <c r="R152" s="111">
        <f>SUMIFS('PO Log'!$E:$E,'PO Log'!$D:$D,'Category Table'!R$2,'PO Log'!$C:$C,'Category Table'!$A152)</f>
        <v/>
      </c>
      <c r="S152" s="112">
        <f>SUMIFS('PO Log'!$E:$E,'PO Log'!$D:$D,'Category Table'!S$2,'PO Log'!$C:$C,'Category Table'!$A152)</f>
        <v/>
      </c>
      <c r="T152" s="112">
        <f>SUMIFS('PO Log'!$E:$E,'PO Log'!$D:$D,'Category Table'!T$2,'PO Log'!$C:$C,'Category Table'!$A152)</f>
        <v/>
      </c>
      <c r="U152" s="111">
        <f>SUMIFS('Committments Dump'!$Q:$Q,'Committments Dump'!$C:$C,'Category Table'!U$2,'Committments Dump'!$B:$B,'Category Table'!$A152)</f>
        <v/>
      </c>
      <c r="V152" s="112">
        <f>SUMIFS('Committments Dump'!$Q:$Q,'Committments Dump'!$C:$C,'Category Table'!V$2,'Committments Dump'!$B:$B,'Category Table'!$A152)</f>
        <v/>
      </c>
      <c r="W152" s="112">
        <f>SUMIFS('Committments Dump'!$Q:$Q,'Committments Dump'!$C:$C,'Category Table'!W$2,'Committments Dump'!$B:$B,'Category Table'!$A152)</f>
        <v/>
      </c>
      <c r="X152" s="111">
        <f>SUMIFS('Committments Dump'!$R:$R,'Committments Dump'!$C:$C,'Category Table'!X$2,'Committments Dump'!$B:$B,'Category Table'!$A152)</f>
        <v/>
      </c>
      <c r="Y152" s="112">
        <f>SUMIFS('Committments Dump'!$R:$R,'Committments Dump'!$C:$C,'Category Table'!Y$2,'Committments Dump'!$B:$B,'Category Table'!$A152)</f>
        <v/>
      </c>
      <c r="Z152" s="112">
        <f>SUMIFS('Committments Dump'!$R:$R,'Committments Dump'!$C:$C,'Category Table'!Z$2,'Committments Dump'!$B:$B,'Category Table'!$A152)</f>
        <v/>
      </c>
      <c r="AA152" s="111">
        <f>SUMIFS('Committments Dump'!$S:$S,'Committments Dump'!$C:$C,'Category Table'!AA$2,'Committments Dump'!$B:$B,'Category Table'!$A152)</f>
        <v/>
      </c>
      <c r="AB152" s="112">
        <f>SUMIFS('Committments Dump'!$S:$S,'Committments Dump'!$C:$C,'Category Table'!AB$2,'Committments Dump'!$B:$B,'Category Table'!$A152)</f>
        <v/>
      </c>
      <c r="AC152" s="112">
        <f>SUMIFS('Committments Dump'!$S:$S,'Committments Dump'!$C:$C,'Category Table'!AC$2,'Committments Dump'!$B:$B,'Category Table'!$A152)</f>
        <v/>
      </c>
      <c r="AD152" s="111">
        <f>U152+X152+AA152</f>
        <v/>
      </c>
      <c r="AE152" s="112">
        <f>V152+Y152+AB152</f>
        <v/>
      </c>
      <c r="AF152" s="112">
        <f>W152+Z152+AC152</f>
        <v/>
      </c>
      <c r="AG152" s="111">
        <f>R152+AD152</f>
        <v/>
      </c>
      <c r="AH152" s="112">
        <f>S152+AE152</f>
        <v/>
      </c>
      <c r="AI152" s="112">
        <f>T152+AF152</f>
        <v/>
      </c>
      <c r="AJ152" s="111" t="n"/>
      <c r="AK152" s="112" t="n"/>
      <c r="AL152" s="112" t="n"/>
      <c r="AM152" s="111">
        <f>(O152-AG152)+AJ152</f>
        <v/>
      </c>
      <c r="AN152" s="112">
        <f>(P152-AH152)+AK152</f>
        <v/>
      </c>
      <c r="AO152" s="112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13" t="n"/>
      <c r="D153" s="114" t="n"/>
      <c r="E153" s="114" t="n"/>
      <c r="F153" s="113" t="n"/>
      <c r="G153" s="114" t="n"/>
      <c r="H153" s="114" t="n"/>
      <c r="I153" s="113" t="n"/>
      <c r="J153" s="114" t="n"/>
      <c r="K153" s="114" t="n"/>
      <c r="L153" s="113" t="n"/>
      <c r="M153" s="114" t="n"/>
      <c r="N153" s="114" t="n"/>
      <c r="O153" s="113">
        <f>L153+I153+F153+C153</f>
        <v/>
      </c>
      <c r="P153" s="114">
        <f>M153+J153+G153+D153</f>
        <v/>
      </c>
      <c r="Q153" s="114">
        <f>N153+K153+H153+E153</f>
        <v/>
      </c>
      <c r="R153" s="113">
        <f>SUMIFS('PO Log'!$E:$E,'PO Log'!$D:$D,'Category Table'!R$2,'PO Log'!$C:$C,'Category Table'!$A153)</f>
        <v/>
      </c>
      <c r="S153" s="114">
        <f>SUMIFS('PO Log'!$E:$E,'PO Log'!$D:$D,'Category Table'!S$2,'PO Log'!$C:$C,'Category Table'!$A153)</f>
        <v/>
      </c>
      <c r="T153" s="114">
        <f>SUMIFS('PO Log'!$E:$E,'PO Log'!$D:$D,'Category Table'!T$2,'PO Log'!$C:$C,'Category Table'!$A153)</f>
        <v/>
      </c>
      <c r="U153" s="113">
        <f>SUMIFS('Committments Dump'!$Q:$Q,'Committments Dump'!$C:$C,'Category Table'!U$2,'Committments Dump'!$B:$B,'Category Table'!$A153)</f>
        <v/>
      </c>
      <c r="V153" s="114">
        <f>SUMIFS('Committments Dump'!$Q:$Q,'Committments Dump'!$C:$C,'Category Table'!V$2,'Committments Dump'!$B:$B,'Category Table'!$A153)</f>
        <v/>
      </c>
      <c r="W153" s="114">
        <f>SUMIFS('Committments Dump'!$Q:$Q,'Committments Dump'!$C:$C,'Category Table'!W$2,'Committments Dump'!$B:$B,'Category Table'!$A153)</f>
        <v/>
      </c>
      <c r="X153" s="113">
        <f>SUMIFS('Committments Dump'!$R:$R,'Committments Dump'!$C:$C,'Category Table'!X$2,'Committments Dump'!$B:$B,'Category Table'!$A153)</f>
        <v/>
      </c>
      <c r="Y153" s="114">
        <f>SUMIFS('Committments Dump'!$R:$R,'Committments Dump'!$C:$C,'Category Table'!Y$2,'Committments Dump'!$B:$B,'Category Table'!$A153)</f>
        <v/>
      </c>
      <c r="Z153" s="114">
        <f>SUMIFS('Committments Dump'!$R:$R,'Committments Dump'!$C:$C,'Category Table'!Z$2,'Committments Dump'!$B:$B,'Category Table'!$A153)</f>
        <v/>
      </c>
      <c r="AA153" s="113">
        <f>SUMIFS('Committments Dump'!$S:$S,'Committments Dump'!$C:$C,'Category Table'!AA$2,'Committments Dump'!$B:$B,'Category Table'!$A153)</f>
        <v/>
      </c>
      <c r="AB153" s="114">
        <f>SUMIFS('Committments Dump'!$S:$S,'Committments Dump'!$C:$C,'Category Table'!AB$2,'Committments Dump'!$B:$B,'Category Table'!$A153)</f>
        <v/>
      </c>
      <c r="AC153" s="114">
        <f>SUMIFS('Committments Dump'!$S:$S,'Committments Dump'!$C:$C,'Category Table'!AC$2,'Committments Dump'!$B:$B,'Category Table'!$A153)</f>
        <v/>
      </c>
      <c r="AD153" s="113">
        <f>U153+X153+AA153</f>
        <v/>
      </c>
      <c r="AE153" s="114">
        <f>V153+Y153+AB153</f>
        <v/>
      </c>
      <c r="AF153" s="114">
        <f>W153+Z153+AC153</f>
        <v/>
      </c>
      <c r="AG153" s="113">
        <f>R153+AD153</f>
        <v/>
      </c>
      <c r="AH153" s="114">
        <f>S153+AE153</f>
        <v/>
      </c>
      <c r="AI153" s="114">
        <f>T153+AF153</f>
        <v/>
      </c>
      <c r="AJ153" s="113" t="n"/>
      <c r="AK153" s="114" t="n"/>
      <c r="AL153" s="114" t="n"/>
      <c r="AM153" s="113">
        <f>(O153-AG153)+AJ153</f>
        <v/>
      </c>
      <c r="AN153" s="114">
        <f>(P153-AH153)+AK153</f>
        <v/>
      </c>
      <c r="AO153" s="114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11" t="n"/>
      <c r="D154" s="112" t="n"/>
      <c r="E154" s="112" t="n"/>
      <c r="F154" s="111" t="n"/>
      <c r="G154" s="112" t="n"/>
      <c r="H154" s="112" t="n"/>
      <c r="I154" s="111" t="n"/>
      <c r="J154" s="112" t="n"/>
      <c r="K154" s="112" t="n"/>
      <c r="L154" s="111" t="n"/>
      <c r="M154" s="112" t="n"/>
      <c r="N154" s="112" t="n"/>
      <c r="O154" s="111">
        <f>L154+I154+F154+C154</f>
        <v/>
      </c>
      <c r="P154" s="112">
        <f>M154+J154+G154+D154</f>
        <v/>
      </c>
      <c r="Q154" s="112">
        <f>N154+K154+H154+E154</f>
        <v/>
      </c>
      <c r="R154" s="111">
        <f>SUMIFS('PO Log'!$E:$E,'PO Log'!$D:$D,'Category Table'!R$2,'PO Log'!$C:$C,'Category Table'!$A154)</f>
        <v/>
      </c>
      <c r="S154" s="112">
        <f>SUMIFS('PO Log'!$E:$E,'PO Log'!$D:$D,'Category Table'!S$2,'PO Log'!$C:$C,'Category Table'!$A154)</f>
        <v/>
      </c>
      <c r="T154" s="112">
        <f>SUMIFS('PO Log'!$E:$E,'PO Log'!$D:$D,'Category Table'!T$2,'PO Log'!$C:$C,'Category Table'!$A154)</f>
        <v/>
      </c>
      <c r="U154" s="111">
        <f>SUMIFS('Committments Dump'!$Q:$Q,'Committments Dump'!$C:$C,'Category Table'!U$2,'Committments Dump'!$B:$B,'Category Table'!$A154)</f>
        <v/>
      </c>
      <c r="V154" s="112">
        <f>SUMIFS('Committments Dump'!$Q:$Q,'Committments Dump'!$C:$C,'Category Table'!V$2,'Committments Dump'!$B:$B,'Category Table'!$A154)</f>
        <v/>
      </c>
      <c r="W154" s="112">
        <f>SUMIFS('Committments Dump'!$Q:$Q,'Committments Dump'!$C:$C,'Category Table'!W$2,'Committments Dump'!$B:$B,'Category Table'!$A154)</f>
        <v/>
      </c>
      <c r="X154" s="111">
        <f>SUMIFS('Committments Dump'!$R:$R,'Committments Dump'!$C:$C,'Category Table'!X$2,'Committments Dump'!$B:$B,'Category Table'!$A154)</f>
        <v/>
      </c>
      <c r="Y154" s="112">
        <f>SUMIFS('Committments Dump'!$R:$R,'Committments Dump'!$C:$C,'Category Table'!Y$2,'Committments Dump'!$B:$B,'Category Table'!$A154)</f>
        <v/>
      </c>
      <c r="Z154" s="112">
        <f>SUMIFS('Committments Dump'!$R:$R,'Committments Dump'!$C:$C,'Category Table'!Z$2,'Committments Dump'!$B:$B,'Category Table'!$A154)</f>
        <v/>
      </c>
      <c r="AA154" s="111">
        <f>SUMIFS('Committments Dump'!$S:$S,'Committments Dump'!$C:$C,'Category Table'!AA$2,'Committments Dump'!$B:$B,'Category Table'!$A154)</f>
        <v/>
      </c>
      <c r="AB154" s="112">
        <f>SUMIFS('Committments Dump'!$S:$S,'Committments Dump'!$C:$C,'Category Table'!AB$2,'Committments Dump'!$B:$B,'Category Table'!$A154)</f>
        <v/>
      </c>
      <c r="AC154" s="112">
        <f>SUMIFS('Committments Dump'!$S:$S,'Committments Dump'!$C:$C,'Category Table'!AC$2,'Committments Dump'!$B:$B,'Category Table'!$A154)</f>
        <v/>
      </c>
      <c r="AD154" s="111">
        <f>U154+X154+AA154</f>
        <v/>
      </c>
      <c r="AE154" s="112">
        <f>V154+Y154+AB154</f>
        <v/>
      </c>
      <c r="AF154" s="112">
        <f>W154+Z154+AC154</f>
        <v/>
      </c>
      <c r="AG154" s="111">
        <f>R154+AD154</f>
        <v/>
      </c>
      <c r="AH154" s="112">
        <f>S154+AE154</f>
        <v/>
      </c>
      <c r="AI154" s="112">
        <f>T154+AF154</f>
        <v/>
      </c>
      <c r="AJ154" s="111" t="n"/>
      <c r="AK154" s="112" t="n"/>
      <c r="AL154" s="112" t="n"/>
      <c r="AM154" s="111">
        <f>(O154-AG154)+AJ154</f>
        <v/>
      </c>
      <c r="AN154" s="112">
        <f>(P154-AH154)+AK154</f>
        <v/>
      </c>
      <c r="AO154" s="112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13" t="n"/>
      <c r="D155" s="114" t="n"/>
      <c r="E155" s="114" t="n"/>
      <c r="F155" s="113" t="n"/>
      <c r="G155" s="114" t="n"/>
      <c r="H155" s="114" t="n"/>
      <c r="I155" s="113" t="n"/>
      <c r="J155" s="114" t="n"/>
      <c r="K155" s="114" t="n"/>
      <c r="L155" s="113" t="n"/>
      <c r="M155" s="114" t="n"/>
      <c r="N155" s="114" t="n"/>
      <c r="O155" s="113">
        <f>L155+I155+F155+C155</f>
        <v/>
      </c>
      <c r="P155" s="114">
        <f>M155+J155+G155+D155</f>
        <v/>
      </c>
      <c r="Q155" s="114">
        <f>N155+K155+H155+E155</f>
        <v/>
      </c>
      <c r="R155" s="113">
        <f>SUMIFS('PO Log'!$E:$E,'PO Log'!$D:$D,'Category Table'!R$2,'PO Log'!$C:$C,'Category Table'!$A155)</f>
        <v/>
      </c>
      <c r="S155" s="114">
        <f>SUMIFS('PO Log'!$E:$E,'PO Log'!$D:$D,'Category Table'!S$2,'PO Log'!$C:$C,'Category Table'!$A155)</f>
        <v/>
      </c>
      <c r="T155" s="114">
        <f>SUMIFS('PO Log'!$E:$E,'PO Log'!$D:$D,'Category Table'!T$2,'PO Log'!$C:$C,'Category Table'!$A155)</f>
        <v/>
      </c>
      <c r="U155" s="113">
        <f>SUMIFS('Committments Dump'!$Q:$Q,'Committments Dump'!$C:$C,'Category Table'!U$2,'Committments Dump'!$B:$B,'Category Table'!$A155)</f>
        <v/>
      </c>
      <c r="V155" s="114">
        <f>SUMIFS('Committments Dump'!$Q:$Q,'Committments Dump'!$C:$C,'Category Table'!V$2,'Committments Dump'!$B:$B,'Category Table'!$A155)</f>
        <v/>
      </c>
      <c r="W155" s="114">
        <f>SUMIFS('Committments Dump'!$Q:$Q,'Committments Dump'!$C:$C,'Category Table'!W$2,'Committments Dump'!$B:$B,'Category Table'!$A155)</f>
        <v/>
      </c>
      <c r="X155" s="113">
        <f>SUMIFS('Committments Dump'!$R:$R,'Committments Dump'!$C:$C,'Category Table'!X$2,'Committments Dump'!$B:$B,'Category Table'!$A155)</f>
        <v/>
      </c>
      <c r="Y155" s="114">
        <f>SUMIFS('Committments Dump'!$R:$R,'Committments Dump'!$C:$C,'Category Table'!Y$2,'Committments Dump'!$B:$B,'Category Table'!$A155)</f>
        <v/>
      </c>
      <c r="Z155" s="114">
        <f>SUMIFS('Committments Dump'!$R:$R,'Committments Dump'!$C:$C,'Category Table'!Z$2,'Committments Dump'!$B:$B,'Category Table'!$A155)</f>
        <v/>
      </c>
      <c r="AA155" s="113">
        <f>SUMIFS('Committments Dump'!$S:$S,'Committments Dump'!$C:$C,'Category Table'!AA$2,'Committments Dump'!$B:$B,'Category Table'!$A155)</f>
        <v/>
      </c>
      <c r="AB155" s="114">
        <f>SUMIFS('Committments Dump'!$S:$S,'Committments Dump'!$C:$C,'Category Table'!AB$2,'Committments Dump'!$B:$B,'Category Table'!$A155)</f>
        <v/>
      </c>
      <c r="AC155" s="114">
        <f>SUMIFS('Committments Dump'!$S:$S,'Committments Dump'!$C:$C,'Category Table'!AC$2,'Committments Dump'!$B:$B,'Category Table'!$A155)</f>
        <v/>
      </c>
      <c r="AD155" s="113">
        <f>U155+X155+AA155</f>
        <v/>
      </c>
      <c r="AE155" s="114">
        <f>V155+Y155+AB155</f>
        <v/>
      </c>
      <c r="AF155" s="114">
        <f>W155+Z155+AC155</f>
        <v/>
      </c>
      <c r="AG155" s="113">
        <f>R155+AD155</f>
        <v/>
      </c>
      <c r="AH155" s="114">
        <f>S155+AE155</f>
        <v/>
      </c>
      <c r="AI155" s="114">
        <f>T155+AF155</f>
        <v/>
      </c>
      <c r="AJ155" s="113" t="n"/>
      <c r="AK155" s="114" t="n"/>
      <c r="AL155" s="114" t="n"/>
      <c r="AM155" s="113">
        <f>(O155-AG155)+AJ155</f>
        <v/>
      </c>
      <c r="AN155" s="114">
        <f>(P155-AH155)+AK155</f>
        <v/>
      </c>
      <c r="AO155" s="114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11" t="n"/>
      <c r="D156" s="112" t="n"/>
      <c r="E156" s="112" t="n"/>
      <c r="F156" s="111" t="n"/>
      <c r="G156" s="112" t="n"/>
      <c r="H156" s="112" t="n"/>
      <c r="I156" s="111" t="n"/>
      <c r="J156" s="112" t="n"/>
      <c r="K156" s="112" t="n"/>
      <c r="L156" s="111" t="n"/>
      <c r="M156" s="112" t="n"/>
      <c r="N156" s="112" t="n"/>
      <c r="O156" s="111">
        <f>L156+I156+F156+C156</f>
        <v/>
      </c>
      <c r="P156" s="112">
        <f>M156+J156+G156+D156</f>
        <v/>
      </c>
      <c r="Q156" s="112">
        <f>N156+K156+H156+E156</f>
        <v/>
      </c>
      <c r="R156" s="111">
        <f>SUMIFS('PO Log'!$E:$E,'PO Log'!$D:$D,'Category Table'!R$2,'PO Log'!$C:$C,'Category Table'!$A156)</f>
        <v/>
      </c>
      <c r="S156" s="112">
        <f>SUMIFS('PO Log'!$E:$E,'PO Log'!$D:$D,'Category Table'!S$2,'PO Log'!$C:$C,'Category Table'!$A156)</f>
        <v/>
      </c>
      <c r="T156" s="112">
        <f>SUMIFS('PO Log'!$E:$E,'PO Log'!$D:$D,'Category Table'!T$2,'PO Log'!$C:$C,'Category Table'!$A156)</f>
        <v/>
      </c>
      <c r="U156" s="111">
        <f>SUMIFS('Committments Dump'!$Q:$Q,'Committments Dump'!$C:$C,'Category Table'!U$2,'Committments Dump'!$B:$B,'Category Table'!$A156)</f>
        <v/>
      </c>
      <c r="V156" s="112">
        <f>SUMIFS('Committments Dump'!$Q:$Q,'Committments Dump'!$C:$C,'Category Table'!V$2,'Committments Dump'!$B:$B,'Category Table'!$A156)</f>
        <v/>
      </c>
      <c r="W156" s="112">
        <f>SUMIFS('Committments Dump'!$Q:$Q,'Committments Dump'!$C:$C,'Category Table'!W$2,'Committments Dump'!$B:$B,'Category Table'!$A156)</f>
        <v/>
      </c>
      <c r="X156" s="111">
        <f>SUMIFS('Committments Dump'!$R:$R,'Committments Dump'!$C:$C,'Category Table'!X$2,'Committments Dump'!$B:$B,'Category Table'!$A156)</f>
        <v/>
      </c>
      <c r="Y156" s="112">
        <f>SUMIFS('Committments Dump'!$R:$R,'Committments Dump'!$C:$C,'Category Table'!Y$2,'Committments Dump'!$B:$B,'Category Table'!$A156)</f>
        <v/>
      </c>
      <c r="Z156" s="112">
        <f>SUMIFS('Committments Dump'!$R:$R,'Committments Dump'!$C:$C,'Category Table'!Z$2,'Committments Dump'!$B:$B,'Category Table'!$A156)</f>
        <v/>
      </c>
      <c r="AA156" s="111">
        <f>SUMIFS('Committments Dump'!$S:$S,'Committments Dump'!$C:$C,'Category Table'!AA$2,'Committments Dump'!$B:$B,'Category Table'!$A156)</f>
        <v/>
      </c>
      <c r="AB156" s="112">
        <f>SUMIFS('Committments Dump'!$S:$S,'Committments Dump'!$C:$C,'Category Table'!AB$2,'Committments Dump'!$B:$B,'Category Table'!$A156)</f>
        <v/>
      </c>
      <c r="AC156" s="112">
        <f>SUMIFS('Committments Dump'!$S:$S,'Committments Dump'!$C:$C,'Category Table'!AC$2,'Committments Dump'!$B:$B,'Category Table'!$A156)</f>
        <v/>
      </c>
      <c r="AD156" s="111">
        <f>U156+X156+AA156</f>
        <v/>
      </c>
      <c r="AE156" s="112">
        <f>V156+Y156+AB156</f>
        <v/>
      </c>
      <c r="AF156" s="112">
        <f>W156+Z156+AC156</f>
        <v/>
      </c>
      <c r="AG156" s="111">
        <f>R156+AD156</f>
        <v/>
      </c>
      <c r="AH156" s="112">
        <f>S156+AE156</f>
        <v/>
      </c>
      <c r="AI156" s="112">
        <f>T156+AF156</f>
        <v/>
      </c>
      <c r="AJ156" s="111" t="n"/>
      <c r="AK156" s="112" t="n"/>
      <c r="AL156" s="112" t="n"/>
      <c r="AM156" s="111">
        <f>(O156-AG156)+AJ156</f>
        <v/>
      </c>
      <c r="AN156" s="112">
        <f>(P156-AH156)+AK156</f>
        <v/>
      </c>
      <c r="AO156" s="112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13" t="n"/>
      <c r="D157" s="114" t="n"/>
      <c r="E157" s="114" t="n"/>
      <c r="F157" s="113" t="n"/>
      <c r="G157" s="114" t="n"/>
      <c r="H157" s="114" t="n"/>
      <c r="I157" s="113" t="n"/>
      <c r="J157" s="114" t="n"/>
      <c r="K157" s="114" t="n"/>
      <c r="L157" s="113" t="n"/>
      <c r="M157" s="114" t="n"/>
      <c r="N157" s="114" t="n"/>
      <c r="O157" s="113">
        <f>L157+I157+F157+C157</f>
        <v/>
      </c>
      <c r="P157" s="114">
        <f>M157+J157+G157+D157</f>
        <v/>
      </c>
      <c r="Q157" s="114">
        <f>N157+K157+H157+E157</f>
        <v/>
      </c>
      <c r="R157" s="113">
        <f>SUMIFS('PO Log'!$E:$E,'PO Log'!$D:$D,'Category Table'!R$2,'PO Log'!$C:$C,'Category Table'!$A157)</f>
        <v/>
      </c>
      <c r="S157" s="114">
        <f>SUMIFS('PO Log'!$E:$E,'PO Log'!$D:$D,'Category Table'!S$2,'PO Log'!$C:$C,'Category Table'!$A157)</f>
        <v/>
      </c>
      <c r="T157" s="114">
        <f>SUMIFS('PO Log'!$E:$E,'PO Log'!$D:$D,'Category Table'!T$2,'PO Log'!$C:$C,'Category Table'!$A157)</f>
        <v/>
      </c>
      <c r="U157" s="113">
        <f>SUMIFS('Committments Dump'!$Q:$Q,'Committments Dump'!$C:$C,'Category Table'!U$2,'Committments Dump'!$B:$B,'Category Table'!$A157)</f>
        <v/>
      </c>
      <c r="V157" s="114">
        <f>SUMIFS('Committments Dump'!$Q:$Q,'Committments Dump'!$C:$C,'Category Table'!V$2,'Committments Dump'!$B:$B,'Category Table'!$A157)</f>
        <v/>
      </c>
      <c r="W157" s="114">
        <f>SUMIFS('Committments Dump'!$Q:$Q,'Committments Dump'!$C:$C,'Category Table'!W$2,'Committments Dump'!$B:$B,'Category Table'!$A157)</f>
        <v/>
      </c>
      <c r="X157" s="113">
        <f>SUMIFS('Committments Dump'!$R:$R,'Committments Dump'!$C:$C,'Category Table'!X$2,'Committments Dump'!$B:$B,'Category Table'!$A157)</f>
        <v/>
      </c>
      <c r="Y157" s="114">
        <f>SUMIFS('Committments Dump'!$R:$R,'Committments Dump'!$C:$C,'Category Table'!Y$2,'Committments Dump'!$B:$B,'Category Table'!$A157)</f>
        <v/>
      </c>
      <c r="Z157" s="114">
        <f>SUMIFS('Committments Dump'!$R:$R,'Committments Dump'!$C:$C,'Category Table'!Z$2,'Committments Dump'!$B:$B,'Category Table'!$A157)</f>
        <v/>
      </c>
      <c r="AA157" s="113">
        <f>SUMIFS('Committments Dump'!$S:$S,'Committments Dump'!$C:$C,'Category Table'!AA$2,'Committments Dump'!$B:$B,'Category Table'!$A157)</f>
        <v/>
      </c>
      <c r="AB157" s="114">
        <f>SUMIFS('Committments Dump'!$S:$S,'Committments Dump'!$C:$C,'Category Table'!AB$2,'Committments Dump'!$B:$B,'Category Table'!$A157)</f>
        <v/>
      </c>
      <c r="AC157" s="114">
        <f>SUMIFS('Committments Dump'!$S:$S,'Committments Dump'!$C:$C,'Category Table'!AC$2,'Committments Dump'!$B:$B,'Category Table'!$A157)</f>
        <v/>
      </c>
      <c r="AD157" s="113">
        <f>U157+X157+AA157</f>
        <v/>
      </c>
      <c r="AE157" s="114">
        <f>V157+Y157+AB157</f>
        <v/>
      </c>
      <c r="AF157" s="114">
        <f>W157+Z157+AC157</f>
        <v/>
      </c>
      <c r="AG157" s="113">
        <f>R157+AD157</f>
        <v/>
      </c>
      <c r="AH157" s="114">
        <f>S157+AE157</f>
        <v/>
      </c>
      <c r="AI157" s="114">
        <f>T157+AF157</f>
        <v/>
      </c>
      <c r="AJ157" s="113" t="n"/>
      <c r="AK157" s="114" t="n"/>
      <c r="AL157" s="114" t="n"/>
      <c r="AM157" s="113">
        <f>(O157-AG157)+AJ157</f>
        <v/>
      </c>
      <c r="AN157" s="114">
        <f>(P157-AH157)+AK157</f>
        <v/>
      </c>
      <c r="AO157" s="114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11" t="n"/>
      <c r="D158" s="112" t="n"/>
      <c r="E158" s="112" t="n"/>
      <c r="F158" s="111" t="n"/>
      <c r="G158" s="112" t="n"/>
      <c r="H158" s="112" t="n"/>
      <c r="I158" s="111" t="n"/>
      <c r="J158" s="112" t="n"/>
      <c r="K158" s="112" t="n"/>
      <c r="L158" s="111" t="n"/>
      <c r="M158" s="112" t="n"/>
      <c r="N158" s="112" t="n"/>
      <c r="O158" s="111">
        <f>L158+I158+F158+C158</f>
        <v/>
      </c>
      <c r="P158" s="112">
        <f>M158+J158+G158+D158</f>
        <v/>
      </c>
      <c r="Q158" s="112">
        <f>N158+K158+H158+E158</f>
        <v/>
      </c>
      <c r="R158" s="111">
        <f>SUMIFS('PO Log'!$E:$E,'PO Log'!$D:$D,'Category Table'!R$2,'PO Log'!$C:$C,'Category Table'!$A158)</f>
        <v/>
      </c>
      <c r="S158" s="112">
        <f>SUMIFS('PO Log'!$E:$E,'PO Log'!$D:$D,'Category Table'!S$2,'PO Log'!$C:$C,'Category Table'!$A158)</f>
        <v/>
      </c>
      <c r="T158" s="112">
        <f>SUMIFS('PO Log'!$E:$E,'PO Log'!$D:$D,'Category Table'!T$2,'PO Log'!$C:$C,'Category Table'!$A158)</f>
        <v/>
      </c>
      <c r="U158" s="111">
        <f>SUMIFS('Committments Dump'!$Q:$Q,'Committments Dump'!$C:$C,'Category Table'!U$2,'Committments Dump'!$B:$B,'Category Table'!$A158)</f>
        <v/>
      </c>
      <c r="V158" s="112">
        <f>SUMIFS('Committments Dump'!$Q:$Q,'Committments Dump'!$C:$C,'Category Table'!V$2,'Committments Dump'!$B:$B,'Category Table'!$A158)</f>
        <v/>
      </c>
      <c r="W158" s="112">
        <f>SUMIFS('Committments Dump'!$Q:$Q,'Committments Dump'!$C:$C,'Category Table'!W$2,'Committments Dump'!$B:$B,'Category Table'!$A158)</f>
        <v/>
      </c>
      <c r="X158" s="111">
        <f>SUMIFS('Committments Dump'!$R:$R,'Committments Dump'!$C:$C,'Category Table'!X$2,'Committments Dump'!$B:$B,'Category Table'!$A158)</f>
        <v/>
      </c>
      <c r="Y158" s="112">
        <f>SUMIFS('Committments Dump'!$R:$R,'Committments Dump'!$C:$C,'Category Table'!Y$2,'Committments Dump'!$B:$B,'Category Table'!$A158)</f>
        <v/>
      </c>
      <c r="Z158" s="112">
        <f>SUMIFS('Committments Dump'!$R:$R,'Committments Dump'!$C:$C,'Category Table'!Z$2,'Committments Dump'!$B:$B,'Category Table'!$A158)</f>
        <v/>
      </c>
      <c r="AA158" s="111">
        <f>SUMIFS('Committments Dump'!$S:$S,'Committments Dump'!$C:$C,'Category Table'!AA$2,'Committments Dump'!$B:$B,'Category Table'!$A158)</f>
        <v/>
      </c>
      <c r="AB158" s="112">
        <f>SUMIFS('Committments Dump'!$S:$S,'Committments Dump'!$C:$C,'Category Table'!AB$2,'Committments Dump'!$B:$B,'Category Table'!$A158)</f>
        <v/>
      </c>
      <c r="AC158" s="112">
        <f>SUMIFS('Committments Dump'!$S:$S,'Committments Dump'!$C:$C,'Category Table'!AC$2,'Committments Dump'!$B:$B,'Category Table'!$A158)</f>
        <v/>
      </c>
      <c r="AD158" s="111">
        <f>U158+X158+AA158</f>
        <v/>
      </c>
      <c r="AE158" s="112">
        <f>V158+Y158+AB158</f>
        <v/>
      </c>
      <c r="AF158" s="112">
        <f>W158+Z158+AC158</f>
        <v/>
      </c>
      <c r="AG158" s="111">
        <f>R158+AD158</f>
        <v/>
      </c>
      <c r="AH158" s="112">
        <f>S158+AE158</f>
        <v/>
      </c>
      <c r="AI158" s="112">
        <f>T158+AF158</f>
        <v/>
      </c>
      <c r="AJ158" s="111" t="n"/>
      <c r="AK158" s="112" t="n"/>
      <c r="AL158" s="112" t="n"/>
      <c r="AM158" s="111">
        <f>(O158-AG158)+AJ158</f>
        <v/>
      </c>
      <c r="AN158" s="112">
        <f>(P158-AH158)+AK158</f>
        <v/>
      </c>
      <c r="AO158" s="112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13" t="n"/>
      <c r="D159" s="114" t="n"/>
      <c r="E159" s="114" t="n"/>
      <c r="F159" s="113" t="n"/>
      <c r="G159" s="114" t="n"/>
      <c r="H159" s="114" t="n"/>
      <c r="I159" s="113" t="n"/>
      <c r="J159" s="114" t="n"/>
      <c r="K159" s="114" t="n"/>
      <c r="L159" s="113" t="n"/>
      <c r="M159" s="114" t="n"/>
      <c r="N159" s="114" t="n"/>
      <c r="O159" s="113">
        <f>L159+I159+F159+C159</f>
        <v/>
      </c>
      <c r="P159" s="114">
        <f>M159+J159+G159+D159</f>
        <v/>
      </c>
      <c r="Q159" s="114">
        <f>N159+K159+H159+E159</f>
        <v/>
      </c>
      <c r="R159" s="113">
        <f>SUMIFS('PO Log'!$E:$E,'PO Log'!$D:$D,'Category Table'!R$2,'PO Log'!$C:$C,'Category Table'!$A159)</f>
        <v/>
      </c>
      <c r="S159" s="114">
        <f>SUMIFS('PO Log'!$E:$E,'PO Log'!$D:$D,'Category Table'!S$2,'PO Log'!$C:$C,'Category Table'!$A159)</f>
        <v/>
      </c>
      <c r="T159" s="114">
        <f>SUMIFS('PO Log'!$E:$E,'PO Log'!$D:$D,'Category Table'!T$2,'PO Log'!$C:$C,'Category Table'!$A159)</f>
        <v/>
      </c>
      <c r="U159" s="113">
        <f>SUMIFS('Committments Dump'!$Q:$Q,'Committments Dump'!$C:$C,'Category Table'!U$2,'Committments Dump'!$B:$B,'Category Table'!$A159)</f>
        <v/>
      </c>
      <c r="V159" s="114">
        <f>SUMIFS('Committments Dump'!$Q:$Q,'Committments Dump'!$C:$C,'Category Table'!V$2,'Committments Dump'!$B:$B,'Category Table'!$A159)</f>
        <v/>
      </c>
      <c r="W159" s="114">
        <f>SUMIFS('Committments Dump'!$Q:$Q,'Committments Dump'!$C:$C,'Category Table'!W$2,'Committments Dump'!$B:$B,'Category Table'!$A159)</f>
        <v/>
      </c>
      <c r="X159" s="113">
        <f>SUMIFS('Committments Dump'!$R:$R,'Committments Dump'!$C:$C,'Category Table'!X$2,'Committments Dump'!$B:$B,'Category Table'!$A159)</f>
        <v/>
      </c>
      <c r="Y159" s="114">
        <f>SUMIFS('Committments Dump'!$R:$R,'Committments Dump'!$C:$C,'Category Table'!Y$2,'Committments Dump'!$B:$B,'Category Table'!$A159)</f>
        <v/>
      </c>
      <c r="Z159" s="114">
        <f>SUMIFS('Committments Dump'!$R:$R,'Committments Dump'!$C:$C,'Category Table'!Z$2,'Committments Dump'!$B:$B,'Category Table'!$A159)</f>
        <v/>
      </c>
      <c r="AA159" s="113">
        <f>SUMIFS('Committments Dump'!$S:$S,'Committments Dump'!$C:$C,'Category Table'!AA$2,'Committments Dump'!$B:$B,'Category Table'!$A159)</f>
        <v/>
      </c>
      <c r="AB159" s="114">
        <f>SUMIFS('Committments Dump'!$S:$S,'Committments Dump'!$C:$C,'Category Table'!AB$2,'Committments Dump'!$B:$B,'Category Table'!$A159)</f>
        <v/>
      </c>
      <c r="AC159" s="114">
        <f>SUMIFS('Committments Dump'!$S:$S,'Committments Dump'!$C:$C,'Category Table'!AC$2,'Committments Dump'!$B:$B,'Category Table'!$A159)</f>
        <v/>
      </c>
      <c r="AD159" s="113">
        <f>U159+X159+AA159</f>
        <v/>
      </c>
      <c r="AE159" s="114">
        <f>V159+Y159+AB159</f>
        <v/>
      </c>
      <c r="AF159" s="114">
        <f>W159+Z159+AC159</f>
        <v/>
      </c>
      <c r="AG159" s="113">
        <f>R159+AD159</f>
        <v/>
      </c>
      <c r="AH159" s="114">
        <f>S159+AE159</f>
        <v/>
      </c>
      <c r="AI159" s="114">
        <f>T159+AF159</f>
        <v/>
      </c>
      <c r="AJ159" s="113" t="n"/>
      <c r="AK159" s="114" t="n"/>
      <c r="AL159" s="114" t="n"/>
      <c r="AM159" s="113">
        <f>(O159-AG159)+AJ159</f>
        <v/>
      </c>
      <c r="AN159" s="114">
        <f>(P159-AH159)+AK159</f>
        <v/>
      </c>
      <c r="AO159" s="114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11" t="n"/>
      <c r="D160" s="112" t="n"/>
      <c r="E160" s="112" t="n"/>
      <c r="F160" s="111" t="n"/>
      <c r="G160" s="112" t="n"/>
      <c r="H160" s="112" t="n"/>
      <c r="I160" s="111" t="n"/>
      <c r="J160" s="112" t="n"/>
      <c r="K160" s="112" t="n"/>
      <c r="L160" s="111" t="n"/>
      <c r="M160" s="112" t="n"/>
      <c r="N160" s="112" t="n"/>
      <c r="O160" s="111">
        <f>L160+I160+F160+C160</f>
        <v/>
      </c>
      <c r="P160" s="112">
        <f>M160+J160+G160+D160</f>
        <v/>
      </c>
      <c r="Q160" s="112">
        <f>N160+K160+H160+E160</f>
        <v/>
      </c>
      <c r="R160" s="111">
        <f>SUMIFS('PO Log'!$E:$E,'PO Log'!$D:$D,'Category Table'!R$2,'PO Log'!$C:$C,'Category Table'!$A160)</f>
        <v/>
      </c>
      <c r="S160" s="112">
        <f>SUMIFS('PO Log'!$E:$E,'PO Log'!$D:$D,'Category Table'!S$2,'PO Log'!$C:$C,'Category Table'!$A160)</f>
        <v/>
      </c>
      <c r="T160" s="112">
        <f>SUMIFS('PO Log'!$E:$E,'PO Log'!$D:$D,'Category Table'!T$2,'PO Log'!$C:$C,'Category Table'!$A160)</f>
        <v/>
      </c>
      <c r="U160" s="111">
        <f>SUMIFS('Committments Dump'!$Q:$Q,'Committments Dump'!$C:$C,'Category Table'!U$2,'Committments Dump'!$B:$B,'Category Table'!$A160)</f>
        <v/>
      </c>
      <c r="V160" s="112">
        <f>SUMIFS('Committments Dump'!$Q:$Q,'Committments Dump'!$C:$C,'Category Table'!V$2,'Committments Dump'!$B:$B,'Category Table'!$A160)</f>
        <v/>
      </c>
      <c r="W160" s="112">
        <f>SUMIFS('Committments Dump'!$Q:$Q,'Committments Dump'!$C:$C,'Category Table'!W$2,'Committments Dump'!$B:$B,'Category Table'!$A160)</f>
        <v/>
      </c>
      <c r="X160" s="111">
        <f>SUMIFS('Committments Dump'!$R:$R,'Committments Dump'!$C:$C,'Category Table'!X$2,'Committments Dump'!$B:$B,'Category Table'!$A160)</f>
        <v/>
      </c>
      <c r="Y160" s="112">
        <f>SUMIFS('Committments Dump'!$R:$R,'Committments Dump'!$C:$C,'Category Table'!Y$2,'Committments Dump'!$B:$B,'Category Table'!$A160)</f>
        <v/>
      </c>
      <c r="Z160" s="112">
        <f>SUMIFS('Committments Dump'!$R:$R,'Committments Dump'!$C:$C,'Category Table'!Z$2,'Committments Dump'!$B:$B,'Category Table'!$A160)</f>
        <v/>
      </c>
      <c r="AA160" s="111">
        <f>SUMIFS('Committments Dump'!$S:$S,'Committments Dump'!$C:$C,'Category Table'!AA$2,'Committments Dump'!$B:$B,'Category Table'!$A160)</f>
        <v/>
      </c>
      <c r="AB160" s="112">
        <f>SUMIFS('Committments Dump'!$S:$S,'Committments Dump'!$C:$C,'Category Table'!AB$2,'Committments Dump'!$B:$B,'Category Table'!$A160)</f>
        <v/>
      </c>
      <c r="AC160" s="112">
        <f>SUMIFS('Committments Dump'!$S:$S,'Committments Dump'!$C:$C,'Category Table'!AC$2,'Committments Dump'!$B:$B,'Category Table'!$A160)</f>
        <v/>
      </c>
      <c r="AD160" s="111">
        <f>U160+X160+AA160</f>
        <v/>
      </c>
      <c r="AE160" s="112">
        <f>V160+Y160+AB160</f>
        <v/>
      </c>
      <c r="AF160" s="112">
        <f>W160+Z160+AC160</f>
        <v/>
      </c>
      <c r="AG160" s="111">
        <f>R160+AD160</f>
        <v/>
      </c>
      <c r="AH160" s="112">
        <f>S160+AE160</f>
        <v/>
      </c>
      <c r="AI160" s="112">
        <f>T160+AF160</f>
        <v/>
      </c>
      <c r="AJ160" s="111" t="n"/>
      <c r="AK160" s="112" t="n"/>
      <c r="AL160" s="112" t="n"/>
      <c r="AM160" s="111">
        <f>(O160-AG160)+AJ160</f>
        <v/>
      </c>
      <c r="AN160" s="112">
        <f>(P160-AH160)+AK160</f>
        <v/>
      </c>
      <c r="AO160" s="112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13" t="n"/>
      <c r="D161" s="114" t="n"/>
      <c r="E161" s="114" t="n"/>
      <c r="F161" s="113" t="n"/>
      <c r="G161" s="114" t="n"/>
      <c r="H161" s="114" t="n"/>
      <c r="I161" s="113" t="n"/>
      <c r="J161" s="114" t="n"/>
      <c r="K161" s="114" t="n"/>
      <c r="L161" s="113" t="n"/>
      <c r="M161" s="114" t="n"/>
      <c r="N161" s="114" t="n"/>
      <c r="O161" s="113">
        <f>L161+I161+F161+C161</f>
        <v/>
      </c>
      <c r="P161" s="114">
        <f>M161+J161+G161+D161</f>
        <v/>
      </c>
      <c r="Q161" s="114">
        <f>N161+K161+H161+E161</f>
        <v/>
      </c>
      <c r="R161" s="113">
        <f>SUMIFS('PO Log'!$E:$E,'PO Log'!$D:$D,'Category Table'!R$2,'PO Log'!$C:$C,'Category Table'!$A161)</f>
        <v/>
      </c>
      <c r="S161" s="114">
        <f>SUMIFS('PO Log'!$E:$E,'PO Log'!$D:$D,'Category Table'!S$2,'PO Log'!$C:$C,'Category Table'!$A161)</f>
        <v/>
      </c>
      <c r="T161" s="114">
        <f>SUMIFS('PO Log'!$E:$E,'PO Log'!$D:$D,'Category Table'!T$2,'PO Log'!$C:$C,'Category Table'!$A161)</f>
        <v/>
      </c>
      <c r="U161" s="113">
        <f>SUMIFS('Committments Dump'!$Q:$Q,'Committments Dump'!$C:$C,'Category Table'!U$2,'Committments Dump'!$B:$B,'Category Table'!$A161)</f>
        <v/>
      </c>
      <c r="V161" s="114">
        <f>SUMIFS('Committments Dump'!$Q:$Q,'Committments Dump'!$C:$C,'Category Table'!V$2,'Committments Dump'!$B:$B,'Category Table'!$A161)</f>
        <v/>
      </c>
      <c r="W161" s="114">
        <f>SUMIFS('Committments Dump'!$Q:$Q,'Committments Dump'!$C:$C,'Category Table'!W$2,'Committments Dump'!$B:$B,'Category Table'!$A161)</f>
        <v/>
      </c>
      <c r="X161" s="113">
        <f>SUMIFS('Committments Dump'!$R:$R,'Committments Dump'!$C:$C,'Category Table'!X$2,'Committments Dump'!$B:$B,'Category Table'!$A161)</f>
        <v/>
      </c>
      <c r="Y161" s="114">
        <f>SUMIFS('Committments Dump'!$R:$R,'Committments Dump'!$C:$C,'Category Table'!Y$2,'Committments Dump'!$B:$B,'Category Table'!$A161)</f>
        <v/>
      </c>
      <c r="Z161" s="114">
        <f>SUMIFS('Committments Dump'!$R:$R,'Committments Dump'!$C:$C,'Category Table'!Z$2,'Committments Dump'!$B:$B,'Category Table'!$A161)</f>
        <v/>
      </c>
      <c r="AA161" s="113">
        <f>SUMIFS('Committments Dump'!$S:$S,'Committments Dump'!$C:$C,'Category Table'!AA$2,'Committments Dump'!$B:$B,'Category Table'!$A161)</f>
        <v/>
      </c>
      <c r="AB161" s="114">
        <f>SUMIFS('Committments Dump'!$S:$S,'Committments Dump'!$C:$C,'Category Table'!AB$2,'Committments Dump'!$B:$B,'Category Table'!$A161)</f>
        <v/>
      </c>
      <c r="AC161" s="114">
        <f>SUMIFS('Committments Dump'!$S:$S,'Committments Dump'!$C:$C,'Category Table'!AC$2,'Committments Dump'!$B:$B,'Category Table'!$A161)</f>
        <v/>
      </c>
      <c r="AD161" s="113">
        <f>U161+X161+AA161</f>
        <v/>
      </c>
      <c r="AE161" s="114">
        <f>V161+Y161+AB161</f>
        <v/>
      </c>
      <c r="AF161" s="114">
        <f>W161+Z161+AC161</f>
        <v/>
      </c>
      <c r="AG161" s="113">
        <f>R161+AD161</f>
        <v/>
      </c>
      <c r="AH161" s="114">
        <f>S161+AE161</f>
        <v/>
      </c>
      <c r="AI161" s="114">
        <f>T161+AF161</f>
        <v/>
      </c>
      <c r="AJ161" s="113" t="n"/>
      <c r="AK161" s="114" t="n"/>
      <c r="AL161" s="114" t="n"/>
      <c r="AM161" s="113">
        <f>(O161-AG161)+AJ161</f>
        <v/>
      </c>
      <c r="AN161" s="114">
        <f>(P161-AH161)+AK161</f>
        <v/>
      </c>
      <c r="AO161" s="114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11" t="n"/>
      <c r="D162" s="112" t="n"/>
      <c r="E162" s="112" t="n"/>
      <c r="F162" s="111" t="n"/>
      <c r="G162" s="112" t="n"/>
      <c r="H162" s="112" t="n"/>
      <c r="I162" s="111" t="n"/>
      <c r="J162" s="112" t="n"/>
      <c r="K162" s="112" t="n"/>
      <c r="L162" s="111" t="n"/>
      <c r="M162" s="112" t="n"/>
      <c r="N162" s="112" t="n"/>
      <c r="O162" s="111">
        <f>L162+I162+F162+C162</f>
        <v/>
      </c>
      <c r="P162" s="112">
        <f>M162+J162+G162+D162</f>
        <v/>
      </c>
      <c r="Q162" s="112">
        <f>N162+K162+H162+E162</f>
        <v/>
      </c>
      <c r="R162" s="111">
        <f>SUMIFS('PO Log'!$E:$E,'PO Log'!$D:$D,'Category Table'!R$2,'PO Log'!$C:$C,'Category Table'!$A162)</f>
        <v/>
      </c>
      <c r="S162" s="112">
        <f>SUMIFS('PO Log'!$E:$E,'PO Log'!$D:$D,'Category Table'!S$2,'PO Log'!$C:$C,'Category Table'!$A162)</f>
        <v/>
      </c>
      <c r="T162" s="112">
        <f>SUMIFS('PO Log'!$E:$E,'PO Log'!$D:$D,'Category Table'!T$2,'PO Log'!$C:$C,'Category Table'!$A162)</f>
        <v/>
      </c>
      <c r="U162" s="111">
        <f>SUMIFS('Committments Dump'!$Q:$Q,'Committments Dump'!$C:$C,'Category Table'!U$2,'Committments Dump'!$B:$B,'Category Table'!$A162)</f>
        <v/>
      </c>
      <c r="V162" s="112">
        <f>SUMIFS('Committments Dump'!$Q:$Q,'Committments Dump'!$C:$C,'Category Table'!V$2,'Committments Dump'!$B:$B,'Category Table'!$A162)</f>
        <v/>
      </c>
      <c r="W162" s="112">
        <f>SUMIFS('Committments Dump'!$Q:$Q,'Committments Dump'!$C:$C,'Category Table'!W$2,'Committments Dump'!$B:$B,'Category Table'!$A162)</f>
        <v/>
      </c>
      <c r="X162" s="111">
        <f>SUMIFS('Committments Dump'!$R:$R,'Committments Dump'!$C:$C,'Category Table'!X$2,'Committments Dump'!$B:$B,'Category Table'!$A162)</f>
        <v/>
      </c>
      <c r="Y162" s="112">
        <f>SUMIFS('Committments Dump'!$R:$R,'Committments Dump'!$C:$C,'Category Table'!Y$2,'Committments Dump'!$B:$B,'Category Table'!$A162)</f>
        <v/>
      </c>
      <c r="Z162" s="112">
        <f>SUMIFS('Committments Dump'!$R:$R,'Committments Dump'!$C:$C,'Category Table'!Z$2,'Committments Dump'!$B:$B,'Category Table'!$A162)</f>
        <v/>
      </c>
      <c r="AA162" s="111">
        <f>SUMIFS('Committments Dump'!$S:$S,'Committments Dump'!$C:$C,'Category Table'!AA$2,'Committments Dump'!$B:$B,'Category Table'!$A162)</f>
        <v/>
      </c>
      <c r="AB162" s="112">
        <f>SUMIFS('Committments Dump'!$S:$S,'Committments Dump'!$C:$C,'Category Table'!AB$2,'Committments Dump'!$B:$B,'Category Table'!$A162)</f>
        <v/>
      </c>
      <c r="AC162" s="112">
        <f>SUMIFS('Committments Dump'!$S:$S,'Committments Dump'!$C:$C,'Category Table'!AC$2,'Committments Dump'!$B:$B,'Category Table'!$A162)</f>
        <v/>
      </c>
      <c r="AD162" s="111">
        <f>U162+X162+AA162</f>
        <v/>
      </c>
      <c r="AE162" s="112">
        <f>V162+Y162+AB162</f>
        <v/>
      </c>
      <c r="AF162" s="112">
        <f>W162+Z162+AC162</f>
        <v/>
      </c>
      <c r="AG162" s="111">
        <f>R162+AD162</f>
        <v/>
      </c>
      <c r="AH162" s="112">
        <f>S162+AE162</f>
        <v/>
      </c>
      <c r="AI162" s="112">
        <f>T162+AF162</f>
        <v/>
      </c>
      <c r="AJ162" s="111" t="n"/>
      <c r="AK162" s="112" t="n"/>
      <c r="AL162" s="112" t="n"/>
      <c r="AM162" s="111">
        <f>(O162-AG162)+AJ162</f>
        <v/>
      </c>
      <c r="AN162" s="112">
        <f>(P162-AH162)+AK162</f>
        <v/>
      </c>
      <c r="AO162" s="112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13" t="n"/>
      <c r="D163" s="114" t="n"/>
      <c r="E163" s="114" t="n"/>
      <c r="F163" s="113" t="n"/>
      <c r="G163" s="114" t="n"/>
      <c r="H163" s="114" t="n"/>
      <c r="I163" s="113" t="n"/>
      <c r="J163" s="114" t="n"/>
      <c r="K163" s="114" t="n"/>
      <c r="L163" s="113" t="n"/>
      <c r="M163" s="114" t="n"/>
      <c r="N163" s="114" t="n"/>
      <c r="O163" s="113">
        <f>L163+I163+F163+C163</f>
        <v/>
      </c>
      <c r="P163" s="114">
        <f>M163+J163+G163+D163</f>
        <v/>
      </c>
      <c r="Q163" s="114">
        <f>N163+K163+H163+E163</f>
        <v/>
      </c>
      <c r="R163" s="113">
        <f>SUMIFS('PO Log'!$E:$E,'PO Log'!$D:$D,'Category Table'!R$2,'PO Log'!$C:$C,'Category Table'!$A163)</f>
        <v/>
      </c>
      <c r="S163" s="114">
        <f>SUMIFS('PO Log'!$E:$E,'PO Log'!$D:$D,'Category Table'!S$2,'PO Log'!$C:$C,'Category Table'!$A163)</f>
        <v/>
      </c>
      <c r="T163" s="114">
        <f>SUMIFS('PO Log'!$E:$E,'PO Log'!$D:$D,'Category Table'!T$2,'PO Log'!$C:$C,'Category Table'!$A163)</f>
        <v/>
      </c>
      <c r="U163" s="113">
        <f>SUMIFS('Committments Dump'!$Q:$Q,'Committments Dump'!$C:$C,'Category Table'!U$2,'Committments Dump'!$B:$B,'Category Table'!$A163)</f>
        <v/>
      </c>
      <c r="V163" s="114">
        <f>SUMIFS('Committments Dump'!$Q:$Q,'Committments Dump'!$C:$C,'Category Table'!V$2,'Committments Dump'!$B:$B,'Category Table'!$A163)</f>
        <v/>
      </c>
      <c r="W163" s="114">
        <f>SUMIFS('Committments Dump'!$Q:$Q,'Committments Dump'!$C:$C,'Category Table'!W$2,'Committments Dump'!$B:$B,'Category Table'!$A163)</f>
        <v/>
      </c>
      <c r="X163" s="113">
        <f>SUMIFS('Committments Dump'!$R:$R,'Committments Dump'!$C:$C,'Category Table'!X$2,'Committments Dump'!$B:$B,'Category Table'!$A163)</f>
        <v/>
      </c>
      <c r="Y163" s="114">
        <f>SUMIFS('Committments Dump'!$R:$R,'Committments Dump'!$C:$C,'Category Table'!Y$2,'Committments Dump'!$B:$B,'Category Table'!$A163)</f>
        <v/>
      </c>
      <c r="Z163" s="114">
        <f>SUMIFS('Committments Dump'!$R:$R,'Committments Dump'!$C:$C,'Category Table'!Z$2,'Committments Dump'!$B:$B,'Category Table'!$A163)</f>
        <v/>
      </c>
      <c r="AA163" s="113">
        <f>SUMIFS('Committments Dump'!$S:$S,'Committments Dump'!$C:$C,'Category Table'!AA$2,'Committments Dump'!$B:$B,'Category Table'!$A163)</f>
        <v/>
      </c>
      <c r="AB163" s="114">
        <f>SUMIFS('Committments Dump'!$S:$S,'Committments Dump'!$C:$C,'Category Table'!AB$2,'Committments Dump'!$B:$B,'Category Table'!$A163)</f>
        <v/>
      </c>
      <c r="AC163" s="114">
        <f>SUMIFS('Committments Dump'!$S:$S,'Committments Dump'!$C:$C,'Category Table'!AC$2,'Committments Dump'!$B:$B,'Category Table'!$A163)</f>
        <v/>
      </c>
      <c r="AD163" s="113">
        <f>U163+X163+AA163</f>
        <v/>
      </c>
      <c r="AE163" s="114">
        <f>V163+Y163+AB163</f>
        <v/>
      </c>
      <c r="AF163" s="114">
        <f>W163+Z163+AC163</f>
        <v/>
      </c>
      <c r="AG163" s="113">
        <f>R163+AD163</f>
        <v/>
      </c>
      <c r="AH163" s="114">
        <f>S163+AE163</f>
        <v/>
      </c>
      <c r="AI163" s="114">
        <f>T163+AF163</f>
        <v/>
      </c>
      <c r="AJ163" s="113" t="n"/>
      <c r="AK163" s="114" t="n"/>
      <c r="AL163" s="114" t="n"/>
      <c r="AM163" s="113">
        <f>(O163-AG163)+AJ163</f>
        <v/>
      </c>
      <c r="AN163" s="114">
        <f>(P163-AH163)+AK163</f>
        <v/>
      </c>
      <c r="AO163" s="114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11" t="n"/>
      <c r="D164" s="112" t="n"/>
      <c r="E164" s="112" t="n"/>
      <c r="F164" s="111" t="n"/>
      <c r="G164" s="112" t="n"/>
      <c r="H164" s="112" t="n"/>
      <c r="I164" s="111" t="n"/>
      <c r="J164" s="112" t="n"/>
      <c r="K164" s="112" t="n"/>
      <c r="L164" s="111" t="n"/>
      <c r="M164" s="112" t="n"/>
      <c r="N164" s="112" t="n"/>
      <c r="O164" s="111">
        <f>L164+I164+F164+C164</f>
        <v/>
      </c>
      <c r="P164" s="112">
        <f>M164+J164+G164+D164</f>
        <v/>
      </c>
      <c r="Q164" s="112">
        <f>N164+K164+H164+E164</f>
        <v/>
      </c>
      <c r="R164" s="111">
        <f>SUMIFS('PO Log'!$E:$E,'PO Log'!$D:$D,'Category Table'!R$2,'PO Log'!$C:$C,'Category Table'!$A164)</f>
        <v/>
      </c>
      <c r="S164" s="112">
        <f>SUMIFS('PO Log'!$E:$E,'PO Log'!$D:$D,'Category Table'!S$2,'PO Log'!$C:$C,'Category Table'!$A164)</f>
        <v/>
      </c>
      <c r="T164" s="112">
        <f>SUMIFS('PO Log'!$E:$E,'PO Log'!$D:$D,'Category Table'!T$2,'PO Log'!$C:$C,'Category Table'!$A164)</f>
        <v/>
      </c>
      <c r="U164" s="111">
        <f>SUMIFS('Committments Dump'!$Q:$Q,'Committments Dump'!$C:$C,'Category Table'!U$2,'Committments Dump'!$B:$B,'Category Table'!$A164)</f>
        <v/>
      </c>
      <c r="V164" s="112">
        <f>SUMIFS('Committments Dump'!$Q:$Q,'Committments Dump'!$C:$C,'Category Table'!V$2,'Committments Dump'!$B:$B,'Category Table'!$A164)</f>
        <v/>
      </c>
      <c r="W164" s="112">
        <f>SUMIFS('Committments Dump'!$Q:$Q,'Committments Dump'!$C:$C,'Category Table'!W$2,'Committments Dump'!$B:$B,'Category Table'!$A164)</f>
        <v/>
      </c>
      <c r="X164" s="111">
        <f>SUMIFS('Committments Dump'!$R:$R,'Committments Dump'!$C:$C,'Category Table'!X$2,'Committments Dump'!$B:$B,'Category Table'!$A164)</f>
        <v/>
      </c>
      <c r="Y164" s="112">
        <f>SUMIFS('Committments Dump'!$R:$R,'Committments Dump'!$C:$C,'Category Table'!Y$2,'Committments Dump'!$B:$B,'Category Table'!$A164)</f>
        <v/>
      </c>
      <c r="Z164" s="112">
        <f>SUMIFS('Committments Dump'!$R:$R,'Committments Dump'!$C:$C,'Category Table'!Z$2,'Committments Dump'!$B:$B,'Category Table'!$A164)</f>
        <v/>
      </c>
      <c r="AA164" s="111">
        <f>SUMIFS('Committments Dump'!$S:$S,'Committments Dump'!$C:$C,'Category Table'!AA$2,'Committments Dump'!$B:$B,'Category Table'!$A164)</f>
        <v/>
      </c>
      <c r="AB164" s="112">
        <f>SUMIFS('Committments Dump'!$S:$S,'Committments Dump'!$C:$C,'Category Table'!AB$2,'Committments Dump'!$B:$B,'Category Table'!$A164)</f>
        <v/>
      </c>
      <c r="AC164" s="112">
        <f>SUMIFS('Committments Dump'!$S:$S,'Committments Dump'!$C:$C,'Category Table'!AC$2,'Committments Dump'!$B:$B,'Category Table'!$A164)</f>
        <v/>
      </c>
      <c r="AD164" s="111">
        <f>U164+X164+AA164</f>
        <v/>
      </c>
      <c r="AE164" s="112">
        <f>V164+Y164+AB164</f>
        <v/>
      </c>
      <c r="AF164" s="112">
        <f>W164+Z164+AC164</f>
        <v/>
      </c>
      <c r="AG164" s="111">
        <f>R164+AD164</f>
        <v/>
      </c>
      <c r="AH164" s="112">
        <f>S164+AE164</f>
        <v/>
      </c>
      <c r="AI164" s="112">
        <f>T164+AF164</f>
        <v/>
      </c>
      <c r="AJ164" s="111" t="n"/>
      <c r="AK164" s="112" t="n"/>
      <c r="AL164" s="112" t="n"/>
      <c r="AM164" s="111">
        <f>(O164-AG164)+AJ164</f>
        <v/>
      </c>
      <c r="AN164" s="112">
        <f>(P164-AH164)+AK164</f>
        <v/>
      </c>
      <c r="AO164" s="112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13" t="n"/>
      <c r="D165" s="114" t="n"/>
      <c r="E165" s="114" t="n"/>
      <c r="F165" s="113" t="n"/>
      <c r="G165" s="114" t="n"/>
      <c r="H165" s="114" t="n"/>
      <c r="I165" s="113" t="n"/>
      <c r="J165" s="114" t="n"/>
      <c r="K165" s="114" t="n"/>
      <c r="L165" s="113" t="n"/>
      <c r="M165" s="114" t="n"/>
      <c r="N165" s="114" t="n"/>
      <c r="O165" s="113">
        <f>L165+I165+F165+C165</f>
        <v/>
      </c>
      <c r="P165" s="114">
        <f>M165+J165+G165+D165</f>
        <v/>
      </c>
      <c r="Q165" s="114">
        <f>N165+K165+H165+E165</f>
        <v/>
      </c>
      <c r="R165" s="113">
        <f>SUMIFS('PO Log'!$E:$E,'PO Log'!$D:$D,'Category Table'!R$2,'PO Log'!$C:$C,'Category Table'!$A165)</f>
        <v/>
      </c>
      <c r="S165" s="114">
        <f>SUMIFS('PO Log'!$E:$E,'PO Log'!$D:$D,'Category Table'!S$2,'PO Log'!$C:$C,'Category Table'!$A165)</f>
        <v/>
      </c>
      <c r="T165" s="114">
        <f>SUMIFS('PO Log'!$E:$E,'PO Log'!$D:$D,'Category Table'!T$2,'PO Log'!$C:$C,'Category Table'!$A165)</f>
        <v/>
      </c>
      <c r="U165" s="113">
        <f>SUMIFS('Committments Dump'!$Q:$Q,'Committments Dump'!$C:$C,'Category Table'!U$2,'Committments Dump'!$B:$B,'Category Table'!$A165)</f>
        <v/>
      </c>
      <c r="V165" s="114">
        <f>SUMIFS('Committments Dump'!$Q:$Q,'Committments Dump'!$C:$C,'Category Table'!V$2,'Committments Dump'!$B:$B,'Category Table'!$A165)</f>
        <v/>
      </c>
      <c r="W165" s="114">
        <f>SUMIFS('Committments Dump'!$Q:$Q,'Committments Dump'!$C:$C,'Category Table'!W$2,'Committments Dump'!$B:$B,'Category Table'!$A165)</f>
        <v/>
      </c>
      <c r="X165" s="113">
        <f>SUMIFS('Committments Dump'!$R:$R,'Committments Dump'!$C:$C,'Category Table'!X$2,'Committments Dump'!$B:$B,'Category Table'!$A165)</f>
        <v/>
      </c>
      <c r="Y165" s="114">
        <f>SUMIFS('Committments Dump'!$R:$R,'Committments Dump'!$C:$C,'Category Table'!Y$2,'Committments Dump'!$B:$B,'Category Table'!$A165)</f>
        <v/>
      </c>
      <c r="Z165" s="114">
        <f>SUMIFS('Committments Dump'!$R:$R,'Committments Dump'!$C:$C,'Category Table'!Z$2,'Committments Dump'!$B:$B,'Category Table'!$A165)</f>
        <v/>
      </c>
      <c r="AA165" s="113">
        <f>SUMIFS('Committments Dump'!$S:$S,'Committments Dump'!$C:$C,'Category Table'!AA$2,'Committments Dump'!$B:$B,'Category Table'!$A165)</f>
        <v/>
      </c>
      <c r="AB165" s="114">
        <f>SUMIFS('Committments Dump'!$S:$S,'Committments Dump'!$C:$C,'Category Table'!AB$2,'Committments Dump'!$B:$B,'Category Table'!$A165)</f>
        <v/>
      </c>
      <c r="AC165" s="114">
        <f>SUMIFS('Committments Dump'!$S:$S,'Committments Dump'!$C:$C,'Category Table'!AC$2,'Committments Dump'!$B:$B,'Category Table'!$A165)</f>
        <v/>
      </c>
      <c r="AD165" s="113">
        <f>U165+X165+AA165</f>
        <v/>
      </c>
      <c r="AE165" s="114">
        <f>V165+Y165+AB165</f>
        <v/>
      </c>
      <c r="AF165" s="114">
        <f>W165+Z165+AC165</f>
        <v/>
      </c>
      <c r="AG165" s="113">
        <f>R165+AD165</f>
        <v/>
      </c>
      <c r="AH165" s="114">
        <f>S165+AE165</f>
        <v/>
      </c>
      <c r="AI165" s="114">
        <f>T165+AF165</f>
        <v/>
      </c>
      <c r="AJ165" s="113" t="n"/>
      <c r="AK165" s="114" t="n"/>
      <c r="AL165" s="114" t="n"/>
      <c r="AM165" s="113">
        <f>(O165-AG165)+AJ165</f>
        <v/>
      </c>
      <c r="AN165" s="114">
        <f>(P165-AH165)+AK165</f>
        <v/>
      </c>
      <c r="AO165" s="114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11" t="n"/>
      <c r="D166" s="112" t="n"/>
      <c r="E166" s="112" t="n"/>
      <c r="F166" s="111" t="n"/>
      <c r="G166" s="112" t="n"/>
      <c r="H166" s="112" t="n"/>
      <c r="I166" s="111" t="n"/>
      <c r="J166" s="112" t="n"/>
      <c r="K166" s="112" t="n"/>
      <c r="L166" s="111" t="n"/>
      <c r="M166" s="112" t="n"/>
      <c r="N166" s="112" t="n"/>
      <c r="O166" s="111">
        <f>L166+I166+F166+C166</f>
        <v/>
      </c>
      <c r="P166" s="112">
        <f>M166+J166+G166+D166</f>
        <v/>
      </c>
      <c r="Q166" s="112">
        <f>N166+K166+H166+E166</f>
        <v/>
      </c>
      <c r="R166" s="111">
        <f>SUMIFS('PO Log'!$E:$E,'PO Log'!$D:$D,'Category Table'!R$2,'PO Log'!$C:$C,'Category Table'!$A166)</f>
        <v/>
      </c>
      <c r="S166" s="112">
        <f>SUMIFS('PO Log'!$E:$E,'PO Log'!$D:$D,'Category Table'!S$2,'PO Log'!$C:$C,'Category Table'!$A166)</f>
        <v/>
      </c>
      <c r="T166" s="112">
        <f>SUMIFS('PO Log'!$E:$E,'PO Log'!$D:$D,'Category Table'!T$2,'PO Log'!$C:$C,'Category Table'!$A166)</f>
        <v/>
      </c>
      <c r="U166" s="111">
        <f>SUMIFS('Committments Dump'!$Q:$Q,'Committments Dump'!$C:$C,'Category Table'!U$2,'Committments Dump'!$B:$B,'Category Table'!$A166)</f>
        <v/>
      </c>
      <c r="V166" s="112">
        <f>SUMIFS('Committments Dump'!$Q:$Q,'Committments Dump'!$C:$C,'Category Table'!V$2,'Committments Dump'!$B:$B,'Category Table'!$A166)</f>
        <v/>
      </c>
      <c r="W166" s="112">
        <f>SUMIFS('Committments Dump'!$Q:$Q,'Committments Dump'!$C:$C,'Category Table'!W$2,'Committments Dump'!$B:$B,'Category Table'!$A166)</f>
        <v/>
      </c>
      <c r="X166" s="111">
        <f>SUMIFS('Committments Dump'!$R:$R,'Committments Dump'!$C:$C,'Category Table'!X$2,'Committments Dump'!$B:$B,'Category Table'!$A166)</f>
        <v/>
      </c>
      <c r="Y166" s="112">
        <f>SUMIFS('Committments Dump'!$R:$R,'Committments Dump'!$C:$C,'Category Table'!Y$2,'Committments Dump'!$B:$B,'Category Table'!$A166)</f>
        <v/>
      </c>
      <c r="Z166" s="112">
        <f>SUMIFS('Committments Dump'!$R:$R,'Committments Dump'!$C:$C,'Category Table'!Z$2,'Committments Dump'!$B:$B,'Category Table'!$A166)</f>
        <v/>
      </c>
      <c r="AA166" s="111">
        <f>SUMIFS('Committments Dump'!$S:$S,'Committments Dump'!$C:$C,'Category Table'!AA$2,'Committments Dump'!$B:$B,'Category Table'!$A166)</f>
        <v/>
      </c>
      <c r="AB166" s="112">
        <f>SUMIFS('Committments Dump'!$S:$S,'Committments Dump'!$C:$C,'Category Table'!AB$2,'Committments Dump'!$B:$B,'Category Table'!$A166)</f>
        <v/>
      </c>
      <c r="AC166" s="112">
        <f>SUMIFS('Committments Dump'!$S:$S,'Committments Dump'!$C:$C,'Category Table'!AC$2,'Committments Dump'!$B:$B,'Category Table'!$A166)</f>
        <v/>
      </c>
      <c r="AD166" s="111">
        <f>U166+X166+AA166</f>
        <v/>
      </c>
      <c r="AE166" s="112">
        <f>V166+Y166+AB166</f>
        <v/>
      </c>
      <c r="AF166" s="112">
        <f>W166+Z166+AC166</f>
        <v/>
      </c>
      <c r="AG166" s="111">
        <f>R166+AD166</f>
        <v/>
      </c>
      <c r="AH166" s="112">
        <f>S166+AE166</f>
        <v/>
      </c>
      <c r="AI166" s="112">
        <f>T166+AF166</f>
        <v/>
      </c>
      <c r="AJ166" s="111" t="n"/>
      <c r="AK166" s="112" t="n"/>
      <c r="AL166" s="112" t="n"/>
      <c r="AM166" s="111">
        <f>(O166-AG166)+AJ166</f>
        <v/>
      </c>
      <c r="AN166" s="112">
        <f>(P166-AH166)+AK166</f>
        <v/>
      </c>
      <c r="AO166" s="112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13" t="n"/>
      <c r="D167" s="114" t="n"/>
      <c r="E167" s="114" t="n"/>
      <c r="F167" s="113" t="n"/>
      <c r="G167" s="114" t="n"/>
      <c r="H167" s="114" t="n"/>
      <c r="I167" s="113" t="n"/>
      <c r="J167" s="114" t="n"/>
      <c r="K167" s="114" t="n"/>
      <c r="L167" s="113" t="n"/>
      <c r="M167" s="114" t="n"/>
      <c r="N167" s="114" t="n"/>
      <c r="O167" s="113">
        <f>L167+I167+F167+C167</f>
        <v/>
      </c>
      <c r="P167" s="114">
        <f>M167+J167+G167+D167</f>
        <v/>
      </c>
      <c r="Q167" s="114">
        <f>N167+K167+H167+E167</f>
        <v/>
      </c>
      <c r="R167" s="113">
        <f>SUMIFS('PO Log'!$E:$E,'PO Log'!$D:$D,'Category Table'!R$2,'PO Log'!$C:$C,'Category Table'!$A167)</f>
        <v/>
      </c>
      <c r="S167" s="114">
        <f>SUMIFS('PO Log'!$E:$E,'PO Log'!$D:$D,'Category Table'!S$2,'PO Log'!$C:$C,'Category Table'!$A167)</f>
        <v/>
      </c>
      <c r="T167" s="114">
        <f>SUMIFS('PO Log'!$E:$E,'PO Log'!$D:$D,'Category Table'!T$2,'PO Log'!$C:$C,'Category Table'!$A167)</f>
        <v/>
      </c>
      <c r="U167" s="113">
        <f>SUMIFS('Committments Dump'!$Q:$Q,'Committments Dump'!$C:$C,'Category Table'!U$2,'Committments Dump'!$B:$B,'Category Table'!$A167)</f>
        <v/>
      </c>
      <c r="V167" s="114">
        <f>SUMIFS('Committments Dump'!$Q:$Q,'Committments Dump'!$C:$C,'Category Table'!V$2,'Committments Dump'!$B:$B,'Category Table'!$A167)</f>
        <v/>
      </c>
      <c r="W167" s="114">
        <f>SUMIFS('Committments Dump'!$Q:$Q,'Committments Dump'!$C:$C,'Category Table'!W$2,'Committments Dump'!$B:$B,'Category Table'!$A167)</f>
        <v/>
      </c>
      <c r="X167" s="113">
        <f>SUMIFS('Committments Dump'!$R:$R,'Committments Dump'!$C:$C,'Category Table'!X$2,'Committments Dump'!$B:$B,'Category Table'!$A167)</f>
        <v/>
      </c>
      <c r="Y167" s="114">
        <f>SUMIFS('Committments Dump'!$R:$R,'Committments Dump'!$C:$C,'Category Table'!Y$2,'Committments Dump'!$B:$B,'Category Table'!$A167)</f>
        <v/>
      </c>
      <c r="Z167" s="114">
        <f>SUMIFS('Committments Dump'!$R:$R,'Committments Dump'!$C:$C,'Category Table'!Z$2,'Committments Dump'!$B:$B,'Category Table'!$A167)</f>
        <v/>
      </c>
      <c r="AA167" s="113">
        <f>SUMIFS('Committments Dump'!$S:$S,'Committments Dump'!$C:$C,'Category Table'!AA$2,'Committments Dump'!$B:$B,'Category Table'!$A167)</f>
        <v/>
      </c>
      <c r="AB167" s="114">
        <f>SUMIFS('Committments Dump'!$S:$S,'Committments Dump'!$C:$C,'Category Table'!AB$2,'Committments Dump'!$B:$B,'Category Table'!$A167)</f>
        <v/>
      </c>
      <c r="AC167" s="114">
        <f>SUMIFS('Committments Dump'!$S:$S,'Committments Dump'!$C:$C,'Category Table'!AC$2,'Committments Dump'!$B:$B,'Category Table'!$A167)</f>
        <v/>
      </c>
      <c r="AD167" s="113">
        <f>U167+X167+AA167</f>
        <v/>
      </c>
      <c r="AE167" s="114">
        <f>V167+Y167+AB167</f>
        <v/>
      </c>
      <c r="AF167" s="114">
        <f>W167+Z167+AC167</f>
        <v/>
      </c>
      <c r="AG167" s="113">
        <f>R167+AD167</f>
        <v/>
      </c>
      <c r="AH167" s="114">
        <f>S167+AE167</f>
        <v/>
      </c>
      <c r="AI167" s="114">
        <f>T167+AF167</f>
        <v/>
      </c>
      <c r="AJ167" s="113" t="n"/>
      <c r="AK167" s="114" t="n"/>
      <c r="AL167" s="114" t="n"/>
      <c r="AM167" s="113">
        <f>(O167-AG167)+AJ167</f>
        <v/>
      </c>
      <c r="AN167" s="114">
        <f>(P167-AH167)+AK167</f>
        <v/>
      </c>
      <c r="AO167" s="114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11" t="n"/>
      <c r="D168" s="112" t="n"/>
      <c r="E168" s="112" t="n"/>
      <c r="F168" s="111" t="n"/>
      <c r="G168" s="112" t="n"/>
      <c r="H168" s="112" t="n"/>
      <c r="I168" s="111" t="n"/>
      <c r="J168" s="112" t="n"/>
      <c r="K168" s="112" t="n"/>
      <c r="L168" s="111" t="n"/>
      <c r="M168" s="112" t="n"/>
      <c r="N168" s="112" t="n"/>
      <c r="O168" s="111">
        <f>L168+I168+F168+C168</f>
        <v/>
      </c>
      <c r="P168" s="112">
        <f>M168+J168+G168+D168</f>
        <v/>
      </c>
      <c r="Q168" s="112">
        <f>N168+K168+H168+E168</f>
        <v/>
      </c>
      <c r="R168" s="111">
        <f>SUMIFS('PO Log'!$E:$E,'PO Log'!$D:$D,'Category Table'!R$2,'PO Log'!$C:$C,'Category Table'!$A168)</f>
        <v/>
      </c>
      <c r="S168" s="112">
        <f>SUMIFS('PO Log'!$E:$E,'PO Log'!$D:$D,'Category Table'!S$2,'PO Log'!$C:$C,'Category Table'!$A168)</f>
        <v/>
      </c>
      <c r="T168" s="112">
        <f>SUMIFS('PO Log'!$E:$E,'PO Log'!$D:$D,'Category Table'!T$2,'PO Log'!$C:$C,'Category Table'!$A168)</f>
        <v/>
      </c>
      <c r="U168" s="111">
        <f>SUMIFS('Committments Dump'!$Q:$Q,'Committments Dump'!$C:$C,'Category Table'!U$2,'Committments Dump'!$B:$B,'Category Table'!$A168)</f>
        <v/>
      </c>
      <c r="V168" s="112">
        <f>SUMIFS('Committments Dump'!$Q:$Q,'Committments Dump'!$C:$C,'Category Table'!V$2,'Committments Dump'!$B:$B,'Category Table'!$A168)</f>
        <v/>
      </c>
      <c r="W168" s="112">
        <f>SUMIFS('Committments Dump'!$Q:$Q,'Committments Dump'!$C:$C,'Category Table'!W$2,'Committments Dump'!$B:$B,'Category Table'!$A168)</f>
        <v/>
      </c>
      <c r="X168" s="111">
        <f>SUMIFS('Committments Dump'!$R:$R,'Committments Dump'!$C:$C,'Category Table'!X$2,'Committments Dump'!$B:$B,'Category Table'!$A168)</f>
        <v/>
      </c>
      <c r="Y168" s="112">
        <f>SUMIFS('Committments Dump'!$R:$R,'Committments Dump'!$C:$C,'Category Table'!Y$2,'Committments Dump'!$B:$B,'Category Table'!$A168)</f>
        <v/>
      </c>
      <c r="Z168" s="112">
        <f>SUMIFS('Committments Dump'!$R:$R,'Committments Dump'!$C:$C,'Category Table'!Z$2,'Committments Dump'!$B:$B,'Category Table'!$A168)</f>
        <v/>
      </c>
      <c r="AA168" s="111">
        <f>SUMIFS('Committments Dump'!$S:$S,'Committments Dump'!$C:$C,'Category Table'!AA$2,'Committments Dump'!$B:$B,'Category Table'!$A168)</f>
        <v/>
      </c>
      <c r="AB168" s="112">
        <f>SUMIFS('Committments Dump'!$S:$S,'Committments Dump'!$C:$C,'Category Table'!AB$2,'Committments Dump'!$B:$B,'Category Table'!$A168)</f>
        <v/>
      </c>
      <c r="AC168" s="112">
        <f>SUMIFS('Committments Dump'!$S:$S,'Committments Dump'!$C:$C,'Category Table'!AC$2,'Committments Dump'!$B:$B,'Category Table'!$A168)</f>
        <v/>
      </c>
      <c r="AD168" s="111">
        <f>U168+X168+AA168</f>
        <v/>
      </c>
      <c r="AE168" s="112">
        <f>V168+Y168+AB168</f>
        <v/>
      </c>
      <c r="AF168" s="112">
        <f>W168+Z168+AC168</f>
        <v/>
      </c>
      <c r="AG168" s="111">
        <f>R168+AD168</f>
        <v/>
      </c>
      <c r="AH168" s="112">
        <f>S168+AE168</f>
        <v/>
      </c>
      <c r="AI168" s="112">
        <f>T168+AF168</f>
        <v/>
      </c>
      <c r="AJ168" s="111" t="n"/>
      <c r="AK168" s="112" t="n"/>
      <c r="AL168" s="112" t="n"/>
      <c r="AM168" s="111">
        <f>(O168-AG168)+AJ168</f>
        <v/>
      </c>
      <c r="AN168" s="112">
        <f>(P168-AH168)+AK168</f>
        <v/>
      </c>
      <c r="AO168" s="112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13" t="n"/>
      <c r="D169" s="114" t="n"/>
      <c r="E169" s="114" t="n"/>
      <c r="F169" s="113" t="n"/>
      <c r="G169" s="114" t="n"/>
      <c r="H169" s="114" t="n"/>
      <c r="I169" s="113" t="n"/>
      <c r="J169" s="114" t="n"/>
      <c r="K169" s="114" t="n"/>
      <c r="L169" s="113" t="n"/>
      <c r="M169" s="114" t="n"/>
      <c r="N169" s="114" t="n"/>
      <c r="O169" s="113">
        <f>L169+I169+F169+C169</f>
        <v/>
      </c>
      <c r="P169" s="114">
        <f>M169+J169+G169+D169</f>
        <v/>
      </c>
      <c r="Q169" s="114">
        <f>N169+K169+H169+E169</f>
        <v/>
      </c>
      <c r="R169" s="113">
        <f>SUMIFS('PO Log'!$E:$E,'PO Log'!$D:$D,'Category Table'!R$2,'PO Log'!$C:$C,'Category Table'!$A169)</f>
        <v/>
      </c>
      <c r="S169" s="114">
        <f>SUMIFS('PO Log'!$E:$E,'PO Log'!$D:$D,'Category Table'!S$2,'PO Log'!$C:$C,'Category Table'!$A169)</f>
        <v/>
      </c>
      <c r="T169" s="114">
        <f>SUMIFS('PO Log'!$E:$E,'PO Log'!$D:$D,'Category Table'!T$2,'PO Log'!$C:$C,'Category Table'!$A169)</f>
        <v/>
      </c>
      <c r="U169" s="113">
        <f>SUMIFS('Committments Dump'!$Q:$Q,'Committments Dump'!$C:$C,'Category Table'!U$2,'Committments Dump'!$B:$B,'Category Table'!$A169)</f>
        <v/>
      </c>
      <c r="V169" s="114">
        <f>SUMIFS('Committments Dump'!$Q:$Q,'Committments Dump'!$C:$C,'Category Table'!V$2,'Committments Dump'!$B:$B,'Category Table'!$A169)</f>
        <v/>
      </c>
      <c r="W169" s="114">
        <f>SUMIFS('Committments Dump'!$Q:$Q,'Committments Dump'!$C:$C,'Category Table'!W$2,'Committments Dump'!$B:$B,'Category Table'!$A169)</f>
        <v/>
      </c>
      <c r="X169" s="113">
        <f>SUMIFS('Committments Dump'!$R:$R,'Committments Dump'!$C:$C,'Category Table'!X$2,'Committments Dump'!$B:$B,'Category Table'!$A169)</f>
        <v/>
      </c>
      <c r="Y169" s="114">
        <f>SUMIFS('Committments Dump'!$R:$R,'Committments Dump'!$C:$C,'Category Table'!Y$2,'Committments Dump'!$B:$B,'Category Table'!$A169)</f>
        <v/>
      </c>
      <c r="Z169" s="114">
        <f>SUMIFS('Committments Dump'!$R:$R,'Committments Dump'!$C:$C,'Category Table'!Z$2,'Committments Dump'!$B:$B,'Category Table'!$A169)</f>
        <v/>
      </c>
      <c r="AA169" s="113">
        <f>SUMIFS('Committments Dump'!$S:$S,'Committments Dump'!$C:$C,'Category Table'!AA$2,'Committments Dump'!$B:$B,'Category Table'!$A169)</f>
        <v/>
      </c>
      <c r="AB169" s="114">
        <f>SUMIFS('Committments Dump'!$S:$S,'Committments Dump'!$C:$C,'Category Table'!AB$2,'Committments Dump'!$B:$B,'Category Table'!$A169)</f>
        <v/>
      </c>
      <c r="AC169" s="114">
        <f>SUMIFS('Committments Dump'!$S:$S,'Committments Dump'!$C:$C,'Category Table'!AC$2,'Committments Dump'!$B:$B,'Category Table'!$A169)</f>
        <v/>
      </c>
      <c r="AD169" s="113">
        <f>U169+X169+AA169</f>
        <v/>
      </c>
      <c r="AE169" s="114">
        <f>V169+Y169+AB169</f>
        <v/>
      </c>
      <c r="AF169" s="114">
        <f>W169+Z169+AC169</f>
        <v/>
      </c>
      <c r="AG169" s="113">
        <f>R169+AD169</f>
        <v/>
      </c>
      <c r="AH169" s="114">
        <f>S169+AE169</f>
        <v/>
      </c>
      <c r="AI169" s="114">
        <f>T169+AF169</f>
        <v/>
      </c>
      <c r="AJ169" s="113" t="n"/>
      <c r="AK169" s="114" t="n"/>
      <c r="AL169" s="114" t="n"/>
      <c r="AM169" s="113">
        <f>(O169-AG169)+AJ169</f>
        <v/>
      </c>
      <c r="AN169" s="114">
        <f>(P169-AH169)+AK169</f>
        <v/>
      </c>
      <c r="AO169" s="114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11" t="n"/>
      <c r="D170" s="112" t="n"/>
      <c r="E170" s="112" t="n"/>
      <c r="F170" s="111" t="n"/>
      <c r="G170" s="112" t="n"/>
      <c r="H170" s="112" t="n"/>
      <c r="I170" s="111" t="n"/>
      <c r="J170" s="112" t="n"/>
      <c r="K170" s="112" t="n"/>
      <c r="L170" s="111" t="n"/>
      <c r="M170" s="112" t="n"/>
      <c r="N170" s="112" t="n"/>
      <c r="O170" s="111">
        <f>L170+I170+F170+C170</f>
        <v/>
      </c>
      <c r="P170" s="112">
        <f>M170+J170+G170+D170</f>
        <v/>
      </c>
      <c r="Q170" s="112">
        <f>N170+K170+H170+E170</f>
        <v/>
      </c>
      <c r="R170" s="111">
        <f>SUMIFS('PO Log'!$E:$E,'PO Log'!$D:$D,'Category Table'!R$2,'PO Log'!$C:$C,'Category Table'!$A170)</f>
        <v/>
      </c>
      <c r="S170" s="112">
        <f>SUMIFS('PO Log'!$E:$E,'PO Log'!$D:$D,'Category Table'!S$2,'PO Log'!$C:$C,'Category Table'!$A170)</f>
        <v/>
      </c>
      <c r="T170" s="112">
        <f>SUMIFS('PO Log'!$E:$E,'PO Log'!$D:$D,'Category Table'!T$2,'PO Log'!$C:$C,'Category Table'!$A170)</f>
        <v/>
      </c>
      <c r="U170" s="111">
        <f>SUMIFS('Committments Dump'!$Q:$Q,'Committments Dump'!$C:$C,'Category Table'!U$2,'Committments Dump'!$B:$B,'Category Table'!$A170)</f>
        <v/>
      </c>
      <c r="V170" s="112">
        <f>SUMIFS('Committments Dump'!$Q:$Q,'Committments Dump'!$C:$C,'Category Table'!V$2,'Committments Dump'!$B:$B,'Category Table'!$A170)</f>
        <v/>
      </c>
      <c r="W170" s="112">
        <f>SUMIFS('Committments Dump'!$Q:$Q,'Committments Dump'!$C:$C,'Category Table'!W$2,'Committments Dump'!$B:$B,'Category Table'!$A170)</f>
        <v/>
      </c>
      <c r="X170" s="111">
        <f>SUMIFS('Committments Dump'!$R:$R,'Committments Dump'!$C:$C,'Category Table'!X$2,'Committments Dump'!$B:$B,'Category Table'!$A170)</f>
        <v/>
      </c>
      <c r="Y170" s="112">
        <f>SUMIFS('Committments Dump'!$R:$R,'Committments Dump'!$C:$C,'Category Table'!Y$2,'Committments Dump'!$B:$B,'Category Table'!$A170)</f>
        <v/>
      </c>
      <c r="Z170" s="112">
        <f>SUMIFS('Committments Dump'!$R:$R,'Committments Dump'!$C:$C,'Category Table'!Z$2,'Committments Dump'!$B:$B,'Category Table'!$A170)</f>
        <v/>
      </c>
      <c r="AA170" s="111">
        <f>SUMIFS('Committments Dump'!$S:$S,'Committments Dump'!$C:$C,'Category Table'!AA$2,'Committments Dump'!$B:$B,'Category Table'!$A170)</f>
        <v/>
      </c>
      <c r="AB170" s="112">
        <f>SUMIFS('Committments Dump'!$S:$S,'Committments Dump'!$C:$C,'Category Table'!AB$2,'Committments Dump'!$B:$B,'Category Table'!$A170)</f>
        <v/>
      </c>
      <c r="AC170" s="112">
        <f>SUMIFS('Committments Dump'!$S:$S,'Committments Dump'!$C:$C,'Category Table'!AC$2,'Committments Dump'!$B:$B,'Category Table'!$A170)</f>
        <v/>
      </c>
      <c r="AD170" s="111">
        <f>U170+X170+AA170</f>
        <v/>
      </c>
      <c r="AE170" s="112">
        <f>V170+Y170+AB170</f>
        <v/>
      </c>
      <c r="AF170" s="112">
        <f>W170+Z170+AC170</f>
        <v/>
      </c>
      <c r="AG170" s="111">
        <f>R170+AD170</f>
        <v/>
      </c>
      <c r="AH170" s="112">
        <f>S170+AE170</f>
        <v/>
      </c>
      <c r="AI170" s="112">
        <f>T170+AF170</f>
        <v/>
      </c>
      <c r="AJ170" s="111" t="n"/>
      <c r="AK170" s="112" t="n"/>
      <c r="AL170" s="112" t="n"/>
      <c r="AM170" s="111">
        <f>(O170-AG170)+AJ170</f>
        <v/>
      </c>
      <c r="AN170" s="112">
        <f>(P170-AH170)+AK170</f>
        <v/>
      </c>
      <c r="AO170" s="112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13" t="n"/>
      <c r="D171" s="114" t="n"/>
      <c r="E171" s="114" t="n"/>
      <c r="F171" s="113" t="n"/>
      <c r="G171" s="114" t="n"/>
      <c r="H171" s="114" t="n"/>
      <c r="I171" s="113" t="n"/>
      <c r="J171" s="114" t="n"/>
      <c r="K171" s="114" t="n"/>
      <c r="L171" s="113" t="n"/>
      <c r="M171" s="114" t="n"/>
      <c r="N171" s="114" t="n"/>
      <c r="O171" s="113">
        <f>L171+I171+F171+C171</f>
        <v/>
      </c>
      <c r="P171" s="114">
        <f>M171+J171+G171+D171</f>
        <v/>
      </c>
      <c r="Q171" s="114">
        <f>N171+K171+H171+E171</f>
        <v/>
      </c>
      <c r="R171" s="113">
        <f>SUMIFS('PO Log'!$E:$E,'PO Log'!$D:$D,'Category Table'!R$2,'PO Log'!$C:$C,'Category Table'!$A171)</f>
        <v/>
      </c>
      <c r="S171" s="114">
        <f>SUMIFS('PO Log'!$E:$E,'PO Log'!$D:$D,'Category Table'!S$2,'PO Log'!$C:$C,'Category Table'!$A171)</f>
        <v/>
      </c>
      <c r="T171" s="114">
        <f>SUMIFS('PO Log'!$E:$E,'PO Log'!$D:$D,'Category Table'!T$2,'PO Log'!$C:$C,'Category Table'!$A171)</f>
        <v/>
      </c>
      <c r="U171" s="113">
        <f>SUMIFS('Committments Dump'!$Q:$Q,'Committments Dump'!$C:$C,'Category Table'!U$2,'Committments Dump'!$B:$B,'Category Table'!$A171)</f>
        <v/>
      </c>
      <c r="V171" s="114">
        <f>SUMIFS('Committments Dump'!$Q:$Q,'Committments Dump'!$C:$C,'Category Table'!V$2,'Committments Dump'!$B:$B,'Category Table'!$A171)</f>
        <v/>
      </c>
      <c r="W171" s="114">
        <f>SUMIFS('Committments Dump'!$Q:$Q,'Committments Dump'!$C:$C,'Category Table'!W$2,'Committments Dump'!$B:$B,'Category Table'!$A171)</f>
        <v/>
      </c>
      <c r="X171" s="113">
        <f>SUMIFS('Committments Dump'!$R:$R,'Committments Dump'!$C:$C,'Category Table'!X$2,'Committments Dump'!$B:$B,'Category Table'!$A171)</f>
        <v/>
      </c>
      <c r="Y171" s="114">
        <f>SUMIFS('Committments Dump'!$R:$R,'Committments Dump'!$C:$C,'Category Table'!Y$2,'Committments Dump'!$B:$B,'Category Table'!$A171)</f>
        <v/>
      </c>
      <c r="Z171" s="114">
        <f>SUMIFS('Committments Dump'!$R:$R,'Committments Dump'!$C:$C,'Category Table'!Z$2,'Committments Dump'!$B:$B,'Category Table'!$A171)</f>
        <v/>
      </c>
      <c r="AA171" s="113">
        <f>SUMIFS('Committments Dump'!$S:$S,'Committments Dump'!$C:$C,'Category Table'!AA$2,'Committments Dump'!$B:$B,'Category Table'!$A171)</f>
        <v/>
      </c>
      <c r="AB171" s="114">
        <f>SUMIFS('Committments Dump'!$S:$S,'Committments Dump'!$C:$C,'Category Table'!AB$2,'Committments Dump'!$B:$B,'Category Table'!$A171)</f>
        <v/>
      </c>
      <c r="AC171" s="114">
        <f>SUMIFS('Committments Dump'!$S:$S,'Committments Dump'!$C:$C,'Category Table'!AC$2,'Committments Dump'!$B:$B,'Category Table'!$A171)</f>
        <v/>
      </c>
      <c r="AD171" s="113">
        <f>U171+X171+AA171</f>
        <v/>
      </c>
      <c r="AE171" s="114">
        <f>V171+Y171+AB171</f>
        <v/>
      </c>
      <c r="AF171" s="114">
        <f>W171+Z171+AC171</f>
        <v/>
      </c>
      <c r="AG171" s="113">
        <f>R171+AD171</f>
        <v/>
      </c>
      <c r="AH171" s="114">
        <f>S171+AE171</f>
        <v/>
      </c>
      <c r="AI171" s="114">
        <f>T171+AF171</f>
        <v/>
      </c>
      <c r="AJ171" s="113" t="n"/>
      <c r="AK171" s="114" t="n"/>
      <c r="AL171" s="114" t="n"/>
      <c r="AM171" s="113">
        <f>(O171-AG171)+AJ171</f>
        <v/>
      </c>
      <c r="AN171" s="114">
        <f>(P171-AH171)+AK171</f>
        <v/>
      </c>
      <c r="AO171" s="114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11" t="n"/>
      <c r="D172" s="112" t="n"/>
      <c r="E172" s="112" t="n"/>
      <c r="F172" s="111" t="n"/>
      <c r="G172" s="112" t="n"/>
      <c r="H172" s="112" t="n"/>
      <c r="I172" s="111" t="n"/>
      <c r="J172" s="112" t="n"/>
      <c r="K172" s="112" t="n"/>
      <c r="L172" s="111" t="n"/>
      <c r="M172" s="112" t="n"/>
      <c r="N172" s="112" t="n"/>
      <c r="O172" s="111">
        <f>L172+I172+F172+C172</f>
        <v/>
      </c>
      <c r="P172" s="112">
        <f>M172+J172+G172+D172</f>
        <v/>
      </c>
      <c r="Q172" s="112">
        <f>N172+K172+H172+E172</f>
        <v/>
      </c>
      <c r="R172" s="111">
        <f>SUMIFS('PO Log'!$E:$E,'PO Log'!$D:$D,'Category Table'!R$2,'PO Log'!$C:$C,'Category Table'!$A172)</f>
        <v/>
      </c>
      <c r="S172" s="112">
        <f>SUMIFS('PO Log'!$E:$E,'PO Log'!$D:$D,'Category Table'!S$2,'PO Log'!$C:$C,'Category Table'!$A172)</f>
        <v/>
      </c>
      <c r="T172" s="112">
        <f>SUMIFS('PO Log'!$E:$E,'PO Log'!$D:$D,'Category Table'!T$2,'PO Log'!$C:$C,'Category Table'!$A172)</f>
        <v/>
      </c>
      <c r="U172" s="111">
        <f>SUMIFS('Committments Dump'!$Q:$Q,'Committments Dump'!$C:$C,'Category Table'!U$2,'Committments Dump'!$B:$B,'Category Table'!$A172)</f>
        <v/>
      </c>
      <c r="V172" s="112">
        <f>SUMIFS('Committments Dump'!$Q:$Q,'Committments Dump'!$C:$C,'Category Table'!V$2,'Committments Dump'!$B:$B,'Category Table'!$A172)</f>
        <v/>
      </c>
      <c r="W172" s="112">
        <f>SUMIFS('Committments Dump'!$Q:$Q,'Committments Dump'!$C:$C,'Category Table'!W$2,'Committments Dump'!$B:$B,'Category Table'!$A172)</f>
        <v/>
      </c>
      <c r="X172" s="111">
        <f>SUMIFS('Committments Dump'!$R:$R,'Committments Dump'!$C:$C,'Category Table'!X$2,'Committments Dump'!$B:$B,'Category Table'!$A172)</f>
        <v/>
      </c>
      <c r="Y172" s="112">
        <f>SUMIFS('Committments Dump'!$R:$R,'Committments Dump'!$C:$C,'Category Table'!Y$2,'Committments Dump'!$B:$B,'Category Table'!$A172)</f>
        <v/>
      </c>
      <c r="Z172" s="112">
        <f>SUMIFS('Committments Dump'!$R:$R,'Committments Dump'!$C:$C,'Category Table'!Z$2,'Committments Dump'!$B:$B,'Category Table'!$A172)</f>
        <v/>
      </c>
      <c r="AA172" s="111">
        <f>SUMIFS('Committments Dump'!$S:$S,'Committments Dump'!$C:$C,'Category Table'!AA$2,'Committments Dump'!$B:$B,'Category Table'!$A172)</f>
        <v/>
      </c>
      <c r="AB172" s="112">
        <f>SUMIFS('Committments Dump'!$S:$S,'Committments Dump'!$C:$C,'Category Table'!AB$2,'Committments Dump'!$B:$B,'Category Table'!$A172)</f>
        <v/>
      </c>
      <c r="AC172" s="112">
        <f>SUMIFS('Committments Dump'!$S:$S,'Committments Dump'!$C:$C,'Category Table'!AC$2,'Committments Dump'!$B:$B,'Category Table'!$A172)</f>
        <v/>
      </c>
      <c r="AD172" s="111">
        <f>U172+X172+AA172</f>
        <v/>
      </c>
      <c r="AE172" s="112">
        <f>V172+Y172+AB172</f>
        <v/>
      </c>
      <c r="AF172" s="112">
        <f>W172+Z172+AC172</f>
        <v/>
      </c>
      <c r="AG172" s="111">
        <f>R172+AD172</f>
        <v/>
      </c>
      <c r="AH172" s="112">
        <f>S172+AE172</f>
        <v/>
      </c>
      <c r="AI172" s="112">
        <f>T172+AF172</f>
        <v/>
      </c>
      <c r="AJ172" s="111" t="n"/>
      <c r="AK172" s="112" t="n"/>
      <c r="AL172" s="112" t="n"/>
      <c r="AM172" s="111">
        <f>(O172-AG172)+AJ172</f>
        <v/>
      </c>
      <c r="AN172" s="112">
        <f>(P172-AH172)+AK172</f>
        <v/>
      </c>
      <c r="AO172" s="112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13" t="n"/>
      <c r="D173" s="114" t="n"/>
      <c r="E173" s="114" t="n"/>
      <c r="F173" s="113" t="n"/>
      <c r="G173" s="114" t="n"/>
      <c r="H173" s="114" t="n"/>
      <c r="I173" s="113" t="n"/>
      <c r="J173" s="114" t="n"/>
      <c r="K173" s="114" t="n"/>
      <c r="L173" s="113" t="n"/>
      <c r="M173" s="114" t="n"/>
      <c r="N173" s="114" t="n"/>
      <c r="O173" s="113">
        <f>L173+I173+F173+C173</f>
        <v/>
      </c>
      <c r="P173" s="114">
        <f>M173+J173+G173+D173</f>
        <v/>
      </c>
      <c r="Q173" s="114">
        <f>N173+K173+H173+E173</f>
        <v/>
      </c>
      <c r="R173" s="113">
        <f>SUMIFS('PO Log'!$E:$E,'PO Log'!$D:$D,'Category Table'!R$2,'PO Log'!$C:$C,'Category Table'!$A173)</f>
        <v/>
      </c>
      <c r="S173" s="114">
        <f>SUMIFS('PO Log'!$E:$E,'PO Log'!$D:$D,'Category Table'!S$2,'PO Log'!$C:$C,'Category Table'!$A173)</f>
        <v/>
      </c>
      <c r="T173" s="114">
        <f>SUMIFS('PO Log'!$E:$E,'PO Log'!$D:$D,'Category Table'!T$2,'PO Log'!$C:$C,'Category Table'!$A173)</f>
        <v/>
      </c>
      <c r="U173" s="113">
        <f>SUMIFS('Committments Dump'!$Q:$Q,'Committments Dump'!$C:$C,'Category Table'!U$2,'Committments Dump'!$B:$B,'Category Table'!$A173)</f>
        <v/>
      </c>
      <c r="V173" s="114">
        <f>SUMIFS('Committments Dump'!$Q:$Q,'Committments Dump'!$C:$C,'Category Table'!V$2,'Committments Dump'!$B:$B,'Category Table'!$A173)</f>
        <v/>
      </c>
      <c r="W173" s="114">
        <f>SUMIFS('Committments Dump'!$Q:$Q,'Committments Dump'!$C:$C,'Category Table'!W$2,'Committments Dump'!$B:$B,'Category Table'!$A173)</f>
        <v/>
      </c>
      <c r="X173" s="113">
        <f>SUMIFS('Committments Dump'!$R:$R,'Committments Dump'!$C:$C,'Category Table'!X$2,'Committments Dump'!$B:$B,'Category Table'!$A173)</f>
        <v/>
      </c>
      <c r="Y173" s="114">
        <f>SUMIFS('Committments Dump'!$R:$R,'Committments Dump'!$C:$C,'Category Table'!Y$2,'Committments Dump'!$B:$B,'Category Table'!$A173)</f>
        <v/>
      </c>
      <c r="Z173" s="114">
        <f>SUMIFS('Committments Dump'!$R:$R,'Committments Dump'!$C:$C,'Category Table'!Z$2,'Committments Dump'!$B:$B,'Category Table'!$A173)</f>
        <v/>
      </c>
      <c r="AA173" s="113">
        <f>SUMIFS('Committments Dump'!$S:$S,'Committments Dump'!$C:$C,'Category Table'!AA$2,'Committments Dump'!$B:$B,'Category Table'!$A173)</f>
        <v/>
      </c>
      <c r="AB173" s="114">
        <f>SUMIFS('Committments Dump'!$S:$S,'Committments Dump'!$C:$C,'Category Table'!AB$2,'Committments Dump'!$B:$B,'Category Table'!$A173)</f>
        <v/>
      </c>
      <c r="AC173" s="114">
        <f>SUMIFS('Committments Dump'!$S:$S,'Committments Dump'!$C:$C,'Category Table'!AC$2,'Committments Dump'!$B:$B,'Category Table'!$A173)</f>
        <v/>
      </c>
      <c r="AD173" s="113">
        <f>U173+X173+AA173</f>
        <v/>
      </c>
      <c r="AE173" s="114">
        <f>V173+Y173+AB173</f>
        <v/>
      </c>
      <c r="AF173" s="114">
        <f>W173+Z173+AC173</f>
        <v/>
      </c>
      <c r="AG173" s="113">
        <f>R173+AD173</f>
        <v/>
      </c>
      <c r="AH173" s="114">
        <f>S173+AE173</f>
        <v/>
      </c>
      <c r="AI173" s="114">
        <f>T173+AF173</f>
        <v/>
      </c>
      <c r="AJ173" s="113" t="n"/>
      <c r="AK173" s="114" t="n"/>
      <c r="AL173" s="114" t="n"/>
      <c r="AM173" s="113">
        <f>(O173-AG173)+AJ173</f>
        <v/>
      </c>
      <c r="AN173" s="114">
        <f>(P173-AH173)+AK173</f>
        <v/>
      </c>
      <c r="AO173" s="114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11" t="n"/>
      <c r="D174" s="112" t="n"/>
      <c r="E174" s="112" t="n"/>
      <c r="F174" s="111" t="n"/>
      <c r="G174" s="112" t="n"/>
      <c r="H174" s="112" t="n"/>
      <c r="I174" s="111" t="n"/>
      <c r="J174" s="112" t="n"/>
      <c r="K174" s="112" t="n"/>
      <c r="L174" s="111" t="n"/>
      <c r="M174" s="112" t="n"/>
      <c r="N174" s="112" t="n"/>
      <c r="O174" s="111">
        <f>L174+I174+F174+C174</f>
        <v/>
      </c>
      <c r="P174" s="112">
        <f>M174+J174+G174+D174</f>
        <v/>
      </c>
      <c r="Q174" s="112">
        <f>N174+K174+H174+E174</f>
        <v/>
      </c>
      <c r="R174" s="111">
        <f>SUMIFS('PO Log'!$E:$E,'PO Log'!$D:$D,'Category Table'!R$2,'PO Log'!$C:$C,'Category Table'!$A174)</f>
        <v/>
      </c>
      <c r="S174" s="112">
        <f>SUMIFS('PO Log'!$E:$E,'PO Log'!$D:$D,'Category Table'!S$2,'PO Log'!$C:$C,'Category Table'!$A174)</f>
        <v/>
      </c>
      <c r="T174" s="112">
        <f>SUMIFS('PO Log'!$E:$E,'PO Log'!$D:$D,'Category Table'!T$2,'PO Log'!$C:$C,'Category Table'!$A174)</f>
        <v/>
      </c>
      <c r="U174" s="111">
        <f>SUMIFS('Committments Dump'!$Q:$Q,'Committments Dump'!$C:$C,'Category Table'!U$2,'Committments Dump'!$B:$B,'Category Table'!$A174)</f>
        <v/>
      </c>
      <c r="V174" s="112">
        <f>SUMIFS('Committments Dump'!$Q:$Q,'Committments Dump'!$C:$C,'Category Table'!V$2,'Committments Dump'!$B:$B,'Category Table'!$A174)</f>
        <v/>
      </c>
      <c r="W174" s="112">
        <f>SUMIFS('Committments Dump'!$Q:$Q,'Committments Dump'!$C:$C,'Category Table'!W$2,'Committments Dump'!$B:$B,'Category Table'!$A174)</f>
        <v/>
      </c>
      <c r="X174" s="111">
        <f>SUMIFS('Committments Dump'!$R:$R,'Committments Dump'!$C:$C,'Category Table'!X$2,'Committments Dump'!$B:$B,'Category Table'!$A174)</f>
        <v/>
      </c>
      <c r="Y174" s="112">
        <f>SUMIFS('Committments Dump'!$R:$R,'Committments Dump'!$C:$C,'Category Table'!Y$2,'Committments Dump'!$B:$B,'Category Table'!$A174)</f>
        <v/>
      </c>
      <c r="Z174" s="112">
        <f>SUMIFS('Committments Dump'!$R:$R,'Committments Dump'!$C:$C,'Category Table'!Z$2,'Committments Dump'!$B:$B,'Category Table'!$A174)</f>
        <v/>
      </c>
      <c r="AA174" s="111">
        <f>SUMIFS('Committments Dump'!$S:$S,'Committments Dump'!$C:$C,'Category Table'!AA$2,'Committments Dump'!$B:$B,'Category Table'!$A174)</f>
        <v/>
      </c>
      <c r="AB174" s="112">
        <f>SUMIFS('Committments Dump'!$S:$S,'Committments Dump'!$C:$C,'Category Table'!AB$2,'Committments Dump'!$B:$B,'Category Table'!$A174)</f>
        <v/>
      </c>
      <c r="AC174" s="112">
        <f>SUMIFS('Committments Dump'!$S:$S,'Committments Dump'!$C:$C,'Category Table'!AC$2,'Committments Dump'!$B:$B,'Category Table'!$A174)</f>
        <v/>
      </c>
      <c r="AD174" s="111">
        <f>U174+X174+AA174</f>
        <v/>
      </c>
      <c r="AE174" s="112">
        <f>V174+Y174+AB174</f>
        <v/>
      </c>
      <c r="AF174" s="112">
        <f>W174+Z174+AC174</f>
        <v/>
      </c>
      <c r="AG174" s="111">
        <f>R174+AD174</f>
        <v/>
      </c>
      <c r="AH174" s="112">
        <f>S174+AE174</f>
        <v/>
      </c>
      <c r="AI174" s="112">
        <f>T174+AF174</f>
        <v/>
      </c>
      <c r="AJ174" s="111" t="n"/>
      <c r="AK174" s="112" t="n"/>
      <c r="AL174" s="112" t="n"/>
      <c r="AM174" s="111">
        <f>(O174-AG174)+AJ174</f>
        <v/>
      </c>
      <c r="AN174" s="112">
        <f>(P174-AH174)+AK174</f>
        <v/>
      </c>
      <c r="AO174" s="112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13" t="n"/>
      <c r="D175" s="114" t="n"/>
      <c r="E175" s="114" t="n"/>
      <c r="F175" s="113" t="n"/>
      <c r="G175" s="114" t="n"/>
      <c r="H175" s="114" t="n"/>
      <c r="I175" s="113" t="n"/>
      <c r="J175" s="114" t="n"/>
      <c r="K175" s="114" t="n"/>
      <c r="L175" s="113" t="n"/>
      <c r="M175" s="114" t="n"/>
      <c r="N175" s="114" t="n"/>
      <c r="O175" s="113">
        <f>L175+I175+F175+C175</f>
        <v/>
      </c>
      <c r="P175" s="114">
        <f>M175+J175+G175+D175</f>
        <v/>
      </c>
      <c r="Q175" s="114">
        <f>N175+K175+H175+E175</f>
        <v/>
      </c>
      <c r="R175" s="113">
        <f>SUMIFS('PO Log'!$E:$E,'PO Log'!$D:$D,'Category Table'!R$2,'PO Log'!$C:$C,'Category Table'!$A175)</f>
        <v/>
      </c>
      <c r="S175" s="114">
        <f>SUMIFS('PO Log'!$E:$E,'PO Log'!$D:$D,'Category Table'!S$2,'PO Log'!$C:$C,'Category Table'!$A175)</f>
        <v/>
      </c>
      <c r="T175" s="114">
        <f>SUMIFS('PO Log'!$E:$E,'PO Log'!$D:$D,'Category Table'!T$2,'PO Log'!$C:$C,'Category Table'!$A175)</f>
        <v/>
      </c>
      <c r="U175" s="113">
        <f>SUMIFS('Committments Dump'!$Q:$Q,'Committments Dump'!$C:$C,'Category Table'!U$2,'Committments Dump'!$B:$B,'Category Table'!$A175)</f>
        <v/>
      </c>
      <c r="V175" s="114">
        <f>SUMIFS('Committments Dump'!$Q:$Q,'Committments Dump'!$C:$C,'Category Table'!V$2,'Committments Dump'!$B:$B,'Category Table'!$A175)</f>
        <v/>
      </c>
      <c r="W175" s="114">
        <f>SUMIFS('Committments Dump'!$Q:$Q,'Committments Dump'!$C:$C,'Category Table'!W$2,'Committments Dump'!$B:$B,'Category Table'!$A175)</f>
        <v/>
      </c>
      <c r="X175" s="113">
        <f>SUMIFS('Committments Dump'!$R:$R,'Committments Dump'!$C:$C,'Category Table'!X$2,'Committments Dump'!$B:$B,'Category Table'!$A175)</f>
        <v/>
      </c>
      <c r="Y175" s="114">
        <f>SUMIFS('Committments Dump'!$R:$R,'Committments Dump'!$C:$C,'Category Table'!Y$2,'Committments Dump'!$B:$B,'Category Table'!$A175)</f>
        <v/>
      </c>
      <c r="Z175" s="114">
        <f>SUMIFS('Committments Dump'!$R:$R,'Committments Dump'!$C:$C,'Category Table'!Z$2,'Committments Dump'!$B:$B,'Category Table'!$A175)</f>
        <v/>
      </c>
      <c r="AA175" s="113">
        <f>SUMIFS('Committments Dump'!$S:$S,'Committments Dump'!$C:$C,'Category Table'!AA$2,'Committments Dump'!$B:$B,'Category Table'!$A175)</f>
        <v/>
      </c>
      <c r="AB175" s="114">
        <f>SUMIFS('Committments Dump'!$S:$S,'Committments Dump'!$C:$C,'Category Table'!AB$2,'Committments Dump'!$B:$B,'Category Table'!$A175)</f>
        <v/>
      </c>
      <c r="AC175" s="114">
        <f>SUMIFS('Committments Dump'!$S:$S,'Committments Dump'!$C:$C,'Category Table'!AC$2,'Committments Dump'!$B:$B,'Category Table'!$A175)</f>
        <v/>
      </c>
      <c r="AD175" s="113">
        <f>U175+X175+AA175</f>
        <v/>
      </c>
      <c r="AE175" s="114">
        <f>V175+Y175+AB175</f>
        <v/>
      </c>
      <c r="AF175" s="114">
        <f>W175+Z175+AC175</f>
        <v/>
      </c>
      <c r="AG175" s="113">
        <f>R175+AD175</f>
        <v/>
      </c>
      <c r="AH175" s="114">
        <f>S175+AE175</f>
        <v/>
      </c>
      <c r="AI175" s="114">
        <f>T175+AF175</f>
        <v/>
      </c>
      <c r="AJ175" s="113" t="n"/>
      <c r="AK175" s="114" t="n"/>
      <c r="AL175" s="114" t="n"/>
      <c r="AM175" s="113">
        <f>(O175-AG175)+AJ175</f>
        <v/>
      </c>
      <c r="AN175" s="114">
        <f>(P175-AH175)+AK175</f>
        <v/>
      </c>
      <c r="AO175" s="114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11" t="n"/>
      <c r="D176" s="112" t="n"/>
      <c r="E176" s="112" t="n"/>
      <c r="F176" s="111" t="n"/>
      <c r="G176" s="112" t="n"/>
      <c r="H176" s="112" t="n"/>
      <c r="I176" s="111" t="n"/>
      <c r="J176" s="112" t="n"/>
      <c r="K176" s="112" t="n"/>
      <c r="L176" s="111" t="n"/>
      <c r="M176" s="112" t="n"/>
      <c r="N176" s="112" t="n"/>
      <c r="O176" s="111">
        <f>L176+I176+F176+C176</f>
        <v/>
      </c>
      <c r="P176" s="112">
        <f>M176+J176+G176+D176</f>
        <v/>
      </c>
      <c r="Q176" s="112">
        <f>N176+K176+H176+E176</f>
        <v/>
      </c>
      <c r="R176" s="111">
        <f>SUMIFS('PO Log'!$E:$E,'PO Log'!$D:$D,'Category Table'!R$2,'PO Log'!$C:$C,'Category Table'!$A176)</f>
        <v/>
      </c>
      <c r="S176" s="112">
        <f>SUMIFS('PO Log'!$E:$E,'PO Log'!$D:$D,'Category Table'!S$2,'PO Log'!$C:$C,'Category Table'!$A176)</f>
        <v/>
      </c>
      <c r="T176" s="112">
        <f>SUMIFS('PO Log'!$E:$E,'PO Log'!$D:$D,'Category Table'!T$2,'PO Log'!$C:$C,'Category Table'!$A176)</f>
        <v/>
      </c>
      <c r="U176" s="111">
        <f>SUMIFS('Committments Dump'!$Q:$Q,'Committments Dump'!$C:$C,'Category Table'!U$2,'Committments Dump'!$B:$B,'Category Table'!$A176)</f>
        <v/>
      </c>
      <c r="V176" s="112">
        <f>SUMIFS('Committments Dump'!$Q:$Q,'Committments Dump'!$C:$C,'Category Table'!V$2,'Committments Dump'!$B:$B,'Category Table'!$A176)</f>
        <v/>
      </c>
      <c r="W176" s="112">
        <f>SUMIFS('Committments Dump'!$Q:$Q,'Committments Dump'!$C:$C,'Category Table'!W$2,'Committments Dump'!$B:$B,'Category Table'!$A176)</f>
        <v/>
      </c>
      <c r="X176" s="111">
        <f>SUMIFS('Committments Dump'!$R:$R,'Committments Dump'!$C:$C,'Category Table'!X$2,'Committments Dump'!$B:$B,'Category Table'!$A176)</f>
        <v/>
      </c>
      <c r="Y176" s="112">
        <f>SUMIFS('Committments Dump'!$R:$R,'Committments Dump'!$C:$C,'Category Table'!Y$2,'Committments Dump'!$B:$B,'Category Table'!$A176)</f>
        <v/>
      </c>
      <c r="Z176" s="112">
        <f>SUMIFS('Committments Dump'!$R:$R,'Committments Dump'!$C:$C,'Category Table'!Z$2,'Committments Dump'!$B:$B,'Category Table'!$A176)</f>
        <v/>
      </c>
      <c r="AA176" s="111">
        <f>SUMIFS('Committments Dump'!$S:$S,'Committments Dump'!$C:$C,'Category Table'!AA$2,'Committments Dump'!$B:$B,'Category Table'!$A176)</f>
        <v/>
      </c>
      <c r="AB176" s="112">
        <f>SUMIFS('Committments Dump'!$S:$S,'Committments Dump'!$C:$C,'Category Table'!AB$2,'Committments Dump'!$B:$B,'Category Table'!$A176)</f>
        <v/>
      </c>
      <c r="AC176" s="112">
        <f>SUMIFS('Committments Dump'!$S:$S,'Committments Dump'!$C:$C,'Category Table'!AC$2,'Committments Dump'!$B:$B,'Category Table'!$A176)</f>
        <v/>
      </c>
      <c r="AD176" s="111">
        <f>U176+X176+AA176</f>
        <v/>
      </c>
      <c r="AE176" s="112">
        <f>V176+Y176+AB176</f>
        <v/>
      </c>
      <c r="AF176" s="112">
        <f>W176+Z176+AC176</f>
        <v/>
      </c>
      <c r="AG176" s="111">
        <f>R176+AD176</f>
        <v/>
      </c>
      <c r="AH176" s="112">
        <f>S176+AE176</f>
        <v/>
      </c>
      <c r="AI176" s="112">
        <f>T176+AF176</f>
        <v/>
      </c>
      <c r="AJ176" s="111" t="n"/>
      <c r="AK176" s="112" t="n"/>
      <c r="AL176" s="112" t="n"/>
      <c r="AM176" s="111">
        <f>(O176-AG176)+AJ176</f>
        <v/>
      </c>
      <c r="AN176" s="112">
        <f>(P176-AH176)+AK176</f>
        <v/>
      </c>
      <c r="AO176" s="112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13" t="n"/>
      <c r="D177" s="114" t="n"/>
      <c r="E177" s="114" t="n"/>
      <c r="F177" s="113" t="n"/>
      <c r="G177" s="114" t="n"/>
      <c r="H177" s="114" t="n"/>
      <c r="I177" s="113" t="n"/>
      <c r="J177" s="114" t="n"/>
      <c r="K177" s="114" t="n"/>
      <c r="L177" s="113" t="n"/>
      <c r="M177" s="114" t="n"/>
      <c r="N177" s="114" t="n"/>
      <c r="O177" s="113">
        <f>L177+I177+F177+C177</f>
        <v/>
      </c>
      <c r="P177" s="114">
        <f>M177+J177+G177+D177</f>
        <v/>
      </c>
      <c r="Q177" s="114">
        <f>N177+K177+H177+E177</f>
        <v/>
      </c>
      <c r="R177" s="113">
        <f>SUMIFS('PO Log'!$E:$E,'PO Log'!$D:$D,'Category Table'!R$2,'PO Log'!$C:$C,'Category Table'!$A177)</f>
        <v/>
      </c>
      <c r="S177" s="114">
        <f>SUMIFS('PO Log'!$E:$E,'PO Log'!$D:$D,'Category Table'!S$2,'PO Log'!$C:$C,'Category Table'!$A177)</f>
        <v/>
      </c>
      <c r="T177" s="114">
        <f>SUMIFS('PO Log'!$E:$E,'PO Log'!$D:$D,'Category Table'!T$2,'PO Log'!$C:$C,'Category Table'!$A177)</f>
        <v/>
      </c>
      <c r="U177" s="113">
        <f>SUMIFS('Committments Dump'!$Q:$Q,'Committments Dump'!$C:$C,'Category Table'!U$2,'Committments Dump'!$B:$B,'Category Table'!$A177)</f>
        <v/>
      </c>
      <c r="V177" s="114">
        <f>SUMIFS('Committments Dump'!$Q:$Q,'Committments Dump'!$C:$C,'Category Table'!V$2,'Committments Dump'!$B:$B,'Category Table'!$A177)</f>
        <v/>
      </c>
      <c r="W177" s="114">
        <f>SUMIFS('Committments Dump'!$Q:$Q,'Committments Dump'!$C:$C,'Category Table'!W$2,'Committments Dump'!$B:$B,'Category Table'!$A177)</f>
        <v/>
      </c>
      <c r="X177" s="113">
        <f>SUMIFS('Committments Dump'!$R:$R,'Committments Dump'!$C:$C,'Category Table'!X$2,'Committments Dump'!$B:$B,'Category Table'!$A177)</f>
        <v/>
      </c>
      <c r="Y177" s="114">
        <f>SUMIFS('Committments Dump'!$R:$R,'Committments Dump'!$C:$C,'Category Table'!Y$2,'Committments Dump'!$B:$B,'Category Table'!$A177)</f>
        <v/>
      </c>
      <c r="Z177" s="114">
        <f>SUMIFS('Committments Dump'!$R:$R,'Committments Dump'!$C:$C,'Category Table'!Z$2,'Committments Dump'!$B:$B,'Category Table'!$A177)</f>
        <v/>
      </c>
      <c r="AA177" s="113">
        <f>SUMIFS('Committments Dump'!$S:$S,'Committments Dump'!$C:$C,'Category Table'!AA$2,'Committments Dump'!$B:$B,'Category Table'!$A177)</f>
        <v/>
      </c>
      <c r="AB177" s="114">
        <f>SUMIFS('Committments Dump'!$S:$S,'Committments Dump'!$C:$C,'Category Table'!AB$2,'Committments Dump'!$B:$B,'Category Table'!$A177)</f>
        <v/>
      </c>
      <c r="AC177" s="114">
        <f>SUMIFS('Committments Dump'!$S:$S,'Committments Dump'!$C:$C,'Category Table'!AC$2,'Committments Dump'!$B:$B,'Category Table'!$A177)</f>
        <v/>
      </c>
      <c r="AD177" s="113">
        <f>U177+X177+AA177</f>
        <v/>
      </c>
      <c r="AE177" s="114">
        <f>V177+Y177+AB177</f>
        <v/>
      </c>
      <c r="AF177" s="114">
        <f>W177+Z177+AC177</f>
        <v/>
      </c>
      <c r="AG177" s="113">
        <f>R177+AD177</f>
        <v/>
      </c>
      <c r="AH177" s="114">
        <f>S177+AE177</f>
        <v/>
      </c>
      <c r="AI177" s="114">
        <f>T177+AF177</f>
        <v/>
      </c>
      <c r="AJ177" s="113" t="n"/>
      <c r="AK177" s="114" t="n"/>
      <c r="AL177" s="114" t="n"/>
      <c r="AM177" s="113">
        <f>(O177-AG177)+AJ177</f>
        <v/>
      </c>
      <c r="AN177" s="114">
        <f>(P177-AH177)+AK177</f>
        <v/>
      </c>
      <c r="AO177" s="114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11" t="n"/>
      <c r="D178" s="112" t="n"/>
      <c r="E178" s="112" t="n"/>
      <c r="F178" s="111" t="n"/>
      <c r="G178" s="112" t="n"/>
      <c r="H178" s="112" t="n"/>
      <c r="I178" s="111" t="n"/>
      <c r="J178" s="112" t="n"/>
      <c r="K178" s="112" t="n"/>
      <c r="L178" s="111" t="n"/>
      <c r="M178" s="112" t="n"/>
      <c r="N178" s="112" t="n"/>
      <c r="O178" s="111">
        <f>L178+I178+F178+C178</f>
        <v/>
      </c>
      <c r="P178" s="112">
        <f>M178+J178+G178+D178</f>
        <v/>
      </c>
      <c r="Q178" s="112">
        <f>N178+K178+H178+E178</f>
        <v/>
      </c>
      <c r="R178" s="111">
        <f>SUMIFS('PO Log'!$E:$E,'PO Log'!$D:$D,'Category Table'!R$2,'PO Log'!$C:$C,'Category Table'!$A178)</f>
        <v/>
      </c>
      <c r="S178" s="112">
        <f>SUMIFS('PO Log'!$E:$E,'PO Log'!$D:$D,'Category Table'!S$2,'PO Log'!$C:$C,'Category Table'!$A178)</f>
        <v/>
      </c>
      <c r="T178" s="112">
        <f>SUMIFS('PO Log'!$E:$E,'PO Log'!$D:$D,'Category Table'!T$2,'PO Log'!$C:$C,'Category Table'!$A178)</f>
        <v/>
      </c>
      <c r="U178" s="111">
        <f>SUMIFS('Committments Dump'!$Q:$Q,'Committments Dump'!$C:$C,'Category Table'!U$2,'Committments Dump'!$B:$B,'Category Table'!$A178)</f>
        <v/>
      </c>
      <c r="V178" s="112">
        <f>SUMIFS('Committments Dump'!$Q:$Q,'Committments Dump'!$C:$C,'Category Table'!V$2,'Committments Dump'!$B:$B,'Category Table'!$A178)</f>
        <v/>
      </c>
      <c r="W178" s="112">
        <f>SUMIFS('Committments Dump'!$Q:$Q,'Committments Dump'!$C:$C,'Category Table'!W$2,'Committments Dump'!$B:$B,'Category Table'!$A178)</f>
        <v/>
      </c>
      <c r="X178" s="111">
        <f>SUMIFS('Committments Dump'!$R:$R,'Committments Dump'!$C:$C,'Category Table'!X$2,'Committments Dump'!$B:$B,'Category Table'!$A178)</f>
        <v/>
      </c>
      <c r="Y178" s="112">
        <f>SUMIFS('Committments Dump'!$R:$R,'Committments Dump'!$C:$C,'Category Table'!Y$2,'Committments Dump'!$B:$B,'Category Table'!$A178)</f>
        <v/>
      </c>
      <c r="Z178" s="112">
        <f>SUMIFS('Committments Dump'!$R:$R,'Committments Dump'!$C:$C,'Category Table'!Z$2,'Committments Dump'!$B:$B,'Category Table'!$A178)</f>
        <v/>
      </c>
      <c r="AA178" s="111">
        <f>SUMIFS('Committments Dump'!$S:$S,'Committments Dump'!$C:$C,'Category Table'!AA$2,'Committments Dump'!$B:$B,'Category Table'!$A178)</f>
        <v/>
      </c>
      <c r="AB178" s="112">
        <f>SUMIFS('Committments Dump'!$S:$S,'Committments Dump'!$C:$C,'Category Table'!AB$2,'Committments Dump'!$B:$B,'Category Table'!$A178)</f>
        <v/>
      </c>
      <c r="AC178" s="112">
        <f>SUMIFS('Committments Dump'!$S:$S,'Committments Dump'!$C:$C,'Category Table'!AC$2,'Committments Dump'!$B:$B,'Category Table'!$A178)</f>
        <v/>
      </c>
      <c r="AD178" s="111">
        <f>U178+X178+AA178</f>
        <v/>
      </c>
      <c r="AE178" s="112">
        <f>V178+Y178+AB178</f>
        <v/>
      </c>
      <c r="AF178" s="112">
        <f>W178+Z178+AC178</f>
        <v/>
      </c>
      <c r="AG178" s="111">
        <f>R178+AD178</f>
        <v/>
      </c>
      <c r="AH178" s="112">
        <f>S178+AE178</f>
        <v/>
      </c>
      <c r="AI178" s="112">
        <f>T178+AF178</f>
        <v/>
      </c>
      <c r="AJ178" s="111" t="n"/>
      <c r="AK178" s="112" t="n"/>
      <c r="AL178" s="112" t="n"/>
      <c r="AM178" s="111">
        <f>(O178-AG178)+AJ178</f>
        <v/>
      </c>
      <c r="AN178" s="112">
        <f>(P178-AH178)+AK178</f>
        <v/>
      </c>
      <c r="AO178" s="112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13" t="n"/>
      <c r="D179" s="114" t="n"/>
      <c r="E179" s="114" t="n"/>
      <c r="F179" s="113" t="n"/>
      <c r="G179" s="114" t="n"/>
      <c r="H179" s="114" t="n"/>
      <c r="I179" s="113" t="n"/>
      <c r="J179" s="114" t="n"/>
      <c r="K179" s="114" t="n"/>
      <c r="L179" s="113" t="n"/>
      <c r="M179" s="114" t="n"/>
      <c r="N179" s="114" t="n"/>
      <c r="O179" s="113">
        <f>L179+I179+F179+C179</f>
        <v/>
      </c>
      <c r="P179" s="114">
        <f>M179+J179+G179+D179</f>
        <v/>
      </c>
      <c r="Q179" s="114">
        <f>N179+K179+H179+E179</f>
        <v/>
      </c>
      <c r="R179" s="113">
        <f>SUMIFS('PO Log'!$E:$E,'PO Log'!$D:$D,'Category Table'!R$2,'PO Log'!$C:$C,'Category Table'!$A179)</f>
        <v/>
      </c>
      <c r="S179" s="114">
        <f>SUMIFS('PO Log'!$E:$E,'PO Log'!$D:$D,'Category Table'!S$2,'PO Log'!$C:$C,'Category Table'!$A179)</f>
        <v/>
      </c>
      <c r="T179" s="114">
        <f>SUMIFS('PO Log'!$E:$E,'PO Log'!$D:$D,'Category Table'!T$2,'PO Log'!$C:$C,'Category Table'!$A179)</f>
        <v/>
      </c>
      <c r="U179" s="113">
        <f>SUMIFS('Committments Dump'!$Q:$Q,'Committments Dump'!$C:$C,'Category Table'!U$2,'Committments Dump'!$B:$B,'Category Table'!$A179)</f>
        <v/>
      </c>
      <c r="V179" s="114">
        <f>SUMIFS('Committments Dump'!$Q:$Q,'Committments Dump'!$C:$C,'Category Table'!V$2,'Committments Dump'!$B:$B,'Category Table'!$A179)</f>
        <v/>
      </c>
      <c r="W179" s="114">
        <f>SUMIFS('Committments Dump'!$Q:$Q,'Committments Dump'!$C:$C,'Category Table'!W$2,'Committments Dump'!$B:$B,'Category Table'!$A179)</f>
        <v/>
      </c>
      <c r="X179" s="113">
        <f>SUMIFS('Committments Dump'!$R:$R,'Committments Dump'!$C:$C,'Category Table'!X$2,'Committments Dump'!$B:$B,'Category Table'!$A179)</f>
        <v/>
      </c>
      <c r="Y179" s="114">
        <f>SUMIFS('Committments Dump'!$R:$R,'Committments Dump'!$C:$C,'Category Table'!Y$2,'Committments Dump'!$B:$B,'Category Table'!$A179)</f>
        <v/>
      </c>
      <c r="Z179" s="114">
        <f>SUMIFS('Committments Dump'!$R:$R,'Committments Dump'!$C:$C,'Category Table'!Z$2,'Committments Dump'!$B:$B,'Category Table'!$A179)</f>
        <v/>
      </c>
      <c r="AA179" s="113">
        <f>SUMIFS('Committments Dump'!$S:$S,'Committments Dump'!$C:$C,'Category Table'!AA$2,'Committments Dump'!$B:$B,'Category Table'!$A179)</f>
        <v/>
      </c>
      <c r="AB179" s="114">
        <f>SUMIFS('Committments Dump'!$S:$S,'Committments Dump'!$C:$C,'Category Table'!AB$2,'Committments Dump'!$B:$B,'Category Table'!$A179)</f>
        <v/>
      </c>
      <c r="AC179" s="114">
        <f>SUMIFS('Committments Dump'!$S:$S,'Committments Dump'!$C:$C,'Category Table'!AC$2,'Committments Dump'!$B:$B,'Category Table'!$A179)</f>
        <v/>
      </c>
      <c r="AD179" s="113">
        <f>U179+X179+AA179</f>
        <v/>
      </c>
      <c r="AE179" s="114">
        <f>V179+Y179+AB179</f>
        <v/>
      </c>
      <c r="AF179" s="114">
        <f>W179+Z179+AC179</f>
        <v/>
      </c>
      <c r="AG179" s="113">
        <f>R179+AD179</f>
        <v/>
      </c>
      <c r="AH179" s="114">
        <f>S179+AE179</f>
        <v/>
      </c>
      <c r="AI179" s="114">
        <f>T179+AF179</f>
        <v/>
      </c>
      <c r="AJ179" s="113" t="n"/>
      <c r="AK179" s="114" t="n"/>
      <c r="AL179" s="114" t="n"/>
      <c r="AM179" s="113">
        <f>(O179-AG179)+AJ179</f>
        <v/>
      </c>
      <c r="AN179" s="114">
        <f>(P179-AH179)+AK179</f>
        <v/>
      </c>
      <c r="AO179" s="114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11" t="n"/>
      <c r="D180" s="112" t="n"/>
      <c r="E180" s="112" t="n"/>
      <c r="F180" s="111" t="n"/>
      <c r="G180" s="112" t="n"/>
      <c r="H180" s="112" t="n"/>
      <c r="I180" s="111" t="n"/>
      <c r="J180" s="112" t="n"/>
      <c r="K180" s="112" t="n"/>
      <c r="L180" s="111" t="n"/>
      <c r="M180" s="112" t="n"/>
      <c r="N180" s="112" t="n"/>
      <c r="O180" s="111">
        <f>L180+I180+F180+C180</f>
        <v/>
      </c>
      <c r="P180" s="112">
        <f>M180+J180+G180+D180</f>
        <v/>
      </c>
      <c r="Q180" s="112">
        <f>N180+K180+H180+E180</f>
        <v/>
      </c>
      <c r="R180" s="111">
        <f>SUMIFS('PO Log'!$E:$E,'PO Log'!$D:$D,'Category Table'!R$2,'PO Log'!$C:$C,'Category Table'!$A180)</f>
        <v/>
      </c>
      <c r="S180" s="112">
        <f>SUMIFS('PO Log'!$E:$E,'PO Log'!$D:$D,'Category Table'!S$2,'PO Log'!$C:$C,'Category Table'!$A180)</f>
        <v/>
      </c>
      <c r="T180" s="112">
        <f>SUMIFS('PO Log'!$E:$E,'PO Log'!$D:$D,'Category Table'!T$2,'PO Log'!$C:$C,'Category Table'!$A180)</f>
        <v/>
      </c>
      <c r="U180" s="111">
        <f>SUMIFS('Committments Dump'!$Q:$Q,'Committments Dump'!$C:$C,'Category Table'!U$2,'Committments Dump'!$B:$B,'Category Table'!$A180)</f>
        <v/>
      </c>
      <c r="V180" s="112">
        <f>SUMIFS('Committments Dump'!$Q:$Q,'Committments Dump'!$C:$C,'Category Table'!V$2,'Committments Dump'!$B:$B,'Category Table'!$A180)</f>
        <v/>
      </c>
      <c r="W180" s="112">
        <f>SUMIFS('Committments Dump'!$Q:$Q,'Committments Dump'!$C:$C,'Category Table'!W$2,'Committments Dump'!$B:$B,'Category Table'!$A180)</f>
        <v/>
      </c>
      <c r="X180" s="111">
        <f>SUMIFS('Committments Dump'!$R:$R,'Committments Dump'!$C:$C,'Category Table'!X$2,'Committments Dump'!$B:$B,'Category Table'!$A180)</f>
        <v/>
      </c>
      <c r="Y180" s="112">
        <f>SUMIFS('Committments Dump'!$R:$R,'Committments Dump'!$C:$C,'Category Table'!Y$2,'Committments Dump'!$B:$B,'Category Table'!$A180)</f>
        <v/>
      </c>
      <c r="Z180" s="112">
        <f>SUMIFS('Committments Dump'!$R:$R,'Committments Dump'!$C:$C,'Category Table'!Z$2,'Committments Dump'!$B:$B,'Category Table'!$A180)</f>
        <v/>
      </c>
      <c r="AA180" s="111">
        <f>SUMIFS('Committments Dump'!$S:$S,'Committments Dump'!$C:$C,'Category Table'!AA$2,'Committments Dump'!$B:$B,'Category Table'!$A180)</f>
        <v/>
      </c>
      <c r="AB180" s="112">
        <f>SUMIFS('Committments Dump'!$S:$S,'Committments Dump'!$C:$C,'Category Table'!AB$2,'Committments Dump'!$B:$B,'Category Table'!$A180)</f>
        <v/>
      </c>
      <c r="AC180" s="112">
        <f>SUMIFS('Committments Dump'!$S:$S,'Committments Dump'!$C:$C,'Category Table'!AC$2,'Committments Dump'!$B:$B,'Category Table'!$A180)</f>
        <v/>
      </c>
      <c r="AD180" s="111">
        <f>U180+X180+AA180</f>
        <v/>
      </c>
      <c r="AE180" s="112">
        <f>V180+Y180+AB180</f>
        <v/>
      </c>
      <c r="AF180" s="112">
        <f>W180+Z180+AC180</f>
        <v/>
      </c>
      <c r="AG180" s="111">
        <f>R180+AD180</f>
        <v/>
      </c>
      <c r="AH180" s="112">
        <f>S180+AE180</f>
        <v/>
      </c>
      <c r="AI180" s="112">
        <f>T180+AF180</f>
        <v/>
      </c>
      <c r="AJ180" s="111" t="n"/>
      <c r="AK180" s="112" t="n"/>
      <c r="AL180" s="112" t="n"/>
      <c r="AM180" s="111">
        <f>(O180-AG180)+AJ180</f>
        <v/>
      </c>
      <c r="AN180" s="112">
        <f>(P180-AH180)+AK180</f>
        <v/>
      </c>
      <c r="AO180" s="112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13" t="n"/>
      <c r="D181" s="114" t="n"/>
      <c r="E181" s="114" t="n"/>
      <c r="F181" s="113" t="n"/>
      <c r="G181" s="114" t="n"/>
      <c r="H181" s="114" t="n"/>
      <c r="I181" s="113" t="n"/>
      <c r="J181" s="114" t="n"/>
      <c r="K181" s="114" t="n"/>
      <c r="L181" s="113" t="n"/>
      <c r="M181" s="114" t="n"/>
      <c r="N181" s="114" t="n"/>
      <c r="O181" s="113">
        <f>L181+I181+F181+C181</f>
        <v/>
      </c>
      <c r="P181" s="114">
        <f>M181+J181+G181+D181</f>
        <v/>
      </c>
      <c r="Q181" s="114">
        <f>N181+K181+H181+E181</f>
        <v/>
      </c>
      <c r="R181" s="113">
        <f>SUMIFS('PO Log'!$E:$E,'PO Log'!$D:$D,'Category Table'!R$2,'PO Log'!$C:$C,'Category Table'!$A181)</f>
        <v/>
      </c>
      <c r="S181" s="114">
        <f>SUMIFS('PO Log'!$E:$E,'PO Log'!$D:$D,'Category Table'!S$2,'PO Log'!$C:$C,'Category Table'!$A181)</f>
        <v/>
      </c>
      <c r="T181" s="114">
        <f>SUMIFS('PO Log'!$E:$E,'PO Log'!$D:$D,'Category Table'!T$2,'PO Log'!$C:$C,'Category Table'!$A181)</f>
        <v/>
      </c>
      <c r="U181" s="113">
        <f>SUMIFS('Committments Dump'!$Q:$Q,'Committments Dump'!$C:$C,'Category Table'!U$2,'Committments Dump'!$B:$B,'Category Table'!$A181)</f>
        <v/>
      </c>
      <c r="V181" s="114">
        <f>SUMIFS('Committments Dump'!$Q:$Q,'Committments Dump'!$C:$C,'Category Table'!V$2,'Committments Dump'!$B:$B,'Category Table'!$A181)</f>
        <v/>
      </c>
      <c r="W181" s="114">
        <f>SUMIFS('Committments Dump'!$Q:$Q,'Committments Dump'!$C:$C,'Category Table'!W$2,'Committments Dump'!$B:$B,'Category Table'!$A181)</f>
        <v/>
      </c>
      <c r="X181" s="113">
        <f>SUMIFS('Committments Dump'!$R:$R,'Committments Dump'!$C:$C,'Category Table'!X$2,'Committments Dump'!$B:$B,'Category Table'!$A181)</f>
        <v/>
      </c>
      <c r="Y181" s="114">
        <f>SUMIFS('Committments Dump'!$R:$R,'Committments Dump'!$C:$C,'Category Table'!Y$2,'Committments Dump'!$B:$B,'Category Table'!$A181)</f>
        <v/>
      </c>
      <c r="Z181" s="114">
        <f>SUMIFS('Committments Dump'!$R:$R,'Committments Dump'!$C:$C,'Category Table'!Z$2,'Committments Dump'!$B:$B,'Category Table'!$A181)</f>
        <v/>
      </c>
      <c r="AA181" s="113">
        <f>SUMIFS('Committments Dump'!$S:$S,'Committments Dump'!$C:$C,'Category Table'!AA$2,'Committments Dump'!$B:$B,'Category Table'!$A181)</f>
        <v/>
      </c>
      <c r="AB181" s="114">
        <f>SUMIFS('Committments Dump'!$S:$S,'Committments Dump'!$C:$C,'Category Table'!AB$2,'Committments Dump'!$B:$B,'Category Table'!$A181)</f>
        <v/>
      </c>
      <c r="AC181" s="114">
        <f>SUMIFS('Committments Dump'!$S:$S,'Committments Dump'!$C:$C,'Category Table'!AC$2,'Committments Dump'!$B:$B,'Category Table'!$A181)</f>
        <v/>
      </c>
      <c r="AD181" s="113">
        <f>U181+X181+AA181</f>
        <v/>
      </c>
      <c r="AE181" s="114">
        <f>V181+Y181+AB181</f>
        <v/>
      </c>
      <c r="AF181" s="114">
        <f>W181+Z181+AC181</f>
        <v/>
      </c>
      <c r="AG181" s="113">
        <f>R181+AD181</f>
        <v/>
      </c>
      <c r="AH181" s="114">
        <f>S181+AE181</f>
        <v/>
      </c>
      <c r="AI181" s="114">
        <f>T181+AF181</f>
        <v/>
      </c>
      <c r="AJ181" s="113" t="n"/>
      <c r="AK181" s="114" t="n"/>
      <c r="AL181" s="114" t="n"/>
      <c r="AM181" s="113">
        <f>(O181-AG181)+AJ181</f>
        <v/>
      </c>
      <c r="AN181" s="114">
        <f>(P181-AH181)+AK181</f>
        <v/>
      </c>
      <c r="AO181" s="114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11" t="n"/>
      <c r="D182" s="112" t="n"/>
      <c r="E182" s="112" t="n"/>
      <c r="F182" s="111" t="n"/>
      <c r="G182" s="112" t="n"/>
      <c r="H182" s="112" t="n"/>
      <c r="I182" s="111" t="n"/>
      <c r="J182" s="112" t="n"/>
      <c r="K182" s="112" t="n"/>
      <c r="L182" s="111" t="n"/>
      <c r="M182" s="112" t="n"/>
      <c r="N182" s="112" t="n"/>
      <c r="O182" s="111">
        <f>L182+I182+F182+C182</f>
        <v/>
      </c>
      <c r="P182" s="112">
        <f>M182+J182+G182+D182</f>
        <v/>
      </c>
      <c r="Q182" s="112">
        <f>N182+K182+H182+E182</f>
        <v/>
      </c>
      <c r="R182" s="111">
        <f>SUMIFS('PO Log'!$E:$E,'PO Log'!$D:$D,'Category Table'!R$2,'PO Log'!$C:$C,'Category Table'!$A182)</f>
        <v/>
      </c>
      <c r="S182" s="112">
        <f>SUMIFS('PO Log'!$E:$E,'PO Log'!$D:$D,'Category Table'!S$2,'PO Log'!$C:$C,'Category Table'!$A182)</f>
        <v/>
      </c>
      <c r="T182" s="112">
        <f>SUMIFS('PO Log'!$E:$E,'PO Log'!$D:$D,'Category Table'!T$2,'PO Log'!$C:$C,'Category Table'!$A182)</f>
        <v/>
      </c>
      <c r="U182" s="111">
        <f>SUMIFS('Committments Dump'!$Q:$Q,'Committments Dump'!$C:$C,'Category Table'!U$2,'Committments Dump'!$B:$B,'Category Table'!$A182)</f>
        <v/>
      </c>
      <c r="V182" s="112">
        <f>SUMIFS('Committments Dump'!$Q:$Q,'Committments Dump'!$C:$C,'Category Table'!V$2,'Committments Dump'!$B:$B,'Category Table'!$A182)</f>
        <v/>
      </c>
      <c r="W182" s="112">
        <f>SUMIFS('Committments Dump'!$Q:$Q,'Committments Dump'!$C:$C,'Category Table'!W$2,'Committments Dump'!$B:$B,'Category Table'!$A182)</f>
        <v/>
      </c>
      <c r="X182" s="111">
        <f>SUMIFS('Committments Dump'!$R:$R,'Committments Dump'!$C:$C,'Category Table'!X$2,'Committments Dump'!$B:$B,'Category Table'!$A182)</f>
        <v/>
      </c>
      <c r="Y182" s="112">
        <f>SUMIFS('Committments Dump'!$R:$R,'Committments Dump'!$C:$C,'Category Table'!Y$2,'Committments Dump'!$B:$B,'Category Table'!$A182)</f>
        <v/>
      </c>
      <c r="Z182" s="112">
        <f>SUMIFS('Committments Dump'!$R:$R,'Committments Dump'!$C:$C,'Category Table'!Z$2,'Committments Dump'!$B:$B,'Category Table'!$A182)</f>
        <v/>
      </c>
      <c r="AA182" s="111">
        <f>SUMIFS('Committments Dump'!$S:$S,'Committments Dump'!$C:$C,'Category Table'!AA$2,'Committments Dump'!$B:$B,'Category Table'!$A182)</f>
        <v/>
      </c>
      <c r="AB182" s="112">
        <f>SUMIFS('Committments Dump'!$S:$S,'Committments Dump'!$C:$C,'Category Table'!AB$2,'Committments Dump'!$B:$B,'Category Table'!$A182)</f>
        <v/>
      </c>
      <c r="AC182" s="112">
        <f>SUMIFS('Committments Dump'!$S:$S,'Committments Dump'!$C:$C,'Category Table'!AC$2,'Committments Dump'!$B:$B,'Category Table'!$A182)</f>
        <v/>
      </c>
      <c r="AD182" s="111">
        <f>U182+X182+AA182</f>
        <v/>
      </c>
      <c r="AE182" s="112">
        <f>V182+Y182+AB182</f>
        <v/>
      </c>
      <c r="AF182" s="112">
        <f>W182+Z182+AC182</f>
        <v/>
      </c>
      <c r="AG182" s="111">
        <f>R182+AD182</f>
        <v/>
      </c>
      <c r="AH182" s="112">
        <f>S182+AE182</f>
        <v/>
      </c>
      <c r="AI182" s="112">
        <f>T182+AF182</f>
        <v/>
      </c>
      <c r="AJ182" s="111" t="n"/>
      <c r="AK182" s="112" t="n"/>
      <c r="AL182" s="112" t="n"/>
      <c r="AM182" s="111">
        <f>(O182-AG182)+AJ182</f>
        <v/>
      </c>
      <c r="AN182" s="112">
        <f>(P182-AH182)+AK182</f>
        <v/>
      </c>
      <c r="AO182" s="112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13" t="n"/>
      <c r="D183" s="114" t="n"/>
      <c r="E183" s="114" t="n"/>
      <c r="F183" s="113" t="n"/>
      <c r="G183" s="114" t="n"/>
      <c r="H183" s="114" t="n"/>
      <c r="I183" s="113" t="n"/>
      <c r="J183" s="114" t="n"/>
      <c r="K183" s="114" t="n"/>
      <c r="L183" s="113" t="n"/>
      <c r="M183" s="114" t="n"/>
      <c r="N183" s="114" t="n"/>
      <c r="O183" s="113">
        <f>L183+I183+F183+C183</f>
        <v/>
      </c>
      <c r="P183" s="114">
        <f>M183+J183+G183+D183</f>
        <v/>
      </c>
      <c r="Q183" s="114">
        <f>N183+K183+H183+E183</f>
        <v/>
      </c>
      <c r="R183" s="113">
        <f>SUMIFS('PO Log'!$E:$E,'PO Log'!$D:$D,'Category Table'!R$2,'PO Log'!$C:$C,'Category Table'!$A183)</f>
        <v/>
      </c>
      <c r="S183" s="114">
        <f>SUMIFS('PO Log'!$E:$E,'PO Log'!$D:$D,'Category Table'!S$2,'PO Log'!$C:$C,'Category Table'!$A183)</f>
        <v/>
      </c>
      <c r="T183" s="114">
        <f>SUMIFS('PO Log'!$E:$E,'PO Log'!$D:$D,'Category Table'!T$2,'PO Log'!$C:$C,'Category Table'!$A183)</f>
        <v/>
      </c>
      <c r="U183" s="113">
        <f>SUMIFS('Committments Dump'!$Q:$Q,'Committments Dump'!$C:$C,'Category Table'!U$2,'Committments Dump'!$B:$B,'Category Table'!$A183)</f>
        <v/>
      </c>
      <c r="V183" s="114">
        <f>SUMIFS('Committments Dump'!$Q:$Q,'Committments Dump'!$C:$C,'Category Table'!V$2,'Committments Dump'!$B:$B,'Category Table'!$A183)</f>
        <v/>
      </c>
      <c r="W183" s="114">
        <f>SUMIFS('Committments Dump'!$Q:$Q,'Committments Dump'!$C:$C,'Category Table'!W$2,'Committments Dump'!$B:$B,'Category Table'!$A183)</f>
        <v/>
      </c>
      <c r="X183" s="113">
        <f>SUMIFS('Committments Dump'!$R:$R,'Committments Dump'!$C:$C,'Category Table'!X$2,'Committments Dump'!$B:$B,'Category Table'!$A183)</f>
        <v/>
      </c>
      <c r="Y183" s="114">
        <f>SUMIFS('Committments Dump'!$R:$R,'Committments Dump'!$C:$C,'Category Table'!Y$2,'Committments Dump'!$B:$B,'Category Table'!$A183)</f>
        <v/>
      </c>
      <c r="Z183" s="114">
        <f>SUMIFS('Committments Dump'!$R:$R,'Committments Dump'!$C:$C,'Category Table'!Z$2,'Committments Dump'!$B:$B,'Category Table'!$A183)</f>
        <v/>
      </c>
      <c r="AA183" s="113">
        <f>SUMIFS('Committments Dump'!$S:$S,'Committments Dump'!$C:$C,'Category Table'!AA$2,'Committments Dump'!$B:$B,'Category Table'!$A183)</f>
        <v/>
      </c>
      <c r="AB183" s="114">
        <f>SUMIFS('Committments Dump'!$S:$S,'Committments Dump'!$C:$C,'Category Table'!AB$2,'Committments Dump'!$B:$B,'Category Table'!$A183)</f>
        <v/>
      </c>
      <c r="AC183" s="114">
        <f>SUMIFS('Committments Dump'!$S:$S,'Committments Dump'!$C:$C,'Category Table'!AC$2,'Committments Dump'!$B:$B,'Category Table'!$A183)</f>
        <v/>
      </c>
      <c r="AD183" s="113">
        <f>U183+X183+AA183</f>
        <v/>
      </c>
      <c r="AE183" s="114">
        <f>V183+Y183+AB183</f>
        <v/>
      </c>
      <c r="AF183" s="114">
        <f>W183+Z183+AC183</f>
        <v/>
      </c>
      <c r="AG183" s="113">
        <f>R183+AD183</f>
        <v/>
      </c>
      <c r="AH183" s="114">
        <f>S183+AE183</f>
        <v/>
      </c>
      <c r="AI183" s="114">
        <f>T183+AF183</f>
        <v/>
      </c>
      <c r="AJ183" s="113" t="n"/>
      <c r="AK183" s="114" t="n"/>
      <c r="AL183" s="114" t="n"/>
      <c r="AM183" s="113">
        <f>(O183-AG183)+AJ183</f>
        <v/>
      </c>
      <c r="AN183" s="114">
        <f>(P183-AH183)+AK183</f>
        <v/>
      </c>
      <c r="AO183" s="114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11" t="n"/>
      <c r="D184" s="112" t="n"/>
      <c r="E184" s="112" t="n"/>
      <c r="F184" s="111" t="n"/>
      <c r="G184" s="112" t="n"/>
      <c r="H184" s="112" t="n"/>
      <c r="I184" s="111" t="n"/>
      <c r="J184" s="112" t="n"/>
      <c r="K184" s="112" t="n"/>
      <c r="L184" s="111" t="n"/>
      <c r="M184" s="112" t="n"/>
      <c r="N184" s="112" t="n"/>
      <c r="O184" s="111">
        <f>L184+I184+F184+C184</f>
        <v/>
      </c>
      <c r="P184" s="112">
        <f>M184+J184+G184+D184</f>
        <v/>
      </c>
      <c r="Q184" s="112">
        <f>N184+K184+H184+E184</f>
        <v/>
      </c>
      <c r="R184" s="111">
        <f>SUMIFS('PO Log'!$E:$E,'PO Log'!$D:$D,'Category Table'!R$2,'PO Log'!$C:$C,'Category Table'!$A184)</f>
        <v/>
      </c>
      <c r="S184" s="112">
        <f>SUMIFS('PO Log'!$E:$E,'PO Log'!$D:$D,'Category Table'!S$2,'PO Log'!$C:$C,'Category Table'!$A184)</f>
        <v/>
      </c>
      <c r="T184" s="112">
        <f>SUMIFS('PO Log'!$E:$E,'PO Log'!$D:$D,'Category Table'!T$2,'PO Log'!$C:$C,'Category Table'!$A184)</f>
        <v/>
      </c>
      <c r="U184" s="111">
        <f>SUMIFS('Committments Dump'!$Q:$Q,'Committments Dump'!$C:$C,'Category Table'!U$2,'Committments Dump'!$B:$B,'Category Table'!$A184)</f>
        <v/>
      </c>
      <c r="V184" s="112">
        <f>SUMIFS('Committments Dump'!$Q:$Q,'Committments Dump'!$C:$C,'Category Table'!V$2,'Committments Dump'!$B:$B,'Category Table'!$A184)</f>
        <v/>
      </c>
      <c r="W184" s="112">
        <f>SUMIFS('Committments Dump'!$Q:$Q,'Committments Dump'!$C:$C,'Category Table'!W$2,'Committments Dump'!$B:$B,'Category Table'!$A184)</f>
        <v/>
      </c>
      <c r="X184" s="111">
        <f>SUMIFS('Committments Dump'!$R:$R,'Committments Dump'!$C:$C,'Category Table'!X$2,'Committments Dump'!$B:$B,'Category Table'!$A184)</f>
        <v/>
      </c>
      <c r="Y184" s="112">
        <f>SUMIFS('Committments Dump'!$R:$R,'Committments Dump'!$C:$C,'Category Table'!Y$2,'Committments Dump'!$B:$B,'Category Table'!$A184)</f>
        <v/>
      </c>
      <c r="Z184" s="112">
        <f>SUMIFS('Committments Dump'!$R:$R,'Committments Dump'!$C:$C,'Category Table'!Z$2,'Committments Dump'!$B:$B,'Category Table'!$A184)</f>
        <v/>
      </c>
      <c r="AA184" s="111">
        <f>SUMIFS('Committments Dump'!$S:$S,'Committments Dump'!$C:$C,'Category Table'!AA$2,'Committments Dump'!$B:$B,'Category Table'!$A184)</f>
        <v/>
      </c>
      <c r="AB184" s="112">
        <f>SUMIFS('Committments Dump'!$S:$S,'Committments Dump'!$C:$C,'Category Table'!AB$2,'Committments Dump'!$B:$B,'Category Table'!$A184)</f>
        <v/>
      </c>
      <c r="AC184" s="112">
        <f>SUMIFS('Committments Dump'!$S:$S,'Committments Dump'!$C:$C,'Category Table'!AC$2,'Committments Dump'!$B:$B,'Category Table'!$A184)</f>
        <v/>
      </c>
      <c r="AD184" s="111">
        <f>U184+X184+AA184</f>
        <v/>
      </c>
      <c r="AE184" s="112">
        <f>V184+Y184+AB184</f>
        <v/>
      </c>
      <c r="AF184" s="112">
        <f>W184+Z184+AC184</f>
        <v/>
      </c>
      <c r="AG184" s="111">
        <f>R184+AD184</f>
        <v/>
      </c>
      <c r="AH184" s="112">
        <f>S184+AE184</f>
        <v/>
      </c>
      <c r="AI184" s="112">
        <f>T184+AF184</f>
        <v/>
      </c>
      <c r="AJ184" s="111" t="n"/>
      <c r="AK184" s="112" t="n"/>
      <c r="AL184" s="112" t="n"/>
      <c r="AM184" s="111">
        <f>(O184-AG184)+AJ184</f>
        <v/>
      </c>
      <c r="AN184" s="112">
        <f>(P184-AH184)+AK184</f>
        <v/>
      </c>
      <c r="AO184" s="112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13" t="n"/>
      <c r="D185" s="114" t="n"/>
      <c r="E185" s="114" t="n"/>
      <c r="F185" s="113" t="n"/>
      <c r="G185" s="114" t="n"/>
      <c r="H185" s="114" t="n"/>
      <c r="I185" s="113" t="n"/>
      <c r="J185" s="114" t="n"/>
      <c r="K185" s="114" t="n"/>
      <c r="L185" s="113" t="n"/>
      <c r="M185" s="114" t="n"/>
      <c r="N185" s="114" t="n"/>
      <c r="O185" s="113">
        <f>L185+I185+F185+C185</f>
        <v/>
      </c>
      <c r="P185" s="114">
        <f>M185+J185+G185+D185</f>
        <v/>
      </c>
      <c r="Q185" s="114">
        <f>N185+K185+H185+E185</f>
        <v/>
      </c>
      <c r="R185" s="113">
        <f>SUMIFS('PO Log'!$E:$E,'PO Log'!$D:$D,'Category Table'!R$2,'PO Log'!$C:$C,'Category Table'!$A185)</f>
        <v/>
      </c>
      <c r="S185" s="114">
        <f>SUMIFS('PO Log'!$E:$E,'PO Log'!$D:$D,'Category Table'!S$2,'PO Log'!$C:$C,'Category Table'!$A185)</f>
        <v/>
      </c>
      <c r="T185" s="114">
        <f>SUMIFS('PO Log'!$E:$E,'PO Log'!$D:$D,'Category Table'!T$2,'PO Log'!$C:$C,'Category Table'!$A185)</f>
        <v/>
      </c>
      <c r="U185" s="113">
        <f>SUMIFS('Committments Dump'!$Q:$Q,'Committments Dump'!$C:$C,'Category Table'!U$2,'Committments Dump'!$B:$B,'Category Table'!$A185)</f>
        <v/>
      </c>
      <c r="V185" s="114">
        <f>SUMIFS('Committments Dump'!$Q:$Q,'Committments Dump'!$C:$C,'Category Table'!V$2,'Committments Dump'!$B:$B,'Category Table'!$A185)</f>
        <v/>
      </c>
      <c r="W185" s="114">
        <f>SUMIFS('Committments Dump'!$Q:$Q,'Committments Dump'!$C:$C,'Category Table'!W$2,'Committments Dump'!$B:$B,'Category Table'!$A185)</f>
        <v/>
      </c>
      <c r="X185" s="113">
        <f>SUMIFS('Committments Dump'!$R:$R,'Committments Dump'!$C:$C,'Category Table'!X$2,'Committments Dump'!$B:$B,'Category Table'!$A185)</f>
        <v/>
      </c>
      <c r="Y185" s="114">
        <f>SUMIFS('Committments Dump'!$R:$R,'Committments Dump'!$C:$C,'Category Table'!Y$2,'Committments Dump'!$B:$B,'Category Table'!$A185)</f>
        <v/>
      </c>
      <c r="Z185" s="114">
        <f>SUMIFS('Committments Dump'!$R:$R,'Committments Dump'!$C:$C,'Category Table'!Z$2,'Committments Dump'!$B:$B,'Category Table'!$A185)</f>
        <v/>
      </c>
      <c r="AA185" s="113">
        <f>SUMIFS('Committments Dump'!$S:$S,'Committments Dump'!$C:$C,'Category Table'!AA$2,'Committments Dump'!$B:$B,'Category Table'!$A185)</f>
        <v/>
      </c>
      <c r="AB185" s="114">
        <f>SUMIFS('Committments Dump'!$S:$S,'Committments Dump'!$C:$C,'Category Table'!AB$2,'Committments Dump'!$B:$B,'Category Table'!$A185)</f>
        <v/>
      </c>
      <c r="AC185" s="114">
        <f>SUMIFS('Committments Dump'!$S:$S,'Committments Dump'!$C:$C,'Category Table'!AC$2,'Committments Dump'!$B:$B,'Category Table'!$A185)</f>
        <v/>
      </c>
      <c r="AD185" s="113">
        <f>U185+X185+AA185</f>
        <v/>
      </c>
      <c r="AE185" s="114">
        <f>V185+Y185+AB185</f>
        <v/>
      </c>
      <c r="AF185" s="114">
        <f>W185+Z185+AC185</f>
        <v/>
      </c>
      <c r="AG185" s="113">
        <f>R185+AD185</f>
        <v/>
      </c>
      <c r="AH185" s="114">
        <f>S185+AE185</f>
        <v/>
      </c>
      <c r="AI185" s="114">
        <f>T185+AF185</f>
        <v/>
      </c>
      <c r="AJ185" s="113" t="n"/>
      <c r="AK185" s="114" t="n"/>
      <c r="AL185" s="114" t="n"/>
      <c r="AM185" s="113">
        <f>(O185-AG185)+AJ185</f>
        <v/>
      </c>
      <c r="AN185" s="114">
        <f>(P185-AH185)+AK185</f>
        <v/>
      </c>
      <c r="AO185" s="114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11" t="n"/>
      <c r="D186" s="112" t="n"/>
      <c r="E186" s="112" t="n"/>
      <c r="F186" s="111" t="n"/>
      <c r="G186" s="112" t="n"/>
      <c r="H186" s="112" t="n"/>
      <c r="I186" s="111" t="n"/>
      <c r="J186" s="112" t="n"/>
      <c r="K186" s="112" t="n"/>
      <c r="L186" s="111" t="n"/>
      <c r="M186" s="112" t="n"/>
      <c r="N186" s="112" t="n"/>
      <c r="O186" s="111">
        <f>L186+I186+F186+C186</f>
        <v/>
      </c>
      <c r="P186" s="112">
        <f>M186+J186+G186+D186</f>
        <v/>
      </c>
      <c r="Q186" s="112">
        <f>N186+K186+H186+E186</f>
        <v/>
      </c>
      <c r="R186" s="111">
        <f>SUMIFS('PO Log'!$E:$E,'PO Log'!$D:$D,'Category Table'!R$2,'PO Log'!$C:$C,'Category Table'!$A186)</f>
        <v/>
      </c>
      <c r="S186" s="112">
        <f>SUMIFS('PO Log'!$E:$E,'PO Log'!$D:$D,'Category Table'!S$2,'PO Log'!$C:$C,'Category Table'!$A186)</f>
        <v/>
      </c>
      <c r="T186" s="112">
        <f>SUMIFS('PO Log'!$E:$E,'PO Log'!$D:$D,'Category Table'!T$2,'PO Log'!$C:$C,'Category Table'!$A186)</f>
        <v/>
      </c>
      <c r="U186" s="111">
        <f>SUMIFS('Committments Dump'!$Q:$Q,'Committments Dump'!$C:$C,'Category Table'!U$2,'Committments Dump'!$B:$B,'Category Table'!$A186)</f>
        <v/>
      </c>
      <c r="V186" s="112">
        <f>SUMIFS('Committments Dump'!$Q:$Q,'Committments Dump'!$C:$C,'Category Table'!V$2,'Committments Dump'!$B:$B,'Category Table'!$A186)</f>
        <v/>
      </c>
      <c r="W186" s="112">
        <f>SUMIFS('Committments Dump'!$Q:$Q,'Committments Dump'!$C:$C,'Category Table'!W$2,'Committments Dump'!$B:$B,'Category Table'!$A186)</f>
        <v/>
      </c>
      <c r="X186" s="111">
        <f>SUMIFS('Committments Dump'!$R:$R,'Committments Dump'!$C:$C,'Category Table'!X$2,'Committments Dump'!$B:$B,'Category Table'!$A186)</f>
        <v/>
      </c>
      <c r="Y186" s="112">
        <f>SUMIFS('Committments Dump'!$R:$R,'Committments Dump'!$C:$C,'Category Table'!Y$2,'Committments Dump'!$B:$B,'Category Table'!$A186)</f>
        <v/>
      </c>
      <c r="Z186" s="112">
        <f>SUMIFS('Committments Dump'!$R:$R,'Committments Dump'!$C:$C,'Category Table'!Z$2,'Committments Dump'!$B:$B,'Category Table'!$A186)</f>
        <v/>
      </c>
      <c r="AA186" s="111">
        <f>SUMIFS('Committments Dump'!$S:$S,'Committments Dump'!$C:$C,'Category Table'!AA$2,'Committments Dump'!$B:$B,'Category Table'!$A186)</f>
        <v/>
      </c>
      <c r="AB186" s="112">
        <f>SUMIFS('Committments Dump'!$S:$S,'Committments Dump'!$C:$C,'Category Table'!AB$2,'Committments Dump'!$B:$B,'Category Table'!$A186)</f>
        <v/>
      </c>
      <c r="AC186" s="112">
        <f>SUMIFS('Committments Dump'!$S:$S,'Committments Dump'!$C:$C,'Category Table'!AC$2,'Committments Dump'!$B:$B,'Category Table'!$A186)</f>
        <v/>
      </c>
      <c r="AD186" s="111">
        <f>U186+X186+AA186</f>
        <v/>
      </c>
      <c r="AE186" s="112">
        <f>V186+Y186+AB186</f>
        <v/>
      </c>
      <c r="AF186" s="112">
        <f>W186+Z186+AC186</f>
        <v/>
      </c>
      <c r="AG186" s="111">
        <f>R186+AD186</f>
        <v/>
      </c>
      <c r="AH186" s="112">
        <f>S186+AE186</f>
        <v/>
      </c>
      <c r="AI186" s="112">
        <f>T186+AF186</f>
        <v/>
      </c>
      <c r="AJ186" s="111" t="n"/>
      <c r="AK186" s="112" t="n"/>
      <c r="AL186" s="112" t="n"/>
      <c r="AM186" s="111">
        <f>(O186-AG186)+AJ186</f>
        <v/>
      </c>
      <c r="AN186" s="112">
        <f>(P186-AH186)+AK186</f>
        <v/>
      </c>
      <c r="AO186" s="112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13" t="n"/>
      <c r="D187" s="114" t="n"/>
      <c r="E187" s="114" t="n"/>
      <c r="F187" s="113" t="n"/>
      <c r="G187" s="114" t="n"/>
      <c r="H187" s="114" t="n"/>
      <c r="I187" s="113" t="n"/>
      <c r="J187" s="114" t="n"/>
      <c r="K187" s="114" t="n"/>
      <c r="L187" s="113" t="n"/>
      <c r="M187" s="114" t="n"/>
      <c r="N187" s="114" t="n"/>
      <c r="O187" s="113">
        <f>L187+I187+F187+C187</f>
        <v/>
      </c>
      <c r="P187" s="114">
        <f>M187+J187+G187+D187</f>
        <v/>
      </c>
      <c r="Q187" s="114">
        <f>N187+K187+H187+E187</f>
        <v/>
      </c>
      <c r="R187" s="113">
        <f>SUMIFS('PO Log'!$E:$E,'PO Log'!$D:$D,'Category Table'!R$2,'PO Log'!$C:$C,'Category Table'!$A187)</f>
        <v/>
      </c>
      <c r="S187" s="114">
        <f>SUMIFS('PO Log'!$E:$E,'PO Log'!$D:$D,'Category Table'!S$2,'PO Log'!$C:$C,'Category Table'!$A187)</f>
        <v/>
      </c>
      <c r="T187" s="114">
        <f>SUMIFS('PO Log'!$E:$E,'PO Log'!$D:$D,'Category Table'!T$2,'PO Log'!$C:$C,'Category Table'!$A187)</f>
        <v/>
      </c>
      <c r="U187" s="113">
        <f>SUMIFS('Committments Dump'!$Q:$Q,'Committments Dump'!$C:$C,'Category Table'!U$2,'Committments Dump'!$B:$B,'Category Table'!$A187)</f>
        <v/>
      </c>
      <c r="V187" s="114">
        <f>SUMIFS('Committments Dump'!$Q:$Q,'Committments Dump'!$C:$C,'Category Table'!V$2,'Committments Dump'!$B:$B,'Category Table'!$A187)</f>
        <v/>
      </c>
      <c r="W187" s="114">
        <f>SUMIFS('Committments Dump'!$Q:$Q,'Committments Dump'!$C:$C,'Category Table'!W$2,'Committments Dump'!$B:$B,'Category Table'!$A187)</f>
        <v/>
      </c>
      <c r="X187" s="113">
        <f>SUMIFS('Committments Dump'!$R:$R,'Committments Dump'!$C:$C,'Category Table'!X$2,'Committments Dump'!$B:$B,'Category Table'!$A187)</f>
        <v/>
      </c>
      <c r="Y187" s="114">
        <f>SUMIFS('Committments Dump'!$R:$R,'Committments Dump'!$C:$C,'Category Table'!Y$2,'Committments Dump'!$B:$B,'Category Table'!$A187)</f>
        <v/>
      </c>
      <c r="Z187" s="114">
        <f>SUMIFS('Committments Dump'!$R:$R,'Committments Dump'!$C:$C,'Category Table'!Z$2,'Committments Dump'!$B:$B,'Category Table'!$A187)</f>
        <v/>
      </c>
      <c r="AA187" s="113">
        <f>SUMIFS('Committments Dump'!$S:$S,'Committments Dump'!$C:$C,'Category Table'!AA$2,'Committments Dump'!$B:$B,'Category Table'!$A187)</f>
        <v/>
      </c>
      <c r="AB187" s="114">
        <f>SUMIFS('Committments Dump'!$S:$S,'Committments Dump'!$C:$C,'Category Table'!AB$2,'Committments Dump'!$B:$B,'Category Table'!$A187)</f>
        <v/>
      </c>
      <c r="AC187" s="114">
        <f>SUMIFS('Committments Dump'!$S:$S,'Committments Dump'!$C:$C,'Category Table'!AC$2,'Committments Dump'!$B:$B,'Category Table'!$A187)</f>
        <v/>
      </c>
      <c r="AD187" s="113">
        <f>U187+X187+AA187</f>
        <v/>
      </c>
      <c r="AE187" s="114">
        <f>V187+Y187+AB187</f>
        <v/>
      </c>
      <c r="AF187" s="114">
        <f>W187+Z187+AC187</f>
        <v/>
      </c>
      <c r="AG187" s="113">
        <f>R187+AD187</f>
        <v/>
      </c>
      <c r="AH187" s="114">
        <f>S187+AE187</f>
        <v/>
      </c>
      <c r="AI187" s="114">
        <f>T187+AF187</f>
        <v/>
      </c>
      <c r="AJ187" s="113" t="n"/>
      <c r="AK187" s="114" t="n"/>
      <c r="AL187" s="114" t="n"/>
      <c r="AM187" s="113">
        <f>(O187-AG187)+AJ187</f>
        <v/>
      </c>
      <c r="AN187" s="114">
        <f>(P187-AH187)+AK187</f>
        <v/>
      </c>
      <c r="AO187" s="114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11" t="n"/>
      <c r="D188" s="112" t="n"/>
      <c r="E188" s="112" t="n"/>
      <c r="F188" s="111" t="n"/>
      <c r="G188" s="112" t="n"/>
      <c r="H188" s="112" t="n"/>
      <c r="I188" s="111" t="n"/>
      <c r="J188" s="112" t="n"/>
      <c r="K188" s="112" t="n"/>
      <c r="L188" s="111" t="n"/>
      <c r="M188" s="112" t="n"/>
      <c r="N188" s="112" t="n"/>
      <c r="O188" s="111">
        <f>L188+I188+F188+C188</f>
        <v/>
      </c>
      <c r="P188" s="112">
        <f>M188+J188+G188+D188</f>
        <v/>
      </c>
      <c r="Q188" s="112">
        <f>N188+K188+H188+E188</f>
        <v/>
      </c>
      <c r="R188" s="111">
        <f>SUMIFS('PO Log'!$E:$E,'PO Log'!$D:$D,'Category Table'!R$2,'PO Log'!$C:$C,'Category Table'!$A188)</f>
        <v/>
      </c>
      <c r="S188" s="112">
        <f>SUMIFS('PO Log'!$E:$E,'PO Log'!$D:$D,'Category Table'!S$2,'PO Log'!$C:$C,'Category Table'!$A188)</f>
        <v/>
      </c>
      <c r="T188" s="112">
        <f>SUMIFS('PO Log'!$E:$E,'PO Log'!$D:$D,'Category Table'!T$2,'PO Log'!$C:$C,'Category Table'!$A188)</f>
        <v/>
      </c>
      <c r="U188" s="111">
        <f>SUMIFS('Committments Dump'!$Q:$Q,'Committments Dump'!$C:$C,'Category Table'!U$2,'Committments Dump'!$B:$B,'Category Table'!$A188)</f>
        <v/>
      </c>
      <c r="V188" s="112">
        <f>SUMIFS('Committments Dump'!$Q:$Q,'Committments Dump'!$C:$C,'Category Table'!V$2,'Committments Dump'!$B:$B,'Category Table'!$A188)</f>
        <v/>
      </c>
      <c r="W188" s="112">
        <f>SUMIFS('Committments Dump'!$Q:$Q,'Committments Dump'!$C:$C,'Category Table'!W$2,'Committments Dump'!$B:$B,'Category Table'!$A188)</f>
        <v/>
      </c>
      <c r="X188" s="111">
        <f>SUMIFS('Committments Dump'!$R:$R,'Committments Dump'!$C:$C,'Category Table'!X$2,'Committments Dump'!$B:$B,'Category Table'!$A188)</f>
        <v/>
      </c>
      <c r="Y188" s="112">
        <f>SUMIFS('Committments Dump'!$R:$R,'Committments Dump'!$C:$C,'Category Table'!Y$2,'Committments Dump'!$B:$B,'Category Table'!$A188)</f>
        <v/>
      </c>
      <c r="Z188" s="112">
        <f>SUMIFS('Committments Dump'!$R:$R,'Committments Dump'!$C:$C,'Category Table'!Z$2,'Committments Dump'!$B:$B,'Category Table'!$A188)</f>
        <v/>
      </c>
      <c r="AA188" s="111">
        <f>SUMIFS('Committments Dump'!$S:$S,'Committments Dump'!$C:$C,'Category Table'!AA$2,'Committments Dump'!$B:$B,'Category Table'!$A188)</f>
        <v/>
      </c>
      <c r="AB188" s="112">
        <f>SUMIFS('Committments Dump'!$S:$S,'Committments Dump'!$C:$C,'Category Table'!AB$2,'Committments Dump'!$B:$B,'Category Table'!$A188)</f>
        <v/>
      </c>
      <c r="AC188" s="112">
        <f>SUMIFS('Committments Dump'!$S:$S,'Committments Dump'!$C:$C,'Category Table'!AC$2,'Committments Dump'!$B:$B,'Category Table'!$A188)</f>
        <v/>
      </c>
      <c r="AD188" s="111">
        <f>U188+X188+AA188</f>
        <v/>
      </c>
      <c r="AE188" s="112">
        <f>V188+Y188+AB188</f>
        <v/>
      </c>
      <c r="AF188" s="112">
        <f>W188+Z188+AC188</f>
        <v/>
      </c>
      <c r="AG188" s="111">
        <f>R188+AD188</f>
        <v/>
      </c>
      <c r="AH188" s="112">
        <f>S188+AE188</f>
        <v/>
      </c>
      <c r="AI188" s="112">
        <f>T188+AF188</f>
        <v/>
      </c>
      <c r="AJ188" s="111" t="n"/>
      <c r="AK188" s="112" t="n"/>
      <c r="AL188" s="112" t="n"/>
      <c r="AM188" s="111">
        <f>(O188-AG188)+AJ188</f>
        <v/>
      </c>
      <c r="AN188" s="112">
        <f>(P188-AH188)+AK188</f>
        <v/>
      </c>
      <c r="AO188" s="112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13" t="n"/>
      <c r="D189" s="114" t="n"/>
      <c r="E189" s="114" t="n"/>
      <c r="F189" s="113" t="n"/>
      <c r="G189" s="114" t="n"/>
      <c r="H189" s="114" t="n"/>
      <c r="I189" s="113" t="n"/>
      <c r="J189" s="114" t="n"/>
      <c r="K189" s="114" t="n"/>
      <c r="L189" s="113" t="n"/>
      <c r="M189" s="114" t="n"/>
      <c r="N189" s="114" t="n"/>
      <c r="O189" s="113">
        <f>L189+I189+F189+C189</f>
        <v/>
      </c>
      <c r="P189" s="114">
        <f>M189+J189+G189+D189</f>
        <v/>
      </c>
      <c r="Q189" s="114">
        <f>N189+K189+H189+E189</f>
        <v/>
      </c>
      <c r="R189" s="113">
        <f>SUMIFS('PO Log'!$E:$E,'PO Log'!$D:$D,'Category Table'!R$2,'PO Log'!$C:$C,'Category Table'!$A189)</f>
        <v/>
      </c>
      <c r="S189" s="114">
        <f>SUMIFS('PO Log'!$E:$E,'PO Log'!$D:$D,'Category Table'!S$2,'PO Log'!$C:$C,'Category Table'!$A189)</f>
        <v/>
      </c>
      <c r="T189" s="114">
        <f>SUMIFS('PO Log'!$E:$E,'PO Log'!$D:$D,'Category Table'!T$2,'PO Log'!$C:$C,'Category Table'!$A189)</f>
        <v/>
      </c>
      <c r="U189" s="113">
        <f>SUMIFS('Committments Dump'!$Q:$Q,'Committments Dump'!$C:$C,'Category Table'!U$2,'Committments Dump'!$B:$B,'Category Table'!$A189)</f>
        <v/>
      </c>
      <c r="V189" s="114">
        <f>SUMIFS('Committments Dump'!$Q:$Q,'Committments Dump'!$C:$C,'Category Table'!V$2,'Committments Dump'!$B:$B,'Category Table'!$A189)</f>
        <v/>
      </c>
      <c r="W189" s="114">
        <f>SUMIFS('Committments Dump'!$Q:$Q,'Committments Dump'!$C:$C,'Category Table'!W$2,'Committments Dump'!$B:$B,'Category Table'!$A189)</f>
        <v/>
      </c>
      <c r="X189" s="113">
        <f>SUMIFS('Committments Dump'!$R:$R,'Committments Dump'!$C:$C,'Category Table'!X$2,'Committments Dump'!$B:$B,'Category Table'!$A189)</f>
        <v/>
      </c>
      <c r="Y189" s="114">
        <f>SUMIFS('Committments Dump'!$R:$R,'Committments Dump'!$C:$C,'Category Table'!Y$2,'Committments Dump'!$B:$B,'Category Table'!$A189)</f>
        <v/>
      </c>
      <c r="Z189" s="114">
        <f>SUMIFS('Committments Dump'!$R:$R,'Committments Dump'!$C:$C,'Category Table'!Z$2,'Committments Dump'!$B:$B,'Category Table'!$A189)</f>
        <v/>
      </c>
      <c r="AA189" s="113">
        <f>SUMIFS('Committments Dump'!$S:$S,'Committments Dump'!$C:$C,'Category Table'!AA$2,'Committments Dump'!$B:$B,'Category Table'!$A189)</f>
        <v/>
      </c>
      <c r="AB189" s="114">
        <f>SUMIFS('Committments Dump'!$S:$S,'Committments Dump'!$C:$C,'Category Table'!AB$2,'Committments Dump'!$B:$B,'Category Table'!$A189)</f>
        <v/>
      </c>
      <c r="AC189" s="114">
        <f>SUMIFS('Committments Dump'!$S:$S,'Committments Dump'!$C:$C,'Category Table'!AC$2,'Committments Dump'!$B:$B,'Category Table'!$A189)</f>
        <v/>
      </c>
      <c r="AD189" s="113">
        <f>U189+X189+AA189</f>
        <v/>
      </c>
      <c r="AE189" s="114">
        <f>V189+Y189+AB189</f>
        <v/>
      </c>
      <c r="AF189" s="114">
        <f>W189+Z189+AC189</f>
        <v/>
      </c>
      <c r="AG189" s="113">
        <f>R189+AD189</f>
        <v/>
      </c>
      <c r="AH189" s="114">
        <f>S189+AE189</f>
        <v/>
      </c>
      <c r="AI189" s="114">
        <f>T189+AF189</f>
        <v/>
      </c>
      <c r="AJ189" s="113" t="n"/>
      <c r="AK189" s="114" t="n"/>
      <c r="AL189" s="114" t="n"/>
      <c r="AM189" s="113">
        <f>(O189-AG189)+AJ189</f>
        <v/>
      </c>
      <c r="AN189" s="114">
        <f>(P189-AH189)+AK189</f>
        <v/>
      </c>
      <c r="AO189" s="114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11" t="n"/>
      <c r="D190" s="112" t="n"/>
      <c r="E190" s="112" t="n"/>
      <c r="F190" s="111" t="n"/>
      <c r="G190" s="112" t="n"/>
      <c r="H190" s="112" t="n"/>
      <c r="I190" s="111" t="n"/>
      <c r="J190" s="112" t="n"/>
      <c r="K190" s="112" t="n"/>
      <c r="L190" s="111" t="n"/>
      <c r="M190" s="112" t="n"/>
      <c r="N190" s="112" t="n"/>
      <c r="O190" s="111">
        <f>L190+I190+F190+C190</f>
        <v/>
      </c>
      <c r="P190" s="112">
        <f>M190+J190+G190+D190</f>
        <v/>
      </c>
      <c r="Q190" s="112">
        <f>N190+K190+H190+E190</f>
        <v/>
      </c>
      <c r="R190" s="111">
        <f>SUMIFS('PO Log'!$E:$E,'PO Log'!$D:$D,'Category Table'!R$2,'PO Log'!$C:$C,'Category Table'!$A190)</f>
        <v/>
      </c>
      <c r="S190" s="112">
        <f>SUMIFS('PO Log'!$E:$E,'PO Log'!$D:$D,'Category Table'!S$2,'PO Log'!$C:$C,'Category Table'!$A190)</f>
        <v/>
      </c>
      <c r="T190" s="112">
        <f>SUMIFS('PO Log'!$E:$E,'PO Log'!$D:$D,'Category Table'!T$2,'PO Log'!$C:$C,'Category Table'!$A190)</f>
        <v/>
      </c>
      <c r="U190" s="111">
        <f>SUMIFS('Committments Dump'!$Q:$Q,'Committments Dump'!$C:$C,'Category Table'!U$2,'Committments Dump'!$B:$B,'Category Table'!$A190)</f>
        <v/>
      </c>
      <c r="V190" s="112">
        <f>SUMIFS('Committments Dump'!$Q:$Q,'Committments Dump'!$C:$C,'Category Table'!V$2,'Committments Dump'!$B:$B,'Category Table'!$A190)</f>
        <v/>
      </c>
      <c r="W190" s="112">
        <f>SUMIFS('Committments Dump'!$Q:$Q,'Committments Dump'!$C:$C,'Category Table'!W$2,'Committments Dump'!$B:$B,'Category Table'!$A190)</f>
        <v/>
      </c>
      <c r="X190" s="111">
        <f>SUMIFS('Committments Dump'!$R:$R,'Committments Dump'!$C:$C,'Category Table'!X$2,'Committments Dump'!$B:$B,'Category Table'!$A190)</f>
        <v/>
      </c>
      <c r="Y190" s="112">
        <f>SUMIFS('Committments Dump'!$R:$R,'Committments Dump'!$C:$C,'Category Table'!Y$2,'Committments Dump'!$B:$B,'Category Table'!$A190)</f>
        <v/>
      </c>
      <c r="Z190" s="112">
        <f>SUMIFS('Committments Dump'!$R:$R,'Committments Dump'!$C:$C,'Category Table'!Z$2,'Committments Dump'!$B:$B,'Category Table'!$A190)</f>
        <v/>
      </c>
      <c r="AA190" s="111">
        <f>SUMIFS('Committments Dump'!$S:$S,'Committments Dump'!$C:$C,'Category Table'!AA$2,'Committments Dump'!$B:$B,'Category Table'!$A190)</f>
        <v/>
      </c>
      <c r="AB190" s="112">
        <f>SUMIFS('Committments Dump'!$S:$S,'Committments Dump'!$C:$C,'Category Table'!AB$2,'Committments Dump'!$B:$B,'Category Table'!$A190)</f>
        <v/>
      </c>
      <c r="AC190" s="112">
        <f>SUMIFS('Committments Dump'!$S:$S,'Committments Dump'!$C:$C,'Category Table'!AC$2,'Committments Dump'!$B:$B,'Category Table'!$A190)</f>
        <v/>
      </c>
      <c r="AD190" s="111">
        <f>U190+X190+AA190</f>
        <v/>
      </c>
      <c r="AE190" s="112">
        <f>V190+Y190+AB190</f>
        <v/>
      </c>
      <c r="AF190" s="112">
        <f>W190+Z190+AC190</f>
        <v/>
      </c>
      <c r="AG190" s="111">
        <f>R190+AD190</f>
        <v/>
      </c>
      <c r="AH190" s="112">
        <f>S190+AE190</f>
        <v/>
      </c>
      <c r="AI190" s="112">
        <f>T190+AF190</f>
        <v/>
      </c>
      <c r="AJ190" s="111" t="n"/>
      <c r="AK190" s="112" t="n"/>
      <c r="AL190" s="112" t="n"/>
      <c r="AM190" s="111">
        <f>(O190-AG190)+AJ190</f>
        <v/>
      </c>
      <c r="AN190" s="112">
        <f>(P190-AH190)+AK190</f>
        <v/>
      </c>
      <c r="AO190" s="112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13" t="n"/>
      <c r="D191" s="114" t="n"/>
      <c r="E191" s="114" t="n"/>
      <c r="F191" s="113" t="n"/>
      <c r="G191" s="114" t="n"/>
      <c r="H191" s="114" t="n"/>
      <c r="I191" s="113" t="n"/>
      <c r="J191" s="114" t="n"/>
      <c r="K191" s="114" t="n"/>
      <c r="L191" s="113" t="n"/>
      <c r="M191" s="114" t="n"/>
      <c r="N191" s="114" t="n"/>
      <c r="O191" s="113">
        <f>L191+I191+F191+C191</f>
        <v/>
      </c>
      <c r="P191" s="114">
        <f>M191+J191+G191+D191</f>
        <v/>
      </c>
      <c r="Q191" s="114">
        <f>N191+K191+H191+E191</f>
        <v/>
      </c>
      <c r="R191" s="113">
        <f>SUMIFS('PO Log'!$E:$E,'PO Log'!$D:$D,'Category Table'!R$2,'PO Log'!$C:$C,'Category Table'!$A191)</f>
        <v/>
      </c>
      <c r="S191" s="114">
        <f>SUMIFS('PO Log'!$E:$E,'PO Log'!$D:$D,'Category Table'!S$2,'PO Log'!$C:$C,'Category Table'!$A191)</f>
        <v/>
      </c>
      <c r="T191" s="114">
        <f>SUMIFS('PO Log'!$E:$E,'PO Log'!$D:$D,'Category Table'!T$2,'PO Log'!$C:$C,'Category Table'!$A191)</f>
        <v/>
      </c>
      <c r="U191" s="113">
        <f>SUMIFS('Committments Dump'!$Q:$Q,'Committments Dump'!$C:$C,'Category Table'!U$2,'Committments Dump'!$B:$B,'Category Table'!$A191)</f>
        <v/>
      </c>
      <c r="V191" s="114">
        <f>SUMIFS('Committments Dump'!$Q:$Q,'Committments Dump'!$C:$C,'Category Table'!V$2,'Committments Dump'!$B:$B,'Category Table'!$A191)</f>
        <v/>
      </c>
      <c r="W191" s="114">
        <f>SUMIFS('Committments Dump'!$Q:$Q,'Committments Dump'!$C:$C,'Category Table'!W$2,'Committments Dump'!$B:$B,'Category Table'!$A191)</f>
        <v/>
      </c>
      <c r="X191" s="113">
        <f>SUMIFS('Committments Dump'!$R:$R,'Committments Dump'!$C:$C,'Category Table'!X$2,'Committments Dump'!$B:$B,'Category Table'!$A191)</f>
        <v/>
      </c>
      <c r="Y191" s="114">
        <f>SUMIFS('Committments Dump'!$R:$R,'Committments Dump'!$C:$C,'Category Table'!Y$2,'Committments Dump'!$B:$B,'Category Table'!$A191)</f>
        <v/>
      </c>
      <c r="Z191" s="114">
        <f>SUMIFS('Committments Dump'!$R:$R,'Committments Dump'!$C:$C,'Category Table'!Z$2,'Committments Dump'!$B:$B,'Category Table'!$A191)</f>
        <v/>
      </c>
      <c r="AA191" s="113">
        <f>SUMIFS('Committments Dump'!$S:$S,'Committments Dump'!$C:$C,'Category Table'!AA$2,'Committments Dump'!$B:$B,'Category Table'!$A191)</f>
        <v/>
      </c>
      <c r="AB191" s="114">
        <f>SUMIFS('Committments Dump'!$S:$S,'Committments Dump'!$C:$C,'Category Table'!AB$2,'Committments Dump'!$B:$B,'Category Table'!$A191)</f>
        <v/>
      </c>
      <c r="AC191" s="114">
        <f>SUMIFS('Committments Dump'!$S:$S,'Committments Dump'!$C:$C,'Category Table'!AC$2,'Committments Dump'!$B:$B,'Category Table'!$A191)</f>
        <v/>
      </c>
      <c r="AD191" s="113">
        <f>U191+X191+AA191</f>
        <v/>
      </c>
      <c r="AE191" s="114">
        <f>V191+Y191+AB191</f>
        <v/>
      </c>
      <c r="AF191" s="114">
        <f>W191+Z191+AC191</f>
        <v/>
      </c>
      <c r="AG191" s="113">
        <f>R191+AD191</f>
        <v/>
      </c>
      <c r="AH191" s="114">
        <f>S191+AE191</f>
        <v/>
      </c>
      <c r="AI191" s="114">
        <f>T191+AF191</f>
        <v/>
      </c>
      <c r="AJ191" s="113" t="n"/>
      <c r="AK191" s="114" t="n"/>
      <c r="AL191" s="114" t="n"/>
      <c r="AM191" s="113">
        <f>(O191-AG191)+AJ191</f>
        <v/>
      </c>
      <c r="AN191" s="114">
        <f>(P191-AH191)+AK191</f>
        <v/>
      </c>
      <c r="AO191" s="114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11" t="n"/>
      <c r="D192" s="112" t="n"/>
      <c r="E192" s="112" t="n"/>
      <c r="F192" s="111" t="n"/>
      <c r="G192" s="112" t="n"/>
      <c r="H192" s="112" t="n"/>
      <c r="I192" s="111" t="n"/>
      <c r="J192" s="112" t="n"/>
      <c r="K192" s="112" t="n"/>
      <c r="L192" s="111" t="n"/>
      <c r="M192" s="112" t="n"/>
      <c r="N192" s="112" t="n"/>
      <c r="O192" s="111">
        <f>L192+I192+F192+C192</f>
        <v/>
      </c>
      <c r="P192" s="112">
        <f>M192+J192+G192+D192</f>
        <v/>
      </c>
      <c r="Q192" s="112">
        <f>N192+K192+H192+E192</f>
        <v/>
      </c>
      <c r="R192" s="111">
        <f>SUMIFS('PO Log'!$E:$E,'PO Log'!$D:$D,'Category Table'!R$2,'PO Log'!$C:$C,'Category Table'!$A192)</f>
        <v/>
      </c>
      <c r="S192" s="112">
        <f>SUMIFS('PO Log'!$E:$E,'PO Log'!$D:$D,'Category Table'!S$2,'PO Log'!$C:$C,'Category Table'!$A192)</f>
        <v/>
      </c>
      <c r="T192" s="112">
        <f>SUMIFS('PO Log'!$E:$E,'PO Log'!$D:$D,'Category Table'!T$2,'PO Log'!$C:$C,'Category Table'!$A192)</f>
        <v/>
      </c>
      <c r="U192" s="111">
        <f>SUMIFS('Committments Dump'!$Q:$Q,'Committments Dump'!$C:$C,'Category Table'!U$2,'Committments Dump'!$B:$B,'Category Table'!$A192)</f>
        <v/>
      </c>
      <c r="V192" s="112">
        <f>SUMIFS('Committments Dump'!$Q:$Q,'Committments Dump'!$C:$C,'Category Table'!V$2,'Committments Dump'!$B:$B,'Category Table'!$A192)</f>
        <v/>
      </c>
      <c r="W192" s="112">
        <f>SUMIFS('Committments Dump'!$Q:$Q,'Committments Dump'!$C:$C,'Category Table'!W$2,'Committments Dump'!$B:$B,'Category Table'!$A192)</f>
        <v/>
      </c>
      <c r="X192" s="111">
        <f>SUMIFS('Committments Dump'!$R:$R,'Committments Dump'!$C:$C,'Category Table'!X$2,'Committments Dump'!$B:$B,'Category Table'!$A192)</f>
        <v/>
      </c>
      <c r="Y192" s="112">
        <f>SUMIFS('Committments Dump'!$R:$R,'Committments Dump'!$C:$C,'Category Table'!Y$2,'Committments Dump'!$B:$B,'Category Table'!$A192)</f>
        <v/>
      </c>
      <c r="Z192" s="112">
        <f>SUMIFS('Committments Dump'!$R:$R,'Committments Dump'!$C:$C,'Category Table'!Z$2,'Committments Dump'!$B:$B,'Category Table'!$A192)</f>
        <v/>
      </c>
      <c r="AA192" s="111">
        <f>SUMIFS('Committments Dump'!$S:$S,'Committments Dump'!$C:$C,'Category Table'!AA$2,'Committments Dump'!$B:$B,'Category Table'!$A192)</f>
        <v/>
      </c>
      <c r="AB192" s="112">
        <f>SUMIFS('Committments Dump'!$S:$S,'Committments Dump'!$C:$C,'Category Table'!AB$2,'Committments Dump'!$B:$B,'Category Table'!$A192)</f>
        <v/>
      </c>
      <c r="AC192" s="112">
        <f>SUMIFS('Committments Dump'!$S:$S,'Committments Dump'!$C:$C,'Category Table'!AC$2,'Committments Dump'!$B:$B,'Category Table'!$A192)</f>
        <v/>
      </c>
      <c r="AD192" s="111">
        <f>U192+X192+AA192</f>
        <v/>
      </c>
      <c r="AE192" s="112">
        <f>V192+Y192+AB192</f>
        <v/>
      </c>
      <c r="AF192" s="112">
        <f>W192+Z192+AC192</f>
        <v/>
      </c>
      <c r="AG192" s="111">
        <f>R192+AD192</f>
        <v/>
      </c>
      <c r="AH192" s="112">
        <f>S192+AE192</f>
        <v/>
      </c>
      <c r="AI192" s="112">
        <f>T192+AF192</f>
        <v/>
      </c>
      <c r="AJ192" s="111" t="n"/>
      <c r="AK192" s="112" t="n"/>
      <c r="AL192" s="112" t="n"/>
      <c r="AM192" s="111">
        <f>(O192-AG192)+AJ192</f>
        <v/>
      </c>
      <c r="AN192" s="112">
        <f>(P192-AH192)+AK192</f>
        <v/>
      </c>
      <c r="AO192" s="112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13" t="n"/>
      <c r="D193" s="114" t="n"/>
      <c r="E193" s="114" t="n"/>
      <c r="F193" s="113" t="n"/>
      <c r="G193" s="114" t="n"/>
      <c r="H193" s="114" t="n"/>
      <c r="I193" s="113" t="n"/>
      <c r="J193" s="114" t="n"/>
      <c r="K193" s="114" t="n"/>
      <c r="L193" s="113" t="n"/>
      <c r="M193" s="114" t="n"/>
      <c r="N193" s="114" t="n"/>
      <c r="O193" s="113">
        <f>L193+I193+F193+C193</f>
        <v/>
      </c>
      <c r="P193" s="114">
        <f>M193+J193+G193+D193</f>
        <v/>
      </c>
      <c r="Q193" s="114">
        <f>N193+K193+H193+E193</f>
        <v/>
      </c>
      <c r="R193" s="113">
        <f>SUMIFS('PO Log'!$E:$E,'PO Log'!$D:$D,'Category Table'!R$2,'PO Log'!$C:$C,'Category Table'!$A193)</f>
        <v/>
      </c>
      <c r="S193" s="114">
        <f>SUMIFS('PO Log'!$E:$E,'PO Log'!$D:$D,'Category Table'!S$2,'PO Log'!$C:$C,'Category Table'!$A193)</f>
        <v/>
      </c>
      <c r="T193" s="114">
        <f>SUMIFS('PO Log'!$E:$E,'PO Log'!$D:$D,'Category Table'!T$2,'PO Log'!$C:$C,'Category Table'!$A193)</f>
        <v/>
      </c>
      <c r="U193" s="113">
        <f>SUMIFS('Committments Dump'!$Q:$Q,'Committments Dump'!$C:$C,'Category Table'!U$2,'Committments Dump'!$B:$B,'Category Table'!$A193)</f>
        <v/>
      </c>
      <c r="V193" s="114">
        <f>SUMIFS('Committments Dump'!$Q:$Q,'Committments Dump'!$C:$C,'Category Table'!V$2,'Committments Dump'!$B:$B,'Category Table'!$A193)</f>
        <v/>
      </c>
      <c r="W193" s="114">
        <f>SUMIFS('Committments Dump'!$Q:$Q,'Committments Dump'!$C:$C,'Category Table'!W$2,'Committments Dump'!$B:$B,'Category Table'!$A193)</f>
        <v/>
      </c>
      <c r="X193" s="113">
        <f>SUMIFS('Committments Dump'!$R:$R,'Committments Dump'!$C:$C,'Category Table'!X$2,'Committments Dump'!$B:$B,'Category Table'!$A193)</f>
        <v/>
      </c>
      <c r="Y193" s="114">
        <f>SUMIFS('Committments Dump'!$R:$R,'Committments Dump'!$C:$C,'Category Table'!Y$2,'Committments Dump'!$B:$B,'Category Table'!$A193)</f>
        <v/>
      </c>
      <c r="Z193" s="114">
        <f>SUMIFS('Committments Dump'!$R:$R,'Committments Dump'!$C:$C,'Category Table'!Z$2,'Committments Dump'!$B:$B,'Category Table'!$A193)</f>
        <v/>
      </c>
      <c r="AA193" s="113">
        <f>SUMIFS('Committments Dump'!$S:$S,'Committments Dump'!$C:$C,'Category Table'!AA$2,'Committments Dump'!$B:$B,'Category Table'!$A193)</f>
        <v/>
      </c>
      <c r="AB193" s="114">
        <f>SUMIFS('Committments Dump'!$S:$S,'Committments Dump'!$C:$C,'Category Table'!AB$2,'Committments Dump'!$B:$B,'Category Table'!$A193)</f>
        <v/>
      </c>
      <c r="AC193" s="114">
        <f>SUMIFS('Committments Dump'!$S:$S,'Committments Dump'!$C:$C,'Category Table'!AC$2,'Committments Dump'!$B:$B,'Category Table'!$A193)</f>
        <v/>
      </c>
      <c r="AD193" s="113">
        <f>U193+X193+AA193</f>
        <v/>
      </c>
      <c r="AE193" s="114">
        <f>V193+Y193+AB193</f>
        <v/>
      </c>
      <c r="AF193" s="114">
        <f>W193+Z193+AC193</f>
        <v/>
      </c>
      <c r="AG193" s="113">
        <f>R193+AD193</f>
        <v/>
      </c>
      <c r="AH193" s="114">
        <f>S193+AE193</f>
        <v/>
      </c>
      <c r="AI193" s="114">
        <f>T193+AF193</f>
        <v/>
      </c>
      <c r="AJ193" s="113" t="n"/>
      <c r="AK193" s="114" t="n"/>
      <c r="AL193" s="114" t="n"/>
      <c r="AM193" s="113">
        <f>(O193-AG193)+AJ193</f>
        <v/>
      </c>
      <c r="AN193" s="114">
        <f>(P193-AH193)+AK193</f>
        <v/>
      </c>
      <c r="AO193" s="114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11" t="n"/>
      <c r="D194" s="112" t="n"/>
      <c r="E194" s="112" t="n"/>
      <c r="F194" s="111" t="n"/>
      <c r="G194" s="112" t="n"/>
      <c r="H194" s="112" t="n"/>
      <c r="I194" s="111" t="n"/>
      <c r="J194" s="112" t="n"/>
      <c r="K194" s="112" t="n"/>
      <c r="L194" s="111" t="n"/>
      <c r="M194" s="112" t="n"/>
      <c r="N194" s="112" t="n"/>
      <c r="O194" s="111">
        <f>L194+I194+F194+C194</f>
        <v/>
      </c>
      <c r="P194" s="112">
        <f>M194+J194+G194+D194</f>
        <v/>
      </c>
      <c r="Q194" s="112">
        <f>N194+K194+H194+E194</f>
        <v/>
      </c>
      <c r="R194" s="111">
        <f>SUMIFS('PO Log'!$E:$E,'PO Log'!$D:$D,'Category Table'!R$2,'PO Log'!$C:$C,'Category Table'!$A194)</f>
        <v/>
      </c>
      <c r="S194" s="112">
        <f>SUMIFS('PO Log'!$E:$E,'PO Log'!$D:$D,'Category Table'!S$2,'PO Log'!$C:$C,'Category Table'!$A194)</f>
        <v/>
      </c>
      <c r="T194" s="112">
        <f>SUMIFS('PO Log'!$E:$E,'PO Log'!$D:$D,'Category Table'!T$2,'PO Log'!$C:$C,'Category Table'!$A194)</f>
        <v/>
      </c>
      <c r="U194" s="111">
        <f>SUMIFS('Committments Dump'!$Q:$Q,'Committments Dump'!$C:$C,'Category Table'!U$2,'Committments Dump'!$B:$B,'Category Table'!$A194)</f>
        <v/>
      </c>
      <c r="V194" s="112">
        <f>SUMIFS('Committments Dump'!$Q:$Q,'Committments Dump'!$C:$C,'Category Table'!V$2,'Committments Dump'!$B:$B,'Category Table'!$A194)</f>
        <v/>
      </c>
      <c r="W194" s="112">
        <f>SUMIFS('Committments Dump'!$Q:$Q,'Committments Dump'!$C:$C,'Category Table'!W$2,'Committments Dump'!$B:$B,'Category Table'!$A194)</f>
        <v/>
      </c>
      <c r="X194" s="111">
        <f>SUMIFS('Committments Dump'!$R:$R,'Committments Dump'!$C:$C,'Category Table'!X$2,'Committments Dump'!$B:$B,'Category Table'!$A194)</f>
        <v/>
      </c>
      <c r="Y194" s="112">
        <f>SUMIFS('Committments Dump'!$R:$R,'Committments Dump'!$C:$C,'Category Table'!Y$2,'Committments Dump'!$B:$B,'Category Table'!$A194)</f>
        <v/>
      </c>
      <c r="Z194" s="112">
        <f>SUMIFS('Committments Dump'!$R:$R,'Committments Dump'!$C:$C,'Category Table'!Z$2,'Committments Dump'!$B:$B,'Category Table'!$A194)</f>
        <v/>
      </c>
      <c r="AA194" s="111">
        <f>SUMIFS('Committments Dump'!$S:$S,'Committments Dump'!$C:$C,'Category Table'!AA$2,'Committments Dump'!$B:$B,'Category Table'!$A194)</f>
        <v/>
      </c>
      <c r="AB194" s="112">
        <f>SUMIFS('Committments Dump'!$S:$S,'Committments Dump'!$C:$C,'Category Table'!AB$2,'Committments Dump'!$B:$B,'Category Table'!$A194)</f>
        <v/>
      </c>
      <c r="AC194" s="112">
        <f>SUMIFS('Committments Dump'!$S:$S,'Committments Dump'!$C:$C,'Category Table'!AC$2,'Committments Dump'!$B:$B,'Category Table'!$A194)</f>
        <v/>
      </c>
      <c r="AD194" s="111">
        <f>U194+X194+AA194</f>
        <v/>
      </c>
      <c r="AE194" s="112">
        <f>V194+Y194+AB194</f>
        <v/>
      </c>
      <c r="AF194" s="112">
        <f>W194+Z194+AC194</f>
        <v/>
      </c>
      <c r="AG194" s="111">
        <f>R194+AD194</f>
        <v/>
      </c>
      <c r="AH194" s="112">
        <f>S194+AE194</f>
        <v/>
      </c>
      <c r="AI194" s="112">
        <f>T194+AF194</f>
        <v/>
      </c>
      <c r="AJ194" s="111" t="n"/>
      <c r="AK194" s="112" t="n"/>
      <c r="AL194" s="112" t="n"/>
      <c r="AM194" s="111">
        <f>(O194-AG194)+AJ194</f>
        <v/>
      </c>
      <c r="AN194" s="112">
        <f>(P194-AH194)+AK194</f>
        <v/>
      </c>
      <c r="AO194" s="112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13" t="n"/>
      <c r="D195" s="114" t="n"/>
      <c r="E195" s="114" t="n"/>
      <c r="F195" s="113" t="n"/>
      <c r="G195" s="114" t="n"/>
      <c r="H195" s="114" t="n"/>
      <c r="I195" s="113" t="n"/>
      <c r="J195" s="114" t="n"/>
      <c r="K195" s="114" t="n"/>
      <c r="L195" s="113" t="n"/>
      <c r="M195" s="114" t="n"/>
      <c r="N195" s="114" t="n"/>
      <c r="O195" s="113">
        <f>L195+I195+F195+C195</f>
        <v/>
      </c>
      <c r="P195" s="114">
        <f>M195+J195+G195+D195</f>
        <v/>
      </c>
      <c r="Q195" s="114">
        <f>N195+K195+H195+E195</f>
        <v/>
      </c>
      <c r="R195" s="113">
        <f>SUMIFS('PO Log'!$E:$E,'PO Log'!$D:$D,'Category Table'!R$2,'PO Log'!$C:$C,'Category Table'!$A195)</f>
        <v/>
      </c>
      <c r="S195" s="114">
        <f>SUMIFS('PO Log'!$E:$E,'PO Log'!$D:$D,'Category Table'!S$2,'PO Log'!$C:$C,'Category Table'!$A195)</f>
        <v/>
      </c>
      <c r="T195" s="114">
        <f>SUMIFS('PO Log'!$E:$E,'PO Log'!$D:$D,'Category Table'!T$2,'PO Log'!$C:$C,'Category Table'!$A195)</f>
        <v/>
      </c>
      <c r="U195" s="113">
        <f>SUMIFS('Committments Dump'!$Q:$Q,'Committments Dump'!$C:$C,'Category Table'!U$2,'Committments Dump'!$B:$B,'Category Table'!$A195)</f>
        <v/>
      </c>
      <c r="V195" s="114">
        <f>SUMIFS('Committments Dump'!$Q:$Q,'Committments Dump'!$C:$C,'Category Table'!V$2,'Committments Dump'!$B:$B,'Category Table'!$A195)</f>
        <v/>
      </c>
      <c r="W195" s="114">
        <f>SUMIFS('Committments Dump'!$Q:$Q,'Committments Dump'!$C:$C,'Category Table'!W$2,'Committments Dump'!$B:$B,'Category Table'!$A195)</f>
        <v/>
      </c>
      <c r="X195" s="113">
        <f>SUMIFS('Committments Dump'!$R:$R,'Committments Dump'!$C:$C,'Category Table'!X$2,'Committments Dump'!$B:$B,'Category Table'!$A195)</f>
        <v/>
      </c>
      <c r="Y195" s="114">
        <f>SUMIFS('Committments Dump'!$R:$R,'Committments Dump'!$C:$C,'Category Table'!Y$2,'Committments Dump'!$B:$B,'Category Table'!$A195)</f>
        <v/>
      </c>
      <c r="Z195" s="114">
        <f>SUMIFS('Committments Dump'!$R:$R,'Committments Dump'!$C:$C,'Category Table'!Z$2,'Committments Dump'!$B:$B,'Category Table'!$A195)</f>
        <v/>
      </c>
      <c r="AA195" s="113">
        <f>SUMIFS('Committments Dump'!$S:$S,'Committments Dump'!$C:$C,'Category Table'!AA$2,'Committments Dump'!$B:$B,'Category Table'!$A195)</f>
        <v/>
      </c>
      <c r="AB195" s="114">
        <f>SUMIFS('Committments Dump'!$S:$S,'Committments Dump'!$C:$C,'Category Table'!AB$2,'Committments Dump'!$B:$B,'Category Table'!$A195)</f>
        <v/>
      </c>
      <c r="AC195" s="114">
        <f>SUMIFS('Committments Dump'!$S:$S,'Committments Dump'!$C:$C,'Category Table'!AC$2,'Committments Dump'!$B:$B,'Category Table'!$A195)</f>
        <v/>
      </c>
      <c r="AD195" s="113">
        <f>U195+X195+AA195</f>
        <v/>
      </c>
      <c r="AE195" s="114">
        <f>V195+Y195+AB195</f>
        <v/>
      </c>
      <c r="AF195" s="114">
        <f>W195+Z195+AC195</f>
        <v/>
      </c>
      <c r="AG195" s="113">
        <f>R195+AD195</f>
        <v/>
      </c>
      <c r="AH195" s="114">
        <f>S195+AE195</f>
        <v/>
      </c>
      <c r="AI195" s="114">
        <f>T195+AF195</f>
        <v/>
      </c>
      <c r="AJ195" s="113" t="n"/>
      <c r="AK195" s="114" t="n"/>
      <c r="AL195" s="114" t="n"/>
      <c r="AM195" s="113">
        <f>(O195-AG195)+AJ195</f>
        <v/>
      </c>
      <c r="AN195" s="114">
        <f>(P195-AH195)+AK195</f>
        <v/>
      </c>
      <c r="AO195" s="114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11" t="n"/>
      <c r="D196" s="112" t="n"/>
      <c r="E196" s="112" t="n"/>
      <c r="F196" s="111" t="n"/>
      <c r="G196" s="112" t="n"/>
      <c r="H196" s="112" t="n"/>
      <c r="I196" s="111" t="n"/>
      <c r="J196" s="112" t="n"/>
      <c r="K196" s="112" t="n"/>
      <c r="L196" s="111" t="n"/>
      <c r="M196" s="112" t="n"/>
      <c r="N196" s="112" t="n"/>
      <c r="O196" s="111">
        <f>L196+I196+F196+C196</f>
        <v/>
      </c>
      <c r="P196" s="112">
        <f>M196+J196+G196+D196</f>
        <v/>
      </c>
      <c r="Q196" s="112">
        <f>N196+K196+H196+E196</f>
        <v/>
      </c>
      <c r="R196" s="111">
        <f>SUMIFS('PO Log'!$E:$E,'PO Log'!$D:$D,'Category Table'!R$2,'PO Log'!$C:$C,'Category Table'!$A196)</f>
        <v/>
      </c>
      <c r="S196" s="112">
        <f>SUMIFS('PO Log'!$E:$E,'PO Log'!$D:$D,'Category Table'!S$2,'PO Log'!$C:$C,'Category Table'!$A196)</f>
        <v/>
      </c>
      <c r="T196" s="112">
        <f>SUMIFS('PO Log'!$E:$E,'PO Log'!$D:$D,'Category Table'!T$2,'PO Log'!$C:$C,'Category Table'!$A196)</f>
        <v/>
      </c>
      <c r="U196" s="111">
        <f>SUMIFS('Committments Dump'!$Q:$Q,'Committments Dump'!$C:$C,'Category Table'!U$2,'Committments Dump'!$B:$B,'Category Table'!$A196)</f>
        <v/>
      </c>
      <c r="V196" s="112">
        <f>SUMIFS('Committments Dump'!$Q:$Q,'Committments Dump'!$C:$C,'Category Table'!V$2,'Committments Dump'!$B:$B,'Category Table'!$A196)</f>
        <v/>
      </c>
      <c r="W196" s="112">
        <f>SUMIFS('Committments Dump'!$Q:$Q,'Committments Dump'!$C:$C,'Category Table'!W$2,'Committments Dump'!$B:$B,'Category Table'!$A196)</f>
        <v/>
      </c>
      <c r="X196" s="111">
        <f>SUMIFS('Committments Dump'!$R:$R,'Committments Dump'!$C:$C,'Category Table'!X$2,'Committments Dump'!$B:$B,'Category Table'!$A196)</f>
        <v/>
      </c>
      <c r="Y196" s="112">
        <f>SUMIFS('Committments Dump'!$R:$R,'Committments Dump'!$C:$C,'Category Table'!Y$2,'Committments Dump'!$B:$B,'Category Table'!$A196)</f>
        <v/>
      </c>
      <c r="Z196" s="112">
        <f>SUMIFS('Committments Dump'!$R:$R,'Committments Dump'!$C:$C,'Category Table'!Z$2,'Committments Dump'!$B:$B,'Category Table'!$A196)</f>
        <v/>
      </c>
      <c r="AA196" s="111">
        <f>SUMIFS('Committments Dump'!$S:$S,'Committments Dump'!$C:$C,'Category Table'!AA$2,'Committments Dump'!$B:$B,'Category Table'!$A196)</f>
        <v/>
      </c>
      <c r="AB196" s="112">
        <f>SUMIFS('Committments Dump'!$S:$S,'Committments Dump'!$C:$C,'Category Table'!AB$2,'Committments Dump'!$B:$B,'Category Table'!$A196)</f>
        <v/>
      </c>
      <c r="AC196" s="112">
        <f>SUMIFS('Committments Dump'!$S:$S,'Committments Dump'!$C:$C,'Category Table'!AC$2,'Committments Dump'!$B:$B,'Category Table'!$A196)</f>
        <v/>
      </c>
      <c r="AD196" s="111">
        <f>U196+X196+AA196</f>
        <v/>
      </c>
      <c r="AE196" s="112">
        <f>V196+Y196+AB196</f>
        <v/>
      </c>
      <c r="AF196" s="112">
        <f>W196+Z196+AC196</f>
        <v/>
      </c>
      <c r="AG196" s="111">
        <f>R196+AD196</f>
        <v/>
      </c>
      <c r="AH196" s="112">
        <f>S196+AE196</f>
        <v/>
      </c>
      <c r="AI196" s="112">
        <f>T196+AF196</f>
        <v/>
      </c>
      <c r="AJ196" s="111" t="n"/>
      <c r="AK196" s="112" t="n"/>
      <c r="AL196" s="112" t="n"/>
      <c r="AM196" s="111">
        <f>(O196-AG196)+AJ196</f>
        <v/>
      </c>
      <c r="AN196" s="112">
        <f>(P196-AH196)+AK196</f>
        <v/>
      </c>
      <c r="AO196" s="112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13" t="n"/>
      <c r="D197" s="114" t="n"/>
      <c r="E197" s="114" t="n"/>
      <c r="F197" s="113" t="n"/>
      <c r="G197" s="114" t="n"/>
      <c r="H197" s="114" t="n"/>
      <c r="I197" s="113" t="n"/>
      <c r="J197" s="114" t="n"/>
      <c r="K197" s="114" t="n"/>
      <c r="L197" s="113" t="n"/>
      <c r="M197" s="114" t="n"/>
      <c r="N197" s="114" t="n"/>
      <c r="O197" s="113">
        <f>L197+I197+F197+C197</f>
        <v/>
      </c>
      <c r="P197" s="114">
        <f>M197+J197+G197+D197</f>
        <v/>
      </c>
      <c r="Q197" s="114">
        <f>N197+K197+H197+E197</f>
        <v/>
      </c>
      <c r="R197" s="113">
        <f>SUMIFS('PO Log'!$E:$E,'PO Log'!$D:$D,'Category Table'!R$2,'PO Log'!$C:$C,'Category Table'!$A197)</f>
        <v/>
      </c>
      <c r="S197" s="114">
        <f>SUMIFS('PO Log'!$E:$E,'PO Log'!$D:$D,'Category Table'!S$2,'PO Log'!$C:$C,'Category Table'!$A197)</f>
        <v/>
      </c>
      <c r="T197" s="114">
        <f>SUMIFS('PO Log'!$E:$E,'PO Log'!$D:$D,'Category Table'!T$2,'PO Log'!$C:$C,'Category Table'!$A197)</f>
        <v/>
      </c>
      <c r="U197" s="113">
        <f>SUMIFS('Committments Dump'!$Q:$Q,'Committments Dump'!$C:$C,'Category Table'!U$2,'Committments Dump'!$B:$B,'Category Table'!$A197)</f>
        <v/>
      </c>
      <c r="V197" s="114">
        <f>SUMIFS('Committments Dump'!$Q:$Q,'Committments Dump'!$C:$C,'Category Table'!V$2,'Committments Dump'!$B:$B,'Category Table'!$A197)</f>
        <v/>
      </c>
      <c r="W197" s="114">
        <f>SUMIFS('Committments Dump'!$Q:$Q,'Committments Dump'!$C:$C,'Category Table'!W$2,'Committments Dump'!$B:$B,'Category Table'!$A197)</f>
        <v/>
      </c>
      <c r="X197" s="113">
        <f>SUMIFS('Committments Dump'!$R:$R,'Committments Dump'!$C:$C,'Category Table'!X$2,'Committments Dump'!$B:$B,'Category Table'!$A197)</f>
        <v/>
      </c>
      <c r="Y197" s="114">
        <f>SUMIFS('Committments Dump'!$R:$R,'Committments Dump'!$C:$C,'Category Table'!Y$2,'Committments Dump'!$B:$B,'Category Table'!$A197)</f>
        <v/>
      </c>
      <c r="Z197" s="114">
        <f>SUMIFS('Committments Dump'!$R:$R,'Committments Dump'!$C:$C,'Category Table'!Z$2,'Committments Dump'!$B:$B,'Category Table'!$A197)</f>
        <v/>
      </c>
      <c r="AA197" s="113">
        <f>SUMIFS('Committments Dump'!$S:$S,'Committments Dump'!$C:$C,'Category Table'!AA$2,'Committments Dump'!$B:$B,'Category Table'!$A197)</f>
        <v/>
      </c>
      <c r="AB197" s="114">
        <f>SUMIFS('Committments Dump'!$S:$S,'Committments Dump'!$C:$C,'Category Table'!AB$2,'Committments Dump'!$B:$B,'Category Table'!$A197)</f>
        <v/>
      </c>
      <c r="AC197" s="114">
        <f>SUMIFS('Committments Dump'!$S:$S,'Committments Dump'!$C:$C,'Category Table'!AC$2,'Committments Dump'!$B:$B,'Category Table'!$A197)</f>
        <v/>
      </c>
      <c r="AD197" s="113">
        <f>U197+X197+AA197</f>
        <v/>
      </c>
      <c r="AE197" s="114">
        <f>V197+Y197+AB197</f>
        <v/>
      </c>
      <c r="AF197" s="114">
        <f>W197+Z197+AC197</f>
        <v/>
      </c>
      <c r="AG197" s="113">
        <f>R197+AD197</f>
        <v/>
      </c>
      <c r="AH197" s="114">
        <f>S197+AE197</f>
        <v/>
      </c>
      <c r="AI197" s="114">
        <f>T197+AF197</f>
        <v/>
      </c>
      <c r="AJ197" s="113" t="n"/>
      <c r="AK197" s="114" t="n"/>
      <c r="AL197" s="114" t="n"/>
      <c r="AM197" s="113">
        <f>(O197-AG197)+AJ197</f>
        <v/>
      </c>
      <c r="AN197" s="114">
        <f>(P197-AH197)+AK197</f>
        <v/>
      </c>
      <c r="AO197" s="114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11" t="n"/>
      <c r="D198" s="112" t="n"/>
      <c r="E198" s="112" t="n"/>
      <c r="F198" s="111" t="n"/>
      <c r="G198" s="112" t="n"/>
      <c r="H198" s="112" t="n"/>
      <c r="I198" s="111" t="n"/>
      <c r="J198" s="112" t="n"/>
      <c r="K198" s="112" t="n"/>
      <c r="L198" s="111" t="n"/>
      <c r="M198" s="112" t="n"/>
      <c r="N198" s="112" t="n"/>
      <c r="O198" s="111">
        <f>L198+I198+F198+C198</f>
        <v/>
      </c>
      <c r="P198" s="112">
        <f>M198+J198+G198+D198</f>
        <v/>
      </c>
      <c r="Q198" s="112">
        <f>N198+K198+H198+E198</f>
        <v/>
      </c>
      <c r="R198" s="111">
        <f>SUMIFS('PO Log'!$E:$E,'PO Log'!$D:$D,'Category Table'!R$2,'PO Log'!$C:$C,'Category Table'!$A198)</f>
        <v/>
      </c>
      <c r="S198" s="112">
        <f>SUMIFS('PO Log'!$E:$E,'PO Log'!$D:$D,'Category Table'!S$2,'PO Log'!$C:$C,'Category Table'!$A198)</f>
        <v/>
      </c>
      <c r="T198" s="112">
        <f>SUMIFS('PO Log'!$E:$E,'PO Log'!$D:$D,'Category Table'!T$2,'PO Log'!$C:$C,'Category Table'!$A198)</f>
        <v/>
      </c>
      <c r="U198" s="111">
        <f>SUMIFS('Committments Dump'!$Q:$Q,'Committments Dump'!$C:$C,'Category Table'!U$2,'Committments Dump'!$B:$B,'Category Table'!$A198)</f>
        <v/>
      </c>
      <c r="V198" s="112">
        <f>SUMIFS('Committments Dump'!$Q:$Q,'Committments Dump'!$C:$C,'Category Table'!V$2,'Committments Dump'!$B:$B,'Category Table'!$A198)</f>
        <v/>
      </c>
      <c r="W198" s="112">
        <f>SUMIFS('Committments Dump'!$Q:$Q,'Committments Dump'!$C:$C,'Category Table'!W$2,'Committments Dump'!$B:$B,'Category Table'!$A198)</f>
        <v/>
      </c>
      <c r="X198" s="111">
        <f>SUMIFS('Committments Dump'!$R:$R,'Committments Dump'!$C:$C,'Category Table'!X$2,'Committments Dump'!$B:$B,'Category Table'!$A198)</f>
        <v/>
      </c>
      <c r="Y198" s="112">
        <f>SUMIFS('Committments Dump'!$R:$R,'Committments Dump'!$C:$C,'Category Table'!Y$2,'Committments Dump'!$B:$B,'Category Table'!$A198)</f>
        <v/>
      </c>
      <c r="Z198" s="112">
        <f>SUMIFS('Committments Dump'!$R:$R,'Committments Dump'!$C:$C,'Category Table'!Z$2,'Committments Dump'!$B:$B,'Category Table'!$A198)</f>
        <v/>
      </c>
      <c r="AA198" s="111">
        <f>SUMIFS('Committments Dump'!$S:$S,'Committments Dump'!$C:$C,'Category Table'!AA$2,'Committments Dump'!$B:$B,'Category Table'!$A198)</f>
        <v/>
      </c>
      <c r="AB198" s="112">
        <f>SUMIFS('Committments Dump'!$S:$S,'Committments Dump'!$C:$C,'Category Table'!AB$2,'Committments Dump'!$B:$B,'Category Table'!$A198)</f>
        <v/>
      </c>
      <c r="AC198" s="112">
        <f>SUMIFS('Committments Dump'!$S:$S,'Committments Dump'!$C:$C,'Category Table'!AC$2,'Committments Dump'!$B:$B,'Category Table'!$A198)</f>
        <v/>
      </c>
      <c r="AD198" s="111">
        <f>U198+X198+AA198</f>
        <v/>
      </c>
      <c r="AE198" s="112">
        <f>V198+Y198+AB198</f>
        <v/>
      </c>
      <c r="AF198" s="112">
        <f>W198+Z198+AC198</f>
        <v/>
      </c>
      <c r="AG198" s="111">
        <f>R198+AD198</f>
        <v/>
      </c>
      <c r="AH198" s="112">
        <f>S198+AE198</f>
        <v/>
      </c>
      <c r="AI198" s="112">
        <f>T198+AF198</f>
        <v/>
      </c>
      <c r="AJ198" s="111" t="n"/>
      <c r="AK198" s="112" t="n"/>
      <c r="AL198" s="112" t="n"/>
      <c r="AM198" s="111">
        <f>(O198-AG198)+AJ198</f>
        <v/>
      </c>
      <c r="AN198" s="112">
        <f>(P198-AH198)+AK198</f>
        <v/>
      </c>
      <c r="AO198" s="112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13" t="n"/>
      <c r="D199" s="114" t="n"/>
      <c r="E199" s="114" t="n"/>
      <c r="F199" s="113" t="n"/>
      <c r="G199" s="114" t="n"/>
      <c r="H199" s="114" t="n"/>
      <c r="I199" s="113" t="n"/>
      <c r="J199" s="114" t="n"/>
      <c r="K199" s="114" t="n"/>
      <c r="L199" s="113" t="n"/>
      <c r="M199" s="114" t="n"/>
      <c r="N199" s="114" t="n"/>
      <c r="O199" s="113">
        <f>L199+I199+F199+C199</f>
        <v/>
      </c>
      <c r="P199" s="114">
        <f>M199+J199+G199+D199</f>
        <v/>
      </c>
      <c r="Q199" s="114">
        <f>N199+K199+H199+E199</f>
        <v/>
      </c>
      <c r="R199" s="113">
        <f>SUMIFS('PO Log'!$E:$E,'PO Log'!$D:$D,'Category Table'!R$2,'PO Log'!$C:$C,'Category Table'!$A199)</f>
        <v/>
      </c>
      <c r="S199" s="114">
        <f>SUMIFS('PO Log'!$E:$E,'PO Log'!$D:$D,'Category Table'!S$2,'PO Log'!$C:$C,'Category Table'!$A199)</f>
        <v/>
      </c>
      <c r="T199" s="114">
        <f>SUMIFS('PO Log'!$E:$E,'PO Log'!$D:$D,'Category Table'!T$2,'PO Log'!$C:$C,'Category Table'!$A199)</f>
        <v/>
      </c>
      <c r="U199" s="113">
        <f>SUMIFS('Committments Dump'!$Q:$Q,'Committments Dump'!$C:$C,'Category Table'!U$2,'Committments Dump'!$B:$B,'Category Table'!$A199)</f>
        <v/>
      </c>
      <c r="V199" s="114">
        <f>SUMIFS('Committments Dump'!$Q:$Q,'Committments Dump'!$C:$C,'Category Table'!V$2,'Committments Dump'!$B:$B,'Category Table'!$A199)</f>
        <v/>
      </c>
      <c r="W199" s="114">
        <f>SUMIFS('Committments Dump'!$Q:$Q,'Committments Dump'!$C:$C,'Category Table'!W$2,'Committments Dump'!$B:$B,'Category Table'!$A199)</f>
        <v/>
      </c>
      <c r="X199" s="113">
        <f>SUMIFS('Committments Dump'!$R:$R,'Committments Dump'!$C:$C,'Category Table'!X$2,'Committments Dump'!$B:$B,'Category Table'!$A199)</f>
        <v/>
      </c>
      <c r="Y199" s="114">
        <f>SUMIFS('Committments Dump'!$R:$R,'Committments Dump'!$C:$C,'Category Table'!Y$2,'Committments Dump'!$B:$B,'Category Table'!$A199)</f>
        <v/>
      </c>
      <c r="Z199" s="114">
        <f>SUMIFS('Committments Dump'!$R:$R,'Committments Dump'!$C:$C,'Category Table'!Z$2,'Committments Dump'!$B:$B,'Category Table'!$A199)</f>
        <v/>
      </c>
      <c r="AA199" s="113">
        <f>SUMIFS('Committments Dump'!$S:$S,'Committments Dump'!$C:$C,'Category Table'!AA$2,'Committments Dump'!$B:$B,'Category Table'!$A199)</f>
        <v/>
      </c>
      <c r="AB199" s="114">
        <f>SUMIFS('Committments Dump'!$S:$S,'Committments Dump'!$C:$C,'Category Table'!AB$2,'Committments Dump'!$B:$B,'Category Table'!$A199)</f>
        <v/>
      </c>
      <c r="AC199" s="114">
        <f>SUMIFS('Committments Dump'!$S:$S,'Committments Dump'!$C:$C,'Category Table'!AC$2,'Committments Dump'!$B:$B,'Category Table'!$A199)</f>
        <v/>
      </c>
      <c r="AD199" s="113">
        <f>U199+X199+AA199</f>
        <v/>
      </c>
      <c r="AE199" s="114">
        <f>V199+Y199+AB199</f>
        <v/>
      </c>
      <c r="AF199" s="114">
        <f>W199+Z199+AC199</f>
        <v/>
      </c>
      <c r="AG199" s="113">
        <f>R199+AD199</f>
        <v/>
      </c>
      <c r="AH199" s="114">
        <f>S199+AE199</f>
        <v/>
      </c>
      <c r="AI199" s="114">
        <f>T199+AF199</f>
        <v/>
      </c>
      <c r="AJ199" s="113" t="n"/>
      <c r="AK199" s="114" t="n"/>
      <c r="AL199" s="114" t="n"/>
      <c r="AM199" s="113">
        <f>(O199-AG199)+AJ199</f>
        <v/>
      </c>
      <c r="AN199" s="114">
        <f>(P199-AH199)+AK199</f>
        <v/>
      </c>
      <c r="AO199" s="114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11" t="n"/>
      <c r="D200" s="112" t="n"/>
      <c r="E200" s="112" t="n"/>
      <c r="F200" s="111" t="n"/>
      <c r="G200" s="112" t="n"/>
      <c r="H200" s="112" t="n"/>
      <c r="I200" s="111" t="n"/>
      <c r="J200" s="112" t="n"/>
      <c r="K200" s="112" t="n"/>
      <c r="L200" s="111" t="n"/>
      <c r="M200" s="112" t="n"/>
      <c r="N200" s="112" t="n"/>
      <c r="O200" s="111">
        <f>L200+I200+F200+C200</f>
        <v/>
      </c>
      <c r="P200" s="112">
        <f>M200+J200+G200+D200</f>
        <v/>
      </c>
      <c r="Q200" s="112">
        <f>N200+K200+H200+E200</f>
        <v/>
      </c>
      <c r="R200" s="111">
        <f>SUMIFS('PO Log'!$E:$E,'PO Log'!$D:$D,'Category Table'!R$2,'PO Log'!$C:$C,'Category Table'!$A200)</f>
        <v/>
      </c>
      <c r="S200" s="112">
        <f>SUMIFS('PO Log'!$E:$E,'PO Log'!$D:$D,'Category Table'!S$2,'PO Log'!$C:$C,'Category Table'!$A200)</f>
        <v/>
      </c>
      <c r="T200" s="112">
        <f>SUMIFS('PO Log'!$E:$E,'PO Log'!$D:$D,'Category Table'!T$2,'PO Log'!$C:$C,'Category Table'!$A200)</f>
        <v/>
      </c>
      <c r="U200" s="111">
        <f>SUMIFS('Committments Dump'!$Q:$Q,'Committments Dump'!$C:$C,'Category Table'!U$2,'Committments Dump'!$B:$B,'Category Table'!$A200)</f>
        <v/>
      </c>
      <c r="V200" s="112">
        <f>SUMIFS('Committments Dump'!$Q:$Q,'Committments Dump'!$C:$C,'Category Table'!V$2,'Committments Dump'!$B:$B,'Category Table'!$A200)</f>
        <v/>
      </c>
      <c r="W200" s="112">
        <f>SUMIFS('Committments Dump'!$Q:$Q,'Committments Dump'!$C:$C,'Category Table'!W$2,'Committments Dump'!$B:$B,'Category Table'!$A200)</f>
        <v/>
      </c>
      <c r="X200" s="111">
        <f>SUMIFS('Committments Dump'!$R:$R,'Committments Dump'!$C:$C,'Category Table'!X$2,'Committments Dump'!$B:$B,'Category Table'!$A200)</f>
        <v/>
      </c>
      <c r="Y200" s="112">
        <f>SUMIFS('Committments Dump'!$R:$R,'Committments Dump'!$C:$C,'Category Table'!Y$2,'Committments Dump'!$B:$B,'Category Table'!$A200)</f>
        <v/>
      </c>
      <c r="Z200" s="112">
        <f>SUMIFS('Committments Dump'!$R:$R,'Committments Dump'!$C:$C,'Category Table'!Z$2,'Committments Dump'!$B:$B,'Category Table'!$A200)</f>
        <v/>
      </c>
      <c r="AA200" s="111">
        <f>SUMIFS('Committments Dump'!$S:$S,'Committments Dump'!$C:$C,'Category Table'!AA$2,'Committments Dump'!$B:$B,'Category Table'!$A200)</f>
        <v/>
      </c>
      <c r="AB200" s="112">
        <f>SUMIFS('Committments Dump'!$S:$S,'Committments Dump'!$C:$C,'Category Table'!AB$2,'Committments Dump'!$B:$B,'Category Table'!$A200)</f>
        <v/>
      </c>
      <c r="AC200" s="112">
        <f>SUMIFS('Committments Dump'!$S:$S,'Committments Dump'!$C:$C,'Category Table'!AC$2,'Committments Dump'!$B:$B,'Category Table'!$A200)</f>
        <v/>
      </c>
      <c r="AD200" s="111">
        <f>U200+X200+AA200</f>
        <v/>
      </c>
      <c r="AE200" s="112">
        <f>V200+Y200+AB200</f>
        <v/>
      </c>
      <c r="AF200" s="112">
        <f>W200+Z200+AC200</f>
        <v/>
      </c>
      <c r="AG200" s="111">
        <f>R200+AD200</f>
        <v/>
      </c>
      <c r="AH200" s="112">
        <f>S200+AE200</f>
        <v/>
      </c>
      <c r="AI200" s="112">
        <f>T200+AF200</f>
        <v/>
      </c>
      <c r="AJ200" s="111" t="n"/>
      <c r="AK200" s="112" t="n"/>
      <c r="AL200" s="112" t="n"/>
      <c r="AM200" s="111">
        <f>(O200-AG200)+AJ200</f>
        <v/>
      </c>
      <c r="AN200" s="112">
        <f>(P200-AH200)+AK200</f>
        <v/>
      </c>
      <c r="AO200" s="112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13" t="n"/>
      <c r="D201" s="114" t="n"/>
      <c r="E201" s="114" t="n"/>
      <c r="F201" s="113" t="n"/>
      <c r="G201" s="114" t="n"/>
      <c r="H201" s="114" t="n"/>
      <c r="I201" s="113" t="n"/>
      <c r="J201" s="114" t="n"/>
      <c r="K201" s="114" t="n"/>
      <c r="L201" s="113" t="n"/>
      <c r="M201" s="114" t="n"/>
      <c r="N201" s="114" t="n"/>
      <c r="O201" s="113">
        <f>L201+I201+F201+C201</f>
        <v/>
      </c>
      <c r="P201" s="114">
        <f>M201+J201+G201+D201</f>
        <v/>
      </c>
      <c r="Q201" s="114">
        <f>N201+K201+H201+E201</f>
        <v/>
      </c>
      <c r="R201" s="113">
        <f>SUMIFS('PO Log'!$E:$E,'PO Log'!$D:$D,'Category Table'!R$2,'PO Log'!$C:$C,'Category Table'!$A201)</f>
        <v/>
      </c>
      <c r="S201" s="114">
        <f>SUMIFS('PO Log'!$E:$E,'PO Log'!$D:$D,'Category Table'!S$2,'PO Log'!$C:$C,'Category Table'!$A201)</f>
        <v/>
      </c>
      <c r="T201" s="114">
        <f>SUMIFS('PO Log'!$E:$E,'PO Log'!$D:$D,'Category Table'!T$2,'PO Log'!$C:$C,'Category Table'!$A201)</f>
        <v/>
      </c>
      <c r="U201" s="113">
        <f>SUMIFS('Committments Dump'!$Q:$Q,'Committments Dump'!$C:$C,'Category Table'!U$2,'Committments Dump'!$B:$B,'Category Table'!$A201)</f>
        <v/>
      </c>
      <c r="V201" s="114">
        <f>SUMIFS('Committments Dump'!$Q:$Q,'Committments Dump'!$C:$C,'Category Table'!V$2,'Committments Dump'!$B:$B,'Category Table'!$A201)</f>
        <v/>
      </c>
      <c r="W201" s="114">
        <f>SUMIFS('Committments Dump'!$Q:$Q,'Committments Dump'!$C:$C,'Category Table'!W$2,'Committments Dump'!$B:$B,'Category Table'!$A201)</f>
        <v/>
      </c>
      <c r="X201" s="113">
        <f>SUMIFS('Committments Dump'!$R:$R,'Committments Dump'!$C:$C,'Category Table'!X$2,'Committments Dump'!$B:$B,'Category Table'!$A201)</f>
        <v/>
      </c>
      <c r="Y201" s="114">
        <f>SUMIFS('Committments Dump'!$R:$R,'Committments Dump'!$C:$C,'Category Table'!Y$2,'Committments Dump'!$B:$B,'Category Table'!$A201)</f>
        <v/>
      </c>
      <c r="Z201" s="114">
        <f>SUMIFS('Committments Dump'!$R:$R,'Committments Dump'!$C:$C,'Category Table'!Z$2,'Committments Dump'!$B:$B,'Category Table'!$A201)</f>
        <v/>
      </c>
      <c r="AA201" s="113">
        <f>SUMIFS('Committments Dump'!$S:$S,'Committments Dump'!$C:$C,'Category Table'!AA$2,'Committments Dump'!$B:$B,'Category Table'!$A201)</f>
        <v/>
      </c>
      <c r="AB201" s="114">
        <f>SUMIFS('Committments Dump'!$S:$S,'Committments Dump'!$C:$C,'Category Table'!AB$2,'Committments Dump'!$B:$B,'Category Table'!$A201)</f>
        <v/>
      </c>
      <c r="AC201" s="114">
        <f>SUMIFS('Committments Dump'!$S:$S,'Committments Dump'!$C:$C,'Category Table'!AC$2,'Committments Dump'!$B:$B,'Category Table'!$A201)</f>
        <v/>
      </c>
      <c r="AD201" s="113">
        <f>U201+X201+AA201</f>
        <v/>
      </c>
      <c r="AE201" s="114">
        <f>V201+Y201+AB201</f>
        <v/>
      </c>
      <c r="AF201" s="114">
        <f>W201+Z201+AC201</f>
        <v/>
      </c>
      <c r="AG201" s="113">
        <f>R201+AD201</f>
        <v/>
      </c>
      <c r="AH201" s="114">
        <f>S201+AE201</f>
        <v/>
      </c>
      <c r="AI201" s="114">
        <f>T201+AF201</f>
        <v/>
      </c>
      <c r="AJ201" s="113" t="n"/>
      <c r="AK201" s="114" t="n"/>
      <c r="AL201" s="114" t="n"/>
      <c r="AM201" s="113">
        <f>(O201-AG201)+AJ201</f>
        <v/>
      </c>
      <c r="AN201" s="114">
        <f>(P201-AH201)+AK201</f>
        <v/>
      </c>
      <c r="AO201" s="114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11" t="n"/>
      <c r="D202" s="112" t="n"/>
      <c r="E202" s="112" t="n"/>
      <c r="F202" s="111" t="n"/>
      <c r="G202" s="112" t="n"/>
      <c r="H202" s="112" t="n"/>
      <c r="I202" s="111" t="n"/>
      <c r="J202" s="112" t="n"/>
      <c r="K202" s="112" t="n"/>
      <c r="L202" s="111" t="n"/>
      <c r="M202" s="112" t="n"/>
      <c r="N202" s="112" t="n"/>
      <c r="O202" s="111">
        <f>L202+I202+F202+C202</f>
        <v/>
      </c>
      <c r="P202" s="112">
        <f>M202+J202+G202+D202</f>
        <v/>
      </c>
      <c r="Q202" s="112">
        <f>N202+K202+H202+E202</f>
        <v/>
      </c>
      <c r="R202" s="111">
        <f>SUMIFS('PO Log'!$E:$E,'PO Log'!$D:$D,'Category Table'!R$2,'PO Log'!$C:$C,'Category Table'!$A202)</f>
        <v/>
      </c>
      <c r="S202" s="112">
        <f>SUMIFS('PO Log'!$E:$E,'PO Log'!$D:$D,'Category Table'!S$2,'PO Log'!$C:$C,'Category Table'!$A202)</f>
        <v/>
      </c>
      <c r="T202" s="112">
        <f>SUMIFS('PO Log'!$E:$E,'PO Log'!$D:$D,'Category Table'!T$2,'PO Log'!$C:$C,'Category Table'!$A202)</f>
        <v/>
      </c>
      <c r="U202" s="111">
        <f>SUMIFS('Committments Dump'!$Q:$Q,'Committments Dump'!$C:$C,'Category Table'!U$2,'Committments Dump'!$B:$B,'Category Table'!$A202)</f>
        <v/>
      </c>
      <c r="V202" s="112">
        <f>SUMIFS('Committments Dump'!$Q:$Q,'Committments Dump'!$C:$C,'Category Table'!V$2,'Committments Dump'!$B:$B,'Category Table'!$A202)</f>
        <v/>
      </c>
      <c r="W202" s="112">
        <f>SUMIFS('Committments Dump'!$Q:$Q,'Committments Dump'!$C:$C,'Category Table'!W$2,'Committments Dump'!$B:$B,'Category Table'!$A202)</f>
        <v/>
      </c>
      <c r="X202" s="111">
        <f>SUMIFS('Committments Dump'!$R:$R,'Committments Dump'!$C:$C,'Category Table'!X$2,'Committments Dump'!$B:$B,'Category Table'!$A202)</f>
        <v/>
      </c>
      <c r="Y202" s="112">
        <f>SUMIFS('Committments Dump'!$R:$R,'Committments Dump'!$C:$C,'Category Table'!Y$2,'Committments Dump'!$B:$B,'Category Table'!$A202)</f>
        <v/>
      </c>
      <c r="Z202" s="112">
        <f>SUMIFS('Committments Dump'!$R:$R,'Committments Dump'!$C:$C,'Category Table'!Z$2,'Committments Dump'!$B:$B,'Category Table'!$A202)</f>
        <v/>
      </c>
      <c r="AA202" s="111">
        <f>SUMIFS('Committments Dump'!$S:$S,'Committments Dump'!$C:$C,'Category Table'!AA$2,'Committments Dump'!$B:$B,'Category Table'!$A202)</f>
        <v/>
      </c>
      <c r="AB202" s="112">
        <f>SUMIFS('Committments Dump'!$S:$S,'Committments Dump'!$C:$C,'Category Table'!AB$2,'Committments Dump'!$B:$B,'Category Table'!$A202)</f>
        <v/>
      </c>
      <c r="AC202" s="112">
        <f>SUMIFS('Committments Dump'!$S:$S,'Committments Dump'!$C:$C,'Category Table'!AC$2,'Committments Dump'!$B:$B,'Category Table'!$A202)</f>
        <v/>
      </c>
      <c r="AD202" s="111">
        <f>U202+X202+AA202</f>
        <v/>
      </c>
      <c r="AE202" s="112">
        <f>V202+Y202+AB202</f>
        <v/>
      </c>
      <c r="AF202" s="112">
        <f>W202+Z202+AC202</f>
        <v/>
      </c>
      <c r="AG202" s="111">
        <f>R202+AD202</f>
        <v/>
      </c>
      <c r="AH202" s="112">
        <f>S202+AE202</f>
        <v/>
      </c>
      <c r="AI202" s="112">
        <f>T202+AF202</f>
        <v/>
      </c>
      <c r="AJ202" s="111" t="n"/>
      <c r="AK202" s="112" t="n"/>
      <c r="AL202" s="112" t="n"/>
      <c r="AM202" s="111">
        <f>(O202-AG202)+AJ202</f>
        <v/>
      </c>
      <c r="AN202" s="112">
        <f>(P202-AH202)+AK202</f>
        <v/>
      </c>
      <c r="AO202" s="112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13" t="n"/>
      <c r="D203" s="114" t="n"/>
      <c r="E203" s="114" t="n"/>
      <c r="F203" s="113" t="n"/>
      <c r="G203" s="114" t="n"/>
      <c r="H203" s="114" t="n"/>
      <c r="I203" s="113" t="n"/>
      <c r="J203" s="114" t="n"/>
      <c r="K203" s="114" t="n"/>
      <c r="L203" s="113" t="n"/>
      <c r="M203" s="114" t="n"/>
      <c r="N203" s="114" t="n"/>
      <c r="O203" s="113">
        <f>L203+I203+F203+C203</f>
        <v/>
      </c>
      <c r="P203" s="114">
        <f>M203+J203+G203+D203</f>
        <v/>
      </c>
      <c r="Q203" s="114">
        <f>N203+K203+H203+E203</f>
        <v/>
      </c>
      <c r="R203" s="113">
        <f>SUMIFS('PO Log'!$E:$E,'PO Log'!$D:$D,'Category Table'!R$2,'PO Log'!$C:$C,'Category Table'!$A203)</f>
        <v/>
      </c>
      <c r="S203" s="114">
        <f>SUMIFS('PO Log'!$E:$E,'PO Log'!$D:$D,'Category Table'!S$2,'PO Log'!$C:$C,'Category Table'!$A203)</f>
        <v/>
      </c>
      <c r="T203" s="114">
        <f>SUMIFS('PO Log'!$E:$E,'PO Log'!$D:$D,'Category Table'!T$2,'PO Log'!$C:$C,'Category Table'!$A203)</f>
        <v/>
      </c>
      <c r="U203" s="113">
        <f>SUMIFS('Committments Dump'!$Q:$Q,'Committments Dump'!$C:$C,'Category Table'!U$2,'Committments Dump'!$B:$B,'Category Table'!$A203)</f>
        <v/>
      </c>
      <c r="V203" s="114">
        <f>SUMIFS('Committments Dump'!$Q:$Q,'Committments Dump'!$C:$C,'Category Table'!V$2,'Committments Dump'!$B:$B,'Category Table'!$A203)</f>
        <v/>
      </c>
      <c r="W203" s="114">
        <f>SUMIFS('Committments Dump'!$Q:$Q,'Committments Dump'!$C:$C,'Category Table'!W$2,'Committments Dump'!$B:$B,'Category Table'!$A203)</f>
        <v/>
      </c>
      <c r="X203" s="113">
        <f>SUMIFS('Committments Dump'!$R:$R,'Committments Dump'!$C:$C,'Category Table'!X$2,'Committments Dump'!$B:$B,'Category Table'!$A203)</f>
        <v/>
      </c>
      <c r="Y203" s="114">
        <f>SUMIFS('Committments Dump'!$R:$R,'Committments Dump'!$C:$C,'Category Table'!Y$2,'Committments Dump'!$B:$B,'Category Table'!$A203)</f>
        <v/>
      </c>
      <c r="Z203" s="114">
        <f>SUMIFS('Committments Dump'!$R:$R,'Committments Dump'!$C:$C,'Category Table'!Z$2,'Committments Dump'!$B:$B,'Category Table'!$A203)</f>
        <v/>
      </c>
      <c r="AA203" s="113">
        <f>SUMIFS('Committments Dump'!$S:$S,'Committments Dump'!$C:$C,'Category Table'!AA$2,'Committments Dump'!$B:$B,'Category Table'!$A203)</f>
        <v/>
      </c>
      <c r="AB203" s="114">
        <f>SUMIFS('Committments Dump'!$S:$S,'Committments Dump'!$C:$C,'Category Table'!AB$2,'Committments Dump'!$B:$B,'Category Table'!$A203)</f>
        <v/>
      </c>
      <c r="AC203" s="114">
        <f>SUMIFS('Committments Dump'!$S:$S,'Committments Dump'!$C:$C,'Category Table'!AC$2,'Committments Dump'!$B:$B,'Category Table'!$A203)</f>
        <v/>
      </c>
      <c r="AD203" s="113">
        <f>U203+X203+AA203</f>
        <v/>
      </c>
      <c r="AE203" s="114">
        <f>V203+Y203+AB203</f>
        <v/>
      </c>
      <c r="AF203" s="114">
        <f>W203+Z203+AC203</f>
        <v/>
      </c>
      <c r="AG203" s="113">
        <f>R203+AD203</f>
        <v/>
      </c>
      <c r="AH203" s="114">
        <f>S203+AE203</f>
        <v/>
      </c>
      <c r="AI203" s="114">
        <f>T203+AF203</f>
        <v/>
      </c>
      <c r="AJ203" s="113" t="n"/>
      <c r="AK203" s="114" t="n"/>
      <c r="AL203" s="114" t="n"/>
      <c r="AM203" s="113">
        <f>(O203-AG203)+AJ203</f>
        <v/>
      </c>
      <c r="AN203" s="114">
        <f>(P203-AH203)+AK203</f>
        <v/>
      </c>
      <c r="AO203" s="114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11" t="n"/>
      <c r="D204" s="112" t="n"/>
      <c r="E204" s="112" t="n"/>
      <c r="F204" s="111" t="n"/>
      <c r="G204" s="112" t="n"/>
      <c r="H204" s="112" t="n"/>
      <c r="I204" s="111" t="n"/>
      <c r="J204" s="112" t="n"/>
      <c r="K204" s="112" t="n"/>
      <c r="L204" s="111" t="n"/>
      <c r="M204" s="112" t="n"/>
      <c r="N204" s="112" t="n"/>
      <c r="O204" s="111">
        <f>L204+I204+F204+C204</f>
        <v/>
      </c>
      <c r="P204" s="112">
        <f>M204+J204+G204+D204</f>
        <v/>
      </c>
      <c r="Q204" s="112">
        <f>N204+K204+H204+E204</f>
        <v/>
      </c>
      <c r="R204" s="111">
        <f>SUMIFS('PO Log'!$E:$E,'PO Log'!$D:$D,'Category Table'!R$2,'PO Log'!$C:$C,'Category Table'!$A204)</f>
        <v/>
      </c>
      <c r="S204" s="112">
        <f>SUMIFS('PO Log'!$E:$E,'PO Log'!$D:$D,'Category Table'!S$2,'PO Log'!$C:$C,'Category Table'!$A204)</f>
        <v/>
      </c>
      <c r="T204" s="112">
        <f>SUMIFS('PO Log'!$E:$E,'PO Log'!$D:$D,'Category Table'!T$2,'PO Log'!$C:$C,'Category Table'!$A204)</f>
        <v/>
      </c>
      <c r="U204" s="111">
        <f>SUMIFS('Committments Dump'!$Q:$Q,'Committments Dump'!$C:$C,'Category Table'!U$2,'Committments Dump'!$B:$B,'Category Table'!$A204)</f>
        <v/>
      </c>
      <c r="V204" s="112">
        <f>SUMIFS('Committments Dump'!$Q:$Q,'Committments Dump'!$C:$C,'Category Table'!V$2,'Committments Dump'!$B:$B,'Category Table'!$A204)</f>
        <v/>
      </c>
      <c r="W204" s="112">
        <f>SUMIFS('Committments Dump'!$Q:$Q,'Committments Dump'!$C:$C,'Category Table'!W$2,'Committments Dump'!$B:$B,'Category Table'!$A204)</f>
        <v/>
      </c>
      <c r="X204" s="111">
        <f>SUMIFS('Committments Dump'!$R:$R,'Committments Dump'!$C:$C,'Category Table'!X$2,'Committments Dump'!$B:$B,'Category Table'!$A204)</f>
        <v/>
      </c>
      <c r="Y204" s="112">
        <f>SUMIFS('Committments Dump'!$R:$R,'Committments Dump'!$C:$C,'Category Table'!Y$2,'Committments Dump'!$B:$B,'Category Table'!$A204)</f>
        <v/>
      </c>
      <c r="Z204" s="112">
        <f>SUMIFS('Committments Dump'!$R:$R,'Committments Dump'!$C:$C,'Category Table'!Z$2,'Committments Dump'!$B:$B,'Category Table'!$A204)</f>
        <v/>
      </c>
      <c r="AA204" s="111">
        <f>SUMIFS('Committments Dump'!$S:$S,'Committments Dump'!$C:$C,'Category Table'!AA$2,'Committments Dump'!$B:$B,'Category Table'!$A204)</f>
        <v/>
      </c>
      <c r="AB204" s="112">
        <f>SUMIFS('Committments Dump'!$S:$S,'Committments Dump'!$C:$C,'Category Table'!AB$2,'Committments Dump'!$B:$B,'Category Table'!$A204)</f>
        <v/>
      </c>
      <c r="AC204" s="112">
        <f>SUMIFS('Committments Dump'!$S:$S,'Committments Dump'!$C:$C,'Category Table'!AC$2,'Committments Dump'!$B:$B,'Category Table'!$A204)</f>
        <v/>
      </c>
      <c r="AD204" s="111">
        <f>U204+X204+AA204</f>
        <v/>
      </c>
      <c r="AE204" s="112">
        <f>V204+Y204+AB204</f>
        <v/>
      </c>
      <c r="AF204" s="112">
        <f>W204+Z204+AC204</f>
        <v/>
      </c>
      <c r="AG204" s="111">
        <f>R204+AD204</f>
        <v/>
      </c>
      <c r="AH204" s="112">
        <f>S204+AE204</f>
        <v/>
      </c>
      <c r="AI204" s="112">
        <f>T204+AF204</f>
        <v/>
      </c>
      <c r="AJ204" s="111" t="n"/>
      <c r="AK204" s="112" t="n"/>
      <c r="AL204" s="112" t="n"/>
      <c r="AM204" s="111">
        <f>(O204-AG204)+AJ204</f>
        <v/>
      </c>
      <c r="AN204" s="112">
        <f>(P204-AH204)+AK204</f>
        <v/>
      </c>
      <c r="AO204" s="112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13" t="n"/>
      <c r="D205" s="114" t="n"/>
      <c r="E205" s="114" t="n"/>
      <c r="F205" s="113" t="n"/>
      <c r="G205" s="114" t="n"/>
      <c r="H205" s="114" t="n"/>
      <c r="I205" s="113" t="n"/>
      <c r="J205" s="114" t="n"/>
      <c r="K205" s="114" t="n"/>
      <c r="L205" s="113" t="n"/>
      <c r="M205" s="114" t="n"/>
      <c r="N205" s="114" t="n"/>
      <c r="O205" s="113">
        <f>L205+I205+F205+C205</f>
        <v/>
      </c>
      <c r="P205" s="114">
        <f>M205+J205+G205+D205</f>
        <v/>
      </c>
      <c r="Q205" s="114">
        <f>N205+K205+H205+E205</f>
        <v/>
      </c>
      <c r="R205" s="113">
        <f>SUMIFS('PO Log'!$E:$E,'PO Log'!$D:$D,'Category Table'!R$2,'PO Log'!$C:$C,'Category Table'!$A205)</f>
        <v/>
      </c>
      <c r="S205" s="114">
        <f>SUMIFS('PO Log'!$E:$E,'PO Log'!$D:$D,'Category Table'!S$2,'PO Log'!$C:$C,'Category Table'!$A205)</f>
        <v/>
      </c>
      <c r="T205" s="114">
        <f>SUMIFS('PO Log'!$E:$E,'PO Log'!$D:$D,'Category Table'!T$2,'PO Log'!$C:$C,'Category Table'!$A205)</f>
        <v/>
      </c>
      <c r="U205" s="113">
        <f>SUMIFS('Committments Dump'!$Q:$Q,'Committments Dump'!$C:$C,'Category Table'!U$2,'Committments Dump'!$B:$B,'Category Table'!$A205)</f>
        <v/>
      </c>
      <c r="V205" s="114">
        <f>SUMIFS('Committments Dump'!$Q:$Q,'Committments Dump'!$C:$C,'Category Table'!V$2,'Committments Dump'!$B:$B,'Category Table'!$A205)</f>
        <v/>
      </c>
      <c r="W205" s="114">
        <f>SUMIFS('Committments Dump'!$Q:$Q,'Committments Dump'!$C:$C,'Category Table'!W$2,'Committments Dump'!$B:$B,'Category Table'!$A205)</f>
        <v/>
      </c>
      <c r="X205" s="113">
        <f>SUMIFS('Committments Dump'!$R:$R,'Committments Dump'!$C:$C,'Category Table'!X$2,'Committments Dump'!$B:$B,'Category Table'!$A205)</f>
        <v/>
      </c>
      <c r="Y205" s="114">
        <f>SUMIFS('Committments Dump'!$R:$R,'Committments Dump'!$C:$C,'Category Table'!Y$2,'Committments Dump'!$B:$B,'Category Table'!$A205)</f>
        <v/>
      </c>
      <c r="Z205" s="114">
        <f>SUMIFS('Committments Dump'!$R:$R,'Committments Dump'!$C:$C,'Category Table'!Z$2,'Committments Dump'!$B:$B,'Category Table'!$A205)</f>
        <v/>
      </c>
      <c r="AA205" s="113">
        <f>SUMIFS('Committments Dump'!$S:$S,'Committments Dump'!$C:$C,'Category Table'!AA$2,'Committments Dump'!$B:$B,'Category Table'!$A205)</f>
        <v/>
      </c>
      <c r="AB205" s="114">
        <f>SUMIFS('Committments Dump'!$S:$S,'Committments Dump'!$C:$C,'Category Table'!AB$2,'Committments Dump'!$B:$B,'Category Table'!$A205)</f>
        <v/>
      </c>
      <c r="AC205" s="114">
        <f>SUMIFS('Committments Dump'!$S:$S,'Committments Dump'!$C:$C,'Category Table'!AC$2,'Committments Dump'!$B:$B,'Category Table'!$A205)</f>
        <v/>
      </c>
      <c r="AD205" s="113">
        <f>U205+X205+AA205</f>
        <v/>
      </c>
      <c r="AE205" s="114">
        <f>V205+Y205+AB205</f>
        <v/>
      </c>
      <c r="AF205" s="114">
        <f>W205+Z205+AC205</f>
        <v/>
      </c>
      <c r="AG205" s="113">
        <f>R205+AD205</f>
        <v/>
      </c>
      <c r="AH205" s="114">
        <f>S205+AE205</f>
        <v/>
      </c>
      <c r="AI205" s="114">
        <f>T205+AF205</f>
        <v/>
      </c>
      <c r="AJ205" s="113" t="n"/>
      <c r="AK205" s="114" t="n"/>
      <c r="AL205" s="114" t="n"/>
      <c r="AM205" s="113">
        <f>(O205-AG205)+AJ205</f>
        <v/>
      </c>
      <c r="AN205" s="114">
        <f>(P205-AH205)+AK205</f>
        <v/>
      </c>
      <c r="AO205" s="114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11" t="n"/>
      <c r="D206" s="112" t="n"/>
      <c r="E206" s="112" t="n"/>
      <c r="F206" s="111" t="n"/>
      <c r="G206" s="112" t="n"/>
      <c r="H206" s="112" t="n"/>
      <c r="I206" s="111" t="n"/>
      <c r="J206" s="112" t="n"/>
      <c r="K206" s="112" t="n"/>
      <c r="L206" s="111" t="n"/>
      <c r="M206" s="112" t="n"/>
      <c r="N206" s="112" t="n"/>
      <c r="O206" s="111">
        <f>L206+I206+F206+C206</f>
        <v/>
      </c>
      <c r="P206" s="112">
        <f>M206+J206+G206+D206</f>
        <v/>
      </c>
      <c r="Q206" s="112">
        <f>N206+K206+H206+E206</f>
        <v/>
      </c>
      <c r="R206" s="111">
        <f>SUMIFS('PO Log'!$E:$E,'PO Log'!$D:$D,'Category Table'!R$2,'PO Log'!$C:$C,'Category Table'!$A206)</f>
        <v/>
      </c>
      <c r="S206" s="112">
        <f>SUMIFS('PO Log'!$E:$E,'PO Log'!$D:$D,'Category Table'!S$2,'PO Log'!$C:$C,'Category Table'!$A206)</f>
        <v/>
      </c>
      <c r="T206" s="112">
        <f>SUMIFS('PO Log'!$E:$E,'PO Log'!$D:$D,'Category Table'!T$2,'PO Log'!$C:$C,'Category Table'!$A206)</f>
        <v/>
      </c>
      <c r="U206" s="111">
        <f>SUMIFS('Committments Dump'!$Q:$Q,'Committments Dump'!$C:$C,'Category Table'!U$2,'Committments Dump'!$B:$B,'Category Table'!$A206)</f>
        <v/>
      </c>
      <c r="V206" s="112">
        <f>SUMIFS('Committments Dump'!$Q:$Q,'Committments Dump'!$C:$C,'Category Table'!V$2,'Committments Dump'!$B:$B,'Category Table'!$A206)</f>
        <v/>
      </c>
      <c r="W206" s="112">
        <f>SUMIFS('Committments Dump'!$Q:$Q,'Committments Dump'!$C:$C,'Category Table'!W$2,'Committments Dump'!$B:$B,'Category Table'!$A206)</f>
        <v/>
      </c>
      <c r="X206" s="111">
        <f>SUMIFS('Committments Dump'!$R:$R,'Committments Dump'!$C:$C,'Category Table'!X$2,'Committments Dump'!$B:$B,'Category Table'!$A206)</f>
        <v/>
      </c>
      <c r="Y206" s="112">
        <f>SUMIFS('Committments Dump'!$R:$R,'Committments Dump'!$C:$C,'Category Table'!Y$2,'Committments Dump'!$B:$B,'Category Table'!$A206)</f>
        <v/>
      </c>
      <c r="Z206" s="112">
        <f>SUMIFS('Committments Dump'!$R:$R,'Committments Dump'!$C:$C,'Category Table'!Z$2,'Committments Dump'!$B:$B,'Category Table'!$A206)</f>
        <v/>
      </c>
      <c r="AA206" s="111">
        <f>SUMIFS('Committments Dump'!$S:$S,'Committments Dump'!$C:$C,'Category Table'!AA$2,'Committments Dump'!$B:$B,'Category Table'!$A206)</f>
        <v/>
      </c>
      <c r="AB206" s="112">
        <f>SUMIFS('Committments Dump'!$S:$S,'Committments Dump'!$C:$C,'Category Table'!AB$2,'Committments Dump'!$B:$B,'Category Table'!$A206)</f>
        <v/>
      </c>
      <c r="AC206" s="112">
        <f>SUMIFS('Committments Dump'!$S:$S,'Committments Dump'!$C:$C,'Category Table'!AC$2,'Committments Dump'!$B:$B,'Category Table'!$A206)</f>
        <v/>
      </c>
      <c r="AD206" s="111">
        <f>U206+X206+AA206</f>
        <v/>
      </c>
      <c r="AE206" s="112">
        <f>V206+Y206+AB206</f>
        <v/>
      </c>
      <c r="AF206" s="112">
        <f>W206+Z206+AC206</f>
        <v/>
      </c>
      <c r="AG206" s="111">
        <f>R206+AD206</f>
        <v/>
      </c>
      <c r="AH206" s="112">
        <f>S206+AE206</f>
        <v/>
      </c>
      <c r="AI206" s="112">
        <f>T206+AF206</f>
        <v/>
      </c>
      <c r="AJ206" s="111" t="n"/>
      <c r="AK206" s="112" t="n"/>
      <c r="AL206" s="112" t="n"/>
      <c r="AM206" s="111">
        <f>(O206-AG206)+AJ206</f>
        <v/>
      </c>
      <c r="AN206" s="112">
        <f>(P206-AH206)+AK206</f>
        <v/>
      </c>
      <c r="AO206" s="112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13" t="n"/>
      <c r="D207" s="114" t="n"/>
      <c r="E207" s="114" t="n"/>
      <c r="F207" s="113" t="n"/>
      <c r="G207" s="114" t="n"/>
      <c r="H207" s="114" t="n"/>
      <c r="I207" s="113" t="n"/>
      <c r="J207" s="114" t="n"/>
      <c r="K207" s="114" t="n"/>
      <c r="L207" s="113" t="n"/>
      <c r="M207" s="114" t="n"/>
      <c r="N207" s="114" t="n"/>
      <c r="O207" s="113">
        <f>L207+I207+F207+C207</f>
        <v/>
      </c>
      <c r="P207" s="114">
        <f>M207+J207+G207+D207</f>
        <v/>
      </c>
      <c r="Q207" s="114">
        <f>N207+K207+H207+E207</f>
        <v/>
      </c>
      <c r="R207" s="113">
        <f>SUMIFS('PO Log'!$E:$E,'PO Log'!$D:$D,'Category Table'!R$2,'PO Log'!$C:$C,'Category Table'!$A207)</f>
        <v/>
      </c>
      <c r="S207" s="114">
        <f>SUMIFS('PO Log'!$E:$E,'PO Log'!$D:$D,'Category Table'!S$2,'PO Log'!$C:$C,'Category Table'!$A207)</f>
        <v/>
      </c>
      <c r="T207" s="114">
        <f>SUMIFS('PO Log'!$E:$E,'PO Log'!$D:$D,'Category Table'!T$2,'PO Log'!$C:$C,'Category Table'!$A207)</f>
        <v/>
      </c>
      <c r="U207" s="113">
        <f>SUMIFS('Committments Dump'!$Q:$Q,'Committments Dump'!$C:$C,'Category Table'!U$2,'Committments Dump'!$B:$B,'Category Table'!$A207)</f>
        <v/>
      </c>
      <c r="V207" s="114">
        <f>SUMIFS('Committments Dump'!$Q:$Q,'Committments Dump'!$C:$C,'Category Table'!V$2,'Committments Dump'!$B:$B,'Category Table'!$A207)</f>
        <v/>
      </c>
      <c r="W207" s="114">
        <f>SUMIFS('Committments Dump'!$Q:$Q,'Committments Dump'!$C:$C,'Category Table'!W$2,'Committments Dump'!$B:$B,'Category Table'!$A207)</f>
        <v/>
      </c>
      <c r="X207" s="113">
        <f>SUMIFS('Committments Dump'!$R:$R,'Committments Dump'!$C:$C,'Category Table'!X$2,'Committments Dump'!$B:$B,'Category Table'!$A207)</f>
        <v/>
      </c>
      <c r="Y207" s="114">
        <f>SUMIFS('Committments Dump'!$R:$R,'Committments Dump'!$C:$C,'Category Table'!Y$2,'Committments Dump'!$B:$B,'Category Table'!$A207)</f>
        <v/>
      </c>
      <c r="Z207" s="114">
        <f>SUMIFS('Committments Dump'!$R:$R,'Committments Dump'!$C:$C,'Category Table'!Z$2,'Committments Dump'!$B:$B,'Category Table'!$A207)</f>
        <v/>
      </c>
      <c r="AA207" s="113">
        <f>SUMIFS('Committments Dump'!$S:$S,'Committments Dump'!$C:$C,'Category Table'!AA$2,'Committments Dump'!$B:$B,'Category Table'!$A207)</f>
        <v/>
      </c>
      <c r="AB207" s="114">
        <f>SUMIFS('Committments Dump'!$S:$S,'Committments Dump'!$C:$C,'Category Table'!AB$2,'Committments Dump'!$B:$B,'Category Table'!$A207)</f>
        <v/>
      </c>
      <c r="AC207" s="114">
        <f>SUMIFS('Committments Dump'!$S:$S,'Committments Dump'!$C:$C,'Category Table'!AC$2,'Committments Dump'!$B:$B,'Category Table'!$A207)</f>
        <v/>
      </c>
      <c r="AD207" s="113">
        <f>U207+X207+AA207</f>
        <v/>
      </c>
      <c r="AE207" s="114">
        <f>V207+Y207+AB207</f>
        <v/>
      </c>
      <c r="AF207" s="114">
        <f>W207+Z207+AC207</f>
        <v/>
      </c>
      <c r="AG207" s="113">
        <f>R207+AD207</f>
        <v/>
      </c>
      <c r="AH207" s="114">
        <f>S207+AE207</f>
        <v/>
      </c>
      <c r="AI207" s="114">
        <f>T207+AF207</f>
        <v/>
      </c>
      <c r="AJ207" s="113" t="n"/>
      <c r="AK207" s="114" t="n"/>
      <c r="AL207" s="114" t="n"/>
      <c r="AM207" s="113">
        <f>(O207-AG207)+AJ207</f>
        <v/>
      </c>
      <c r="AN207" s="114">
        <f>(P207-AH207)+AK207</f>
        <v/>
      </c>
      <c r="AO207" s="114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11" t="n"/>
      <c r="D208" s="112" t="n"/>
      <c r="E208" s="112" t="n"/>
      <c r="F208" s="111" t="n"/>
      <c r="G208" s="112" t="n"/>
      <c r="H208" s="112" t="n"/>
      <c r="I208" s="111" t="n"/>
      <c r="J208" s="112" t="n"/>
      <c r="K208" s="112" t="n"/>
      <c r="L208" s="111" t="n"/>
      <c r="M208" s="112" t="n"/>
      <c r="N208" s="112" t="n"/>
      <c r="O208" s="111">
        <f>L208+I208+F208+C208</f>
        <v/>
      </c>
      <c r="P208" s="112">
        <f>M208+J208+G208+D208</f>
        <v/>
      </c>
      <c r="Q208" s="112">
        <f>N208+K208+H208+E208</f>
        <v/>
      </c>
      <c r="R208" s="111">
        <f>SUMIFS('PO Log'!$E:$E,'PO Log'!$D:$D,'Category Table'!R$2,'PO Log'!$C:$C,'Category Table'!$A208)</f>
        <v/>
      </c>
      <c r="S208" s="112">
        <f>SUMIFS('PO Log'!$E:$E,'PO Log'!$D:$D,'Category Table'!S$2,'PO Log'!$C:$C,'Category Table'!$A208)</f>
        <v/>
      </c>
      <c r="T208" s="112">
        <f>SUMIFS('PO Log'!$E:$E,'PO Log'!$D:$D,'Category Table'!T$2,'PO Log'!$C:$C,'Category Table'!$A208)</f>
        <v/>
      </c>
      <c r="U208" s="111">
        <f>SUMIFS('Committments Dump'!$Q:$Q,'Committments Dump'!$C:$C,'Category Table'!U$2,'Committments Dump'!$B:$B,'Category Table'!$A208)</f>
        <v/>
      </c>
      <c r="V208" s="112">
        <f>SUMIFS('Committments Dump'!$Q:$Q,'Committments Dump'!$C:$C,'Category Table'!V$2,'Committments Dump'!$B:$B,'Category Table'!$A208)</f>
        <v/>
      </c>
      <c r="W208" s="112">
        <f>SUMIFS('Committments Dump'!$Q:$Q,'Committments Dump'!$C:$C,'Category Table'!W$2,'Committments Dump'!$B:$B,'Category Table'!$A208)</f>
        <v/>
      </c>
      <c r="X208" s="111">
        <f>SUMIFS('Committments Dump'!$R:$R,'Committments Dump'!$C:$C,'Category Table'!X$2,'Committments Dump'!$B:$B,'Category Table'!$A208)</f>
        <v/>
      </c>
      <c r="Y208" s="112">
        <f>SUMIFS('Committments Dump'!$R:$R,'Committments Dump'!$C:$C,'Category Table'!Y$2,'Committments Dump'!$B:$B,'Category Table'!$A208)</f>
        <v/>
      </c>
      <c r="Z208" s="112">
        <f>SUMIFS('Committments Dump'!$R:$R,'Committments Dump'!$C:$C,'Category Table'!Z$2,'Committments Dump'!$B:$B,'Category Table'!$A208)</f>
        <v/>
      </c>
      <c r="AA208" s="111">
        <f>SUMIFS('Committments Dump'!$S:$S,'Committments Dump'!$C:$C,'Category Table'!AA$2,'Committments Dump'!$B:$B,'Category Table'!$A208)</f>
        <v/>
      </c>
      <c r="AB208" s="112">
        <f>SUMIFS('Committments Dump'!$S:$S,'Committments Dump'!$C:$C,'Category Table'!AB$2,'Committments Dump'!$B:$B,'Category Table'!$A208)</f>
        <v/>
      </c>
      <c r="AC208" s="112">
        <f>SUMIFS('Committments Dump'!$S:$S,'Committments Dump'!$C:$C,'Category Table'!AC$2,'Committments Dump'!$B:$B,'Category Table'!$A208)</f>
        <v/>
      </c>
      <c r="AD208" s="111">
        <f>U208+X208+AA208</f>
        <v/>
      </c>
      <c r="AE208" s="112">
        <f>V208+Y208+AB208</f>
        <v/>
      </c>
      <c r="AF208" s="112">
        <f>W208+Z208+AC208</f>
        <v/>
      </c>
      <c r="AG208" s="111">
        <f>R208+AD208</f>
        <v/>
      </c>
      <c r="AH208" s="112">
        <f>S208+AE208</f>
        <v/>
      </c>
      <c r="AI208" s="112">
        <f>T208+AF208</f>
        <v/>
      </c>
      <c r="AJ208" s="111" t="n"/>
      <c r="AK208" s="112" t="n"/>
      <c r="AL208" s="112" t="n"/>
      <c r="AM208" s="111">
        <f>(O208-AG208)+AJ208</f>
        <v/>
      </c>
      <c r="AN208" s="112">
        <f>(P208-AH208)+AK208</f>
        <v/>
      </c>
      <c r="AO208" s="112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13" t="n"/>
      <c r="D209" s="114" t="n"/>
      <c r="E209" s="114" t="n"/>
      <c r="F209" s="113" t="n"/>
      <c r="G209" s="114" t="n"/>
      <c r="H209" s="114" t="n"/>
      <c r="I209" s="113" t="n"/>
      <c r="J209" s="114" t="n"/>
      <c r="K209" s="114" t="n"/>
      <c r="L209" s="113" t="n"/>
      <c r="M209" s="114" t="n"/>
      <c r="N209" s="114" t="n"/>
      <c r="O209" s="113">
        <f>L209+I209+F209+C209</f>
        <v/>
      </c>
      <c r="P209" s="114">
        <f>M209+J209+G209+D209</f>
        <v/>
      </c>
      <c r="Q209" s="114">
        <f>N209+K209+H209+E209</f>
        <v/>
      </c>
      <c r="R209" s="113">
        <f>SUMIFS('PO Log'!$E:$E,'PO Log'!$D:$D,'Category Table'!R$2,'PO Log'!$C:$C,'Category Table'!$A209)</f>
        <v/>
      </c>
      <c r="S209" s="114">
        <f>SUMIFS('PO Log'!$E:$E,'PO Log'!$D:$D,'Category Table'!S$2,'PO Log'!$C:$C,'Category Table'!$A209)</f>
        <v/>
      </c>
      <c r="T209" s="114">
        <f>SUMIFS('PO Log'!$E:$E,'PO Log'!$D:$D,'Category Table'!T$2,'PO Log'!$C:$C,'Category Table'!$A209)</f>
        <v/>
      </c>
      <c r="U209" s="113">
        <f>SUMIFS('Committments Dump'!$Q:$Q,'Committments Dump'!$C:$C,'Category Table'!U$2,'Committments Dump'!$B:$B,'Category Table'!$A209)</f>
        <v/>
      </c>
      <c r="V209" s="114">
        <f>SUMIFS('Committments Dump'!$Q:$Q,'Committments Dump'!$C:$C,'Category Table'!V$2,'Committments Dump'!$B:$B,'Category Table'!$A209)</f>
        <v/>
      </c>
      <c r="W209" s="114">
        <f>SUMIFS('Committments Dump'!$Q:$Q,'Committments Dump'!$C:$C,'Category Table'!W$2,'Committments Dump'!$B:$B,'Category Table'!$A209)</f>
        <v/>
      </c>
      <c r="X209" s="113">
        <f>SUMIFS('Committments Dump'!$R:$R,'Committments Dump'!$C:$C,'Category Table'!X$2,'Committments Dump'!$B:$B,'Category Table'!$A209)</f>
        <v/>
      </c>
      <c r="Y209" s="114">
        <f>SUMIFS('Committments Dump'!$R:$R,'Committments Dump'!$C:$C,'Category Table'!Y$2,'Committments Dump'!$B:$B,'Category Table'!$A209)</f>
        <v/>
      </c>
      <c r="Z209" s="114">
        <f>SUMIFS('Committments Dump'!$R:$R,'Committments Dump'!$C:$C,'Category Table'!Z$2,'Committments Dump'!$B:$B,'Category Table'!$A209)</f>
        <v/>
      </c>
      <c r="AA209" s="113">
        <f>SUMIFS('Committments Dump'!$S:$S,'Committments Dump'!$C:$C,'Category Table'!AA$2,'Committments Dump'!$B:$B,'Category Table'!$A209)</f>
        <v/>
      </c>
      <c r="AB209" s="114">
        <f>SUMIFS('Committments Dump'!$S:$S,'Committments Dump'!$C:$C,'Category Table'!AB$2,'Committments Dump'!$B:$B,'Category Table'!$A209)</f>
        <v/>
      </c>
      <c r="AC209" s="114">
        <f>SUMIFS('Committments Dump'!$S:$S,'Committments Dump'!$C:$C,'Category Table'!AC$2,'Committments Dump'!$B:$B,'Category Table'!$A209)</f>
        <v/>
      </c>
      <c r="AD209" s="113">
        <f>U209+X209+AA209</f>
        <v/>
      </c>
      <c r="AE209" s="114">
        <f>V209+Y209+AB209</f>
        <v/>
      </c>
      <c r="AF209" s="114">
        <f>W209+Z209+AC209</f>
        <v/>
      </c>
      <c r="AG209" s="113">
        <f>R209+AD209</f>
        <v/>
      </c>
      <c r="AH209" s="114">
        <f>S209+AE209</f>
        <v/>
      </c>
      <c r="AI209" s="114">
        <f>T209+AF209</f>
        <v/>
      </c>
      <c r="AJ209" s="113" t="n"/>
      <c r="AK209" s="114" t="n"/>
      <c r="AL209" s="114" t="n"/>
      <c r="AM209" s="113">
        <f>(O209-AG209)+AJ209</f>
        <v/>
      </c>
      <c r="AN209" s="114">
        <f>(P209-AH209)+AK209</f>
        <v/>
      </c>
      <c r="AO209" s="114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11" t="n"/>
      <c r="D210" s="112" t="n"/>
      <c r="E210" s="112" t="n"/>
      <c r="F210" s="111" t="n"/>
      <c r="G210" s="112" t="n"/>
      <c r="H210" s="112" t="n"/>
      <c r="I210" s="111" t="n"/>
      <c r="J210" s="112" t="n"/>
      <c r="K210" s="112" t="n"/>
      <c r="L210" s="111" t="n"/>
      <c r="M210" s="112" t="n"/>
      <c r="N210" s="112" t="n"/>
      <c r="O210" s="111">
        <f>L210+I210+F210+C210</f>
        <v/>
      </c>
      <c r="P210" s="112">
        <f>M210+J210+G210+D210</f>
        <v/>
      </c>
      <c r="Q210" s="112">
        <f>N210+K210+H210+E210</f>
        <v/>
      </c>
      <c r="R210" s="111">
        <f>SUMIFS('PO Log'!$E:$E,'PO Log'!$D:$D,'Category Table'!R$2,'PO Log'!$C:$C,'Category Table'!$A210)</f>
        <v/>
      </c>
      <c r="S210" s="112">
        <f>SUMIFS('PO Log'!$E:$E,'PO Log'!$D:$D,'Category Table'!S$2,'PO Log'!$C:$C,'Category Table'!$A210)</f>
        <v/>
      </c>
      <c r="T210" s="112">
        <f>SUMIFS('PO Log'!$E:$E,'PO Log'!$D:$D,'Category Table'!T$2,'PO Log'!$C:$C,'Category Table'!$A210)</f>
        <v/>
      </c>
      <c r="U210" s="111">
        <f>SUMIFS('Committments Dump'!$Q:$Q,'Committments Dump'!$C:$C,'Category Table'!U$2,'Committments Dump'!$B:$B,'Category Table'!$A210)</f>
        <v/>
      </c>
      <c r="V210" s="112">
        <f>SUMIFS('Committments Dump'!$Q:$Q,'Committments Dump'!$C:$C,'Category Table'!V$2,'Committments Dump'!$B:$B,'Category Table'!$A210)</f>
        <v/>
      </c>
      <c r="W210" s="112">
        <f>SUMIFS('Committments Dump'!$Q:$Q,'Committments Dump'!$C:$C,'Category Table'!W$2,'Committments Dump'!$B:$B,'Category Table'!$A210)</f>
        <v/>
      </c>
      <c r="X210" s="111">
        <f>SUMIFS('Committments Dump'!$R:$R,'Committments Dump'!$C:$C,'Category Table'!X$2,'Committments Dump'!$B:$B,'Category Table'!$A210)</f>
        <v/>
      </c>
      <c r="Y210" s="112">
        <f>SUMIFS('Committments Dump'!$R:$R,'Committments Dump'!$C:$C,'Category Table'!Y$2,'Committments Dump'!$B:$B,'Category Table'!$A210)</f>
        <v/>
      </c>
      <c r="Z210" s="112">
        <f>SUMIFS('Committments Dump'!$R:$R,'Committments Dump'!$C:$C,'Category Table'!Z$2,'Committments Dump'!$B:$B,'Category Table'!$A210)</f>
        <v/>
      </c>
      <c r="AA210" s="111">
        <f>SUMIFS('Committments Dump'!$S:$S,'Committments Dump'!$C:$C,'Category Table'!AA$2,'Committments Dump'!$B:$B,'Category Table'!$A210)</f>
        <v/>
      </c>
      <c r="AB210" s="112">
        <f>SUMIFS('Committments Dump'!$S:$S,'Committments Dump'!$C:$C,'Category Table'!AB$2,'Committments Dump'!$B:$B,'Category Table'!$A210)</f>
        <v/>
      </c>
      <c r="AC210" s="112">
        <f>SUMIFS('Committments Dump'!$S:$S,'Committments Dump'!$C:$C,'Category Table'!AC$2,'Committments Dump'!$B:$B,'Category Table'!$A210)</f>
        <v/>
      </c>
      <c r="AD210" s="111">
        <f>U210+X210+AA210</f>
        <v/>
      </c>
      <c r="AE210" s="112">
        <f>V210+Y210+AB210</f>
        <v/>
      </c>
      <c r="AF210" s="112">
        <f>W210+Z210+AC210</f>
        <v/>
      </c>
      <c r="AG210" s="111">
        <f>R210+AD210</f>
        <v/>
      </c>
      <c r="AH210" s="112">
        <f>S210+AE210</f>
        <v/>
      </c>
      <c r="AI210" s="112">
        <f>T210+AF210</f>
        <v/>
      </c>
      <c r="AJ210" s="111" t="n"/>
      <c r="AK210" s="112" t="n"/>
      <c r="AL210" s="112" t="n"/>
      <c r="AM210" s="111">
        <f>(O210-AG210)+AJ210</f>
        <v/>
      </c>
      <c r="AN210" s="112">
        <f>(P210-AH210)+AK210</f>
        <v/>
      </c>
      <c r="AO210" s="112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13" t="n"/>
      <c r="D211" s="114" t="n"/>
      <c r="E211" s="114" t="n"/>
      <c r="F211" s="113" t="n"/>
      <c r="G211" s="114" t="n"/>
      <c r="H211" s="114" t="n"/>
      <c r="I211" s="113" t="n"/>
      <c r="J211" s="114" t="n"/>
      <c r="K211" s="114" t="n"/>
      <c r="L211" s="113" t="n"/>
      <c r="M211" s="114" t="n"/>
      <c r="N211" s="114" t="n"/>
      <c r="O211" s="113">
        <f>L211+I211+F211+C211</f>
        <v/>
      </c>
      <c r="P211" s="114">
        <f>M211+J211+G211+D211</f>
        <v/>
      </c>
      <c r="Q211" s="114">
        <f>N211+K211+H211+E211</f>
        <v/>
      </c>
      <c r="R211" s="113">
        <f>SUMIFS('PO Log'!$E:$E,'PO Log'!$D:$D,'Category Table'!R$2,'PO Log'!$C:$C,'Category Table'!$A211)</f>
        <v/>
      </c>
      <c r="S211" s="114">
        <f>SUMIFS('PO Log'!$E:$E,'PO Log'!$D:$D,'Category Table'!S$2,'PO Log'!$C:$C,'Category Table'!$A211)</f>
        <v/>
      </c>
      <c r="T211" s="114">
        <f>SUMIFS('PO Log'!$E:$E,'PO Log'!$D:$D,'Category Table'!T$2,'PO Log'!$C:$C,'Category Table'!$A211)</f>
        <v/>
      </c>
      <c r="U211" s="113">
        <f>SUMIFS('Committments Dump'!$Q:$Q,'Committments Dump'!$C:$C,'Category Table'!U$2,'Committments Dump'!$B:$B,'Category Table'!$A211)</f>
        <v/>
      </c>
      <c r="V211" s="114">
        <f>SUMIFS('Committments Dump'!$Q:$Q,'Committments Dump'!$C:$C,'Category Table'!V$2,'Committments Dump'!$B:$B,'Category Table'!$A211)</f>
        <v/>
      </c>
      <c r="W211" s="114">
        <f>SUMIFS('Committments Dump'!$Q:$Q,'Committments Dump'!$C:$C,'Category Table'!W$2,'Committments Dump'!$B:$B,'Category Table'!$A211)</f>
        <v/>
      </c>
      <c r="X211" s="113">
        <f>SUMIFS('Committments Dump'!$R:$R,'Committments Dump'!$C:$C,'Category Table'!X$2,'Committments Dump'!$B:$B,'Category Table'!$A211)</f>
        <v/>
      </c>
      <c r="Y211" s="114">
        <f>SUMIFS('Committments Dump'!$R:$R,'Committments Dump'!$C:$C,'Category Table'!Y$2,'Committments Dump'!$B:$B,'Category Table'!$A211)</f>
        <v/>
      </c>
      <c r="Z211" s="114">
        <f>SUMIFS('Committments Dump'!$R:$R,'Committments Dump'!$C:$C,'Category Table'!Z$2,'Committments Dump'!$B:$B,'Category Table'!$A211)</f>
        <v/>
      </c>
      <c r="AA211" s="113">
        <f>SUMIFS('Committments Dump'!$S:$S,'Committments Dump'!$C:$C,'Category Table'!AA$2,'Committments Dump'!$B:$B,'Category Table'!$A211)</f>
        <v/>
      </c>
      <c r="AB211" s="114">
        <f>SUMIFS('Committments Dump'!$S:$S,'Committments Dump'!$C:$C,'Category Table'!AB$2,'Committments Dump'!$B:$B,'Category Table'!$A211)</f>
        <v/>
      </c>
      <c r="AC211" s="114">
        <f>SUMIFS('Committments Dump'!$S:$S,'Committments Dump'!$C:$C,'Category Table'!AC$2,'Committments Dump'!$B:$B,'Category Table'!$A211)</f>
        <v/>
      </c>
      <c r="AD211" s="113">
        <f>U211+X211+AA211</f>
        <v/>
      </c>
      <c r="AE211" s="114">
        <f>V211+Y211+AB211</f>
        <v/>
      </c>
      <c r="AF211" s="114">
        <f>W211+Z211+AC211</f>
        <v/>
      </c>
      <c r="AG211" s="113">
        <f>R211+AD211</f>
        <v/>
      </c>
      <c r="AH211" s="114">
        <f>S211+AE211</f>
        <v/>
      </c>
      <c r="AI211" s="114">
        <f>T211+AF211</f>
        <v/>
      </c>
      <c r="AJ211" s="113" t="n"/>
      <c r="AK211" s="114" t="n"/>
      <c r="AL211" s="114" t="n"/>
      <c r="AM211" s="113">
        <f>(O211-AG211)+AJ211</f>
        <v/>
      </c>
      <c r="AN211" s="114">
        <f>(P211-AH211)+AK211</f>
        <v/>
      </c>
      <c r="AO211" s="114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11" t="n"/>
      <c r="D212" s="112" t="n"/>
      <c r="E212" s="112" t="n"/>
      <c r="F212" s="111" t="n"/>
      <c r="G212" s="112" t="n"/>
      <c r="H212" s="112" t="n"/>
      <c r="I212" s="111" t="n"/>
      <c r="J212" s="112" t="n"/>
      <c r="K212" s="112" t="n"/>
      <c r="L212" s="111" t="n"/>
      <c r="M212" s="112" t="n"/>
      <c r="N212" s="112" t="n"/>
      <c r="O212" s="111">
        <f>L212+I212+F212+C212</f>
        <v/>
      </c>
      <c r="P212" s="112">
        <f>M212+J212+G212+D212</f>
        <v/>
      </c>
      <c r="Q212" s="112">
        <f>N212+K212+H212+E212</f>
        <v/>
      </c>
      <c r="R212" s="111">
        <f>SUMIFS('PO Log'!$E:$E,'PO Log'!$D:$D,'Category Table'!R$2,'PO Log'!$C:$C,'Category Table'!$A212)</f>
        <v/>
      </c>
      <c r="S212" s="112">
        <f>SUMIFS('PO Log'!$E:$E,'PO Log'!$D:$D,'Category Table'!S$2,'PO Log'!$C:$C,'Category Table'!$A212)</f>
        <v/>
      </c>
      <c r="T212" s="112">
        <f>SUMIFS('PO Log'!$E:$E,'PO Log'!$D:$D,'Category Table'!T$2,'PO Log'!$C:$C,'Category Table'!$A212)</f>
        <v/>
      </c>
      <c r="U212" s="111">
        <f>SUMIFS('Committments Dump'!$Q:$Q,'Committments Dump'!$C:$C,'Category Table'!U$2,'Committments Dump'!$B:$B,'Category Table'!$A212)</f>
        <v/>
      </c>
      <c r="V212" s="112">
        <f>SUMIFS('Committments Dump'!$Q:$Q,'Committments Dump'!$C:$C,'Category Table'!V$2,'Committments Dump'!$B:$B,'Category Table'!$A212)</f>
        <v/>
      </c>
      <c r="W212" s="112">
        <f>SUMIFS('Committments Dump'!$Q:$Q,'Committments Dump'!$C:$C,'Category Table'!W$2,'Committments Dump'!$B:$B,'Category Table'!$A212)</f>
        <v/>
      </c>
      <c r="X212" s="111">
        <f>SUMIFS('Committments Dump'!$R:$R,'Committments Dump'!$C:$C,'Category Table'!X$2,'Committments Dump'!$B:$B,'Category Table'!$A212)</f>
        <v/>
      </c>
      <c r="Y212" s="112">
        <f>SUMIFS('Committments Dump'!$R:$R,'Committments Dump'!$C:$C,'Category Table'!Y$2,'Committments Dump'!$B:$B,'Category Table'!$A212)</f>
        <v/>
      </c>
      <c r="Z212" s="112">
        <f>SUMIFS('Committments Dump'!$R:$R,'Committments Dump'!$C:$C,'Category Table'!Z$2,'Committments Dump'!$B:$B,'Category Table'!$A212)</f>
        <v/>
      </c>
      <c r="AA212" s="111">
        <f>SUMIFS('Committments Dump'!$S:$S,'Committments Dump'!$C:$C,'Category Table'!AA$2,'Committments Dump'!$B:$B,'Category Table'!$A212)</f>
        <v/>
      </c>
      <c r="AB212" s="112">
        <f>SUMIFS('Committments Dump'!$S:$S,'Committments Dump'!$C:$C,'Category Table'!AB$2,'Committments Dump'!$B:$B,'Category Table'!$A212)</f>
        <v/>
      </c>
      <c r="AC212" s="112">
        <f>SUMIFS('Committments Dump'!$S:$S,'Committments Dump'!$C:$C,'Category Table'!AC$2,'Committments Dump'!$B:$B,'Category Table'!$A212)</f>
        <v/>
      </c>
      <c r="AD212" s="111">
        <f>U212+X212+AA212</f>
        <v/>
      </c>
      <c r="AE212" s="112">
        <f>V212+Y212+AB212</f>
        <v/>
      </c>
      <c r="AF212" s="112">
        <f>W212+Z212+AC212</f>
        <v/>
      </c>
      <c r="AG212" s="111">
        <f>R212+AD212</f>
        <v/>
      </c>
      <c r="AH212" s="112">
        <f>S212+AE212</f>
        <v/>
      </c>
      <c r="AI212" s="112">
        <f>T212+AF212</f>
        <v/>
      </c>
      <c r="AJ212" s="111" t="n"/>
      <c r="AK212" s="112" t="n"/>
      <c r="AL212" s="112" t="n"/>
      <c r="AM212" s="111">
        <f>(O212-AG212)+AJ212</f>
        <v/>
      </c>
      <c r="AN212" s="112">
        <f>(P212-AH212)+AK212</f>
        <v/>
      </c>
      <c r="AO212" s="112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13" t="n"/>
      <c r="D213" s="114" t="n"/>
      <c r="E213" s="114" t="n"/>
      <c r="F213" s="113" t="n"/>
      <c r="G213" s="114" t="n"/>
      <c r="H213" s="114" t="n"/>
      <c r="I213" s="113" t="n"/>
      <c r="J213" s="114" t="n"/>
      <c r="K213" s="114" t="n"/>
      <c r="L213" s="113" t="n"/>
      <c r="M213" s="114" t="n"/>
      <c r="N213" s="114" t="n"/>
      <c r="O213" s="113">
        <f>L213+I213+F213+C213</f>
        <v/>
      </c>
      <c r="P213" s="114">
        <f>M213+J213+G213+D213</f>
        <v/>
      </c>
      <c r="Q213" s="114">
        <f>N213+K213+H213+E213</f>
        <v/>
      </c>
      <c r="R213" s="113">
        <f>SUMIFS('PO Log'!$E:$E,'PO Log'!$D:$D,'Category Table'!R$2,'PO Log'!$C:$C,'Category Table'!$A213)</f>
        <v/>
      </c>
      <c r="S213" s="114">
        <f>SUMIFS('PO Log'!$E:$E,'PO Log'!$D:$D,'Category Table'!S$2,'PO Log'!$C:$C,'Category Table'!$A213)</f>
        <v/>
      </c>
      <c r="T213" s="114">
        <f>SUMIFS('PO Log'!$E:$E,'PO Log'!$D:$D,'Category Table'!T$2,'PO Log'!$C:$C,'Category Table'!$A213)</f>
        <v/>
      </c>
      <c r="U213" s="113">
        <f>SUMIFS('Committments Dump'!$Q:$Q,'Committments Dump'!$C:$C,'Category Table'!U$2,'Committments Dump'!$B:$B,'Category Table'!$A213)</f>
        <v/>
      </c>
      <c r="V213" s="114">
        <f>SUMIFS('Committments Dump'!$Q:$Q,'Committments Dump'!$C:$C,'Category Table'!V$2,'Committments Dump'!$B:$B,'Category Table'!$A213)</f>
        <v/>
      </c>
      <c r="W213" s="114">
        <f>SUMIFS('Committments Dump'!$Q:$Q,'Committments Dump'!$C:$C,'Category Table'!W$2,'Committments Dump'!$B:$B,'Category Table'!$A213)</f>
        <v/>
      </c>
      <c r="X213" s="113">
        <f>SUMIFS('Committments Dump'!$R:$R,'Committments Dump'!$C:$C,'Category Table'!X$2,'Committments Dump'!$B:$B,'Category Table'!$A213)</f>
        <v/>
      </c>
      <c r="Y213" s="114">
        <f>SUMIFS('Committments Dump'!$R:$R,'Committments Dump'!$C:$C,'Category Table'!Y$2,'Committments Dump'!$B:$B,'Category Table'!$A213)</f>
        <v/>
      </c>
      <c r="Z213" s="114">
        <f>SUMIFS('Committments Dump'!$R:$R,'Committments Dump'!$C:$C,'Category Table'!Z$2,'Committments Dump'!$B:$B,'Category Table'!$A213)</f>
        <v/>
      </c>
      <c r="AA213" s="113">
        <f>SUMIFS('Committments Dump'!$S:$S,'Committments Dump'!$C:$C,'Category Table'!AA$2,'Committments Dump'!$B:$B,'Category Table'!$A213)</f>
        <v/>
      </c>
      <c r="AB213" s="114">
        <f>SUMIFS('Committments Dump'!$S:$S,'Committments Dump'!$C:$C,'Category Table'!AB$2,'Committments Dump'!$B:$B,'Category Table'!$A213)</f>
        <v/>
      </c>
      <c r="AC213" s="114">
        <f>SUMIFS('Committments Dump'!$S:$S,'Committments Dump'!$C:$C,'Category Table'!AC$2,'Committments Dump'!$B:$B,'Category Table'!$A213)</f>
        <v/>
      </c>
      <c r="AD213" s="113">
        <f>U213+X213+AA213</f>
        <v/>
      </c>
      <c r="AE213" s="114">
        <f>V213+Y213+AB213</f>
        <v/>
      </c>
      <c r="AF213" s="114">
        <f>W213+Z213+AC213</f>
        <v/>
      </c>
      <c r="AG213" s="113">
        <f>R213+AD213</f>
        <v/>
      </c>
      <c r="AH213" s="114">
        <f>S213+AE213</f>
        <v/>
      </c>
      <c r="AI213" s="114">
        <f>T213+AF213</f>
        <v/>
      </c>
      <c r="AJ213" s="113" t="n"/>
      <c r="AK213" s="114" t="n"/>
      <c r="AL213" s="114" t="n"/>
      <c r="AM213" s="113">
        <f>(O213-AG213)+AJ213</f>
        <v/>
      </c>
      <c r="AN213" s="114">
        <f>(P213-AH213)+AK213</f>
        <v/>
      </c>
      <c r="AO213" s="114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11" t="n"/>
      <c r="D214" s="112" t="n"/>
      <c r="E214" s="112" t="n"/>
      <c r="F214" s="111" t="n"/>
      <c r="G214" s="112" t="n"/>
      <c r="H214" s="112" t="n"/>
      <c r="I214" s="111" t="n"/>
      <c r="J214" s="112" t="n"/>
      <c r="K214" s="112" t="n"/>
      <c r="L214" s="111" t="n"/>
      <c r="M214" s="112" t="n"/>
      <c r="N214" s="112" t="n"/>
      <c r="O214" s="111">
        <f>L214+I214+F214+C214</f>
        <v/>
      </c>
      <c r="P214" s="112">
        <f>M214+J214+G214+D214</f>
        <v/>
      </c>
      <c r="Q214" s="112">
        <f>N214+K214+H214+E214</f>
        <v/>
      </c>
      <c r="R214" s="111">
        <f>SUMIFS('PO Log'!$E:$E,'PO Log'!$D:$D,'Category Table'!R$2,'PO Log'!$C:$C,'Category Table'!$A214)</f>
        <v/>
      </c>
      <c r="S214" s="112">
        <f>SUMIFS('PO Log'!$E:$E,'PO Log'!$D:$D,'Category Table'!S$2,'PO Log'!$C:$C,'Category Table'!$A214)</f>
        <v/>
      </c>
      <c r="T214" s="112">
        <f>SUMIFS('PO Log'!$E:$E,'PO Log'!$D:$D,'Category Table'!T$2,'PO Log'!$C:$C,'Category Table'!$A214)</f>
        <v/>
      </c>
      <c r="U214" s="111">
        <f>SUMIFS('Committments Dump'!$Q:$Q,'Committments Dump'!$C:$C,'Category Table'!U$2,'Committments Dump'!$B:$B,'Category Table'!$A214)</f>
        <v/>
      </c>
      <c r="V214" s="112">
        <f>SUMIFS('Committments Dump'!$Q:$Q,'Committments Dump'!$C:$C,'Category Table'!V$2,'Committments Dump'!$B:$B,'Category Table'!$A214)</f>
        <v/>
      </c>
      <c r="W214" s="112">
        <f>SUMIFS('Committments Dump'!$Q:$Q,'Committments Dump'!$C:$C,'Category Table'!W$2,'Committments Dump'!$B:$B,'Category Table'!$A214)</f>
        <v/>
      </c>
      <c r="X214" s="111">
        <f>SUMIFS('Committments Dump'!$R:$R,'Committments Dump'!$C:$C,'Category Table'!X$2,'Committments Dump'!$B:$B,'Category Table'!$A214)</f>
        <v/>
      </c>
      <c r="Y214" s="112">
        <f>SUMIFS('Committments Dump'!$R:$R,'Committments Dump'!$C:$C,'Category Table'!Y$2,'Committments Dump'!$B:$B,'Category Table'!$A214)</f>
        <v/>
      </c>
      <c r="Z214" s="112">
        <f>SUMIFS('Committments Dump'!$R:$R,'Committments Dump'!$C:$C,'Category Table'!Z$2,'Committments Dump'!$B:$B,'Category Table'!$A214)</f>
        <v/>
      </c>
      <c r="AA214" s="111">
        <f>SUMIFS('Committments Dump'!$S:$S,'Committments Dump'!$C:$C,'Category Table'!AA$2,'Committments Dump'!$B:$B,'Category Table'!$A214)</f>
        <v/>
      </c>
      <c r="AB214" s="112">
        <f>SUMIFS('Committments Dump'!$S:$S,'Committments Dump'!$C:$C,'Category Table'!AB$2,'Committments Dump'!$B:$B,'Category Table'!$A214)</f>
        <v/>
      </c>
      <c r="AC214" s="112">
        <f>SUMIFS('Committments Dump'!$S:$S,'Committments Dump'!$C:$C,'Category Table'!AC$2,'Committments Dump'!$B:$B,'Category Table'!$A214)</f>
        <v/>
      </c>
      <c r="AD214" s="111">
        <f>U214+X214+AA214</f>
        <v/>
      </c>
      <c r="AE214" s="112">
        <f>V214+Y214+AB214</f>
        <v/>
      </c>
      <c r="AF214" s="112">
        <f>W214+Z214+AC214</f>
        <v/>
      </c>
      <c r="AG214" s="111">
        <f>R214+AD214</f>
        <v/>
      </c>
      <c r="AH214" s="112">
        <f>S214+AE214</f>
        <v/>
      </c>
      <c r="AI214" s="112">
        <f>T214+AF214</f>
        <v/>
      </c>
      <c r="AJ214" s="111" t="n"/>
      <c r="AK214" s="112" t="n"/>
      <c r="AL214" s="112" t="n"/>
      <c r="AM214" s="111">
        <f>(O214-AG214)+AJ214</f>
        <v/>
      </c>
      <c r="AN214" s="112">
        <f>(P214-AH214)+AK214</f>
        <v/>
      </c>
      <c r="AO214" s="112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13" t="n"/>
      <c r="D215" s="114" t="n"/>
      <c r="E215" s="114" t="n"/>
      <c r="F215" s="113" t="n"/>
      <c r="G215" s="114" t="n"/>
      <c r="H215" s="114" t="n"/>
      <c r="I215" s="113" t="n"/>
      <c r="J215" s="114" t="n"/>
      <c r="K215" s="114" t="n"/>
      <c r="L215" s="113" t="n"/>
      <c r="M215" s="114" t="n"/>
      <c r="N215" s="114" t="n"/>
      <c r="O215" s="113">
        <f>L215+I215+F215+C215</f>
        <v/>
      </c>
      <c r="P215" s="114">
        <f>M215+J215+G215+D215</f>
        <v/>
      </c>
      <c r="Q215" s="114">
        <f>N215+K215+H215+E215</f>
        <v/>
      </c>
      <c r="R215" s="113">
        <f>SUMIFS('PO Log'!$E:$E,'PO Log'!$D:$D,'Category Table'!R$2,'PO Log'!$C:$C,'Category Table'!$A215)</f>
        <v/>
      </c>
      <c r="S215" s="114">
        <f>SUMIFS('PO Log'!$E:$E,'PO Log'!$D:$D,'Category Table'!S$2,'PO Log'!$C:$C,'Category Table'!$A215)</f>
        <v/>
      </c>
      <c r="T215" s="114">
        <f>SUMIFS('PO Log'!$E:$E,'PO Log'!$D:$D,'Category Table'!T$2,'PO Log'!$C:$C,'Category Table'!$A215)</f>
        <v/>
      </c>
      <c r="U215" s="113">
        <f>SUMIFS('Committments Dump'!$Q:$Q,'Committments Dump'!$C:$C,'Category Table'!U$2,'Committments Dump'!$B:$B,'Category Table'!$A215)</f>
        <v/>
      </c>
      <c r="V215" s="114">
        <f>SUMIFS('Committments Dump'!$Q:$Q,'Committments Dump'!$C:$C,'Category Table'!V$2,'Committments Dump'!$B:$B,'Category Table'!$A215)</f>
        <v/>
      </c>
      <c r="W215" s="114">
        <f>SUMIFS('Committments Dump'!$Q:$Q,'Committments Dump'!$C:$C,'Category Table'!W$2,'Committments Dump'!$B:$B,'Category Table'!$A215)</f>
        <v/>
      </c>
      <c r="X215" s="113">
        <f>SUMIFS('Committments Dump'!$R:$R,'Committments Dump'!$C:$C,'Category Table'!X$2,'Committments Dump'!$B:$B,'Category Table'!$A215)</f>
        <v/>
      </c>
      <c r="Y215" s="114">
        <f>SUMIFS('Committments Dump'!$R:$R,'Committments Dump'!$C:$C,'Category Table'!Y$2,'Committments Dump'!$B:$B,'Category Table'!$A215)</f>
        <v/>
      </c>
      <c r="Z215" s="114">
        <f>SUMIFS('Committments Dump'!$R:$R,'Committments Dump'!$C:$C,'Category Table'!Z$2,'Committments Dump'!$B:$B,'Category Table'!$A215)</f>
        <v/>
      </c>
      <c r="AA215" s="113">
        <f>SUMIFS('Committments Dump'!$S:$S,'Committments Dump'!$C:$C,'Category Table'!AA$2,'Committments Dump'!$B:$B,'Category Table'!$A215)</f>
        <v/>
      </c>
      <c r="AB215" s="114">
        <f>SUMIFS('Committments Dump'!$S:$S,'Committments Dump'!$C:$C,'Category Table'!AB$2,'Committments Dump'!$B:$B,'Category Table'!$A215)</f>
        <v/>
      </c>
      <c r="AC215" s="114">
        <f>SUMIFS('Committments Dump'!$S:$S,'Committments Dump'!$C:$C,'Category Table'!AC$2,'Committments Dump'!$B:$B,'Category Table'!$A215)</f>
        <v/>
      </c>
      <c r="AD215" s="113">
        <f>U215+X215+AA215</f>
        <v/>
      </c>
      <c r="AE215" s="114">
        <f>V215+Y215+AB215</f>
        <v/>
      </c>
      <c r="AF215" s="114">
        <f>W215+Z215+AC215</f>
        <v/>
      </c>
      <c r="AG215" s="113">
        <f>R215+AD215</f>
        <v/>
      </c>
      <c r="AH215" s="114">
        <f>S215+AE215</f>
        <v/>
      </c>
      <c r="AI215" s="114">
        <f>T215+AF215</f>
        <v/>
      </c>
      <c r="AJ215" s="113" t="n"/>
      <c r="AK215" s="114" t="n"/>
      <c r="AL215" s="114" t="n"/>
      <c r="AM215" s="113">
        <f>(O215-AG215)+AJ215</f>
        <v/>
      </c>
      <c r="AN215" s="114">
        <f>(P215-AH215)+AK215</f>
        <v/>
      </c>
      <c r="AO215" s="114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11" t="n"/>
      <c r="D216" s="112" t="n"/>
      <c r="E216" s="112" t="n"/>
      <c r="F216" s="111" t="n"/>
      <c r="G216" s="112" t="n"/>
      <c r="H216" s="112" t="n"/>
      <c r="I216" s="111" t="n"/>
      <c r="J216" s="112" t="n"/>
      <c r="K216" s="112" t="n"/>
      <c r="L216" s="111" t="n"/>
      <c r="M216" s="112" t="n"/>
      <c r="N216" s="112" t="n"/>
      <c r="O216" s="111">
        <f>L216+I216+F216+C216</f>
        <v/>
      </c>
      <c r="P216" s="112">
        <f>M216+J216+G216+D216</f>
        <v/>
      </c>
      <c r="Q216" s="112">
        <f>N216+K216+H216+E216</f>
        <v/>
      </c>
      <c r="R216" s="111">
        <f>SUMIFS('PO Log'!$E:$E,'PO Log'!$D:$D,'Category Table'!R$2,'PO Log'!$C:$C,'Category Table'!$A216)</f>
        <v/>
      </c>
      <c r="S216" s="112">
        <f>SUMIFS('PO Log'!$E:$E,'PO Log'!$D:$D,'Category Table'!S$2,'PO Log'!$C:$C,'Category Table'!$A216)</f>
        <v/>
      </c>
      <c r="T216" s="112">
        <f>SUMIFS('PO Log'!$E:$E,'PO Log'!$D:$D,'Category Table'!T$2,'PO Log'!$C:$C,'Category Table'!$A216)</f>
        <v/>
      </c>
      <c r="U216" s="111">
        <f>SUMIFS('Committments Dump'!$Q:$Q,'Committments Dump'!$C:$C,'Category Table'!U$2,'Committments Dump'!$B:$B,'Category Table'!$A216)</f>
        <v/>
      </c>
      <c r="V216" s="112">
        <f>SUMIFS('Committments Dump'!$Q:$Q,'Committments Dump'!$C:$C,'Category Table'!V$2,'Committments Dump'!$B:$B,'Category Table'!$A216)</f>
        <v/>
      </c>
      <c r="W216" s="112">
        <f>SUMIFS('Committments Dump'!$Q:$Q,'Committments Dump'!$C:$C,'Category Table'!W$2,'Committments Dump'!$B:$B,'Category Table'!$A216)</f>
        <v/>
      </c>
      <c r="X216" s="111">
        <f>SUMIFS('Committments Dump'!$R:$R,'Committments Dump'!$C:$C,'Category Table'!X$2,'Committments Dump'!$B:$B,'Category Table'!$A216)</f>
        <v/>
      </c>
      <c r="Y216" s="112">
        <f>SUMIFS('Committments Dump'!$R:$R,'Committments Dump'!$C:$C,'Category Table'!Y$2,'Committments Dump'!$B:$B,'Category Table'!$A216)</f>
        <v/>
      </c>
      <c r="Z216" s="112">
        <f>SUMIFS('Committments Dump'!$R:$R,'Committments Dump'!$C:$C,'Category Table'!Z$2,'Committments Dump'!$B:$B,'Category Table'!$A216)</f>
        <v/>
      </c>
      <c r="AA216" s="111">
        <f>SUMIFS('Committments Dump'!$S:$S,'Committments Dump'!$C:$C,'Category Table'!AA$2,'Committments Dump'!$B:$B,'Category Table'!$A216)</f>
        <v/>
      </c>
      <c r="AB216" s="112">
        <f>SUMIFS('Committments Dump'!$S:$S,'Committments Dump'!$C:$C,'Category Table'!AB$2,'Committments Dump'!$B:$B,'Category Table'!$A216)</f>
        <v/>
      </c>
      <c r="AC216" s="112">
        <f>SUMIFS('Committments Dump'!$S:$S,'Committments Dump'!$C:$C,'Category Table'!AC$2,'Committments Dump'!$B:$B,'Category Table'!$A216)</f>
        <v/>
      </c>
      <c r="AD216" s="111">
        <f>U216+X216+AA216</f>
        <v/>
      </c>
      <c r="AE216" s="112">
        <f>V216+Y216+AB216</f>
        <v/>
      </c>
      <c r="AF216" s="112">
        <f>W216+Z216+AC216</f>
        <v/>
      </c>
      <c r="AG216" s="111">
        <f>R216+AD216</f>
        <v/>
      </c>
      <c r="AH216" s="112">
        <f>S216+AE216</f>
        <v/>
      </c>
      <c r="AI216" s="112">
        <f>T216+AF216</f>
        <v/>
      </c>
      <c r="AJ216" s="111" t="n"/>
      <c r="AK216" s="112" t="n"/>
      <c r="AL216" s="112" t="n"/>
      <c r="AM216" s="111">
        <f>(O216-AG216)+AJ216</f>
        <v/>
      </c>
      <c r="AN216" s="112">
        <f>(P216-AH216)+AK216</f>
        <v/>
      </c>
      <c r="AO216" s="112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13" t="n"/>
      <c r="D217" s="114" t="n"/>
      <c r="E217" s="114" t="n"/>
      <c r="F217" s="113" t="n"/>
      <c r="G217" s="114" t="n"/>
      <c r="H217" s="114" t="n"/>
      <c r="I217" s="113" t="n"/>
      <c r="J217" s="114" t="n"/>
      <c r="K217" s="114" t="n"/>
      <c r="L217" s="113" t="n"/>
      <c r="M217" s="114" t="n"/>
      <c r="N217" s="114" t="n"/>
      <c r="O217" s="113">
        <f>L217+I217+F217+C217</f>
        <v/>
      </c>
      <c r="P217" s="114">
        <f>M217+J217+G217+D217</f>
        <v/>
      </c>
      <c r="Q217" s="114">
        <f>N217+K217+H217+E217</f>
        <v/>
      </c>
      <c r="R217" s="113">
        <f>SUMIFS('PO Log'!$E:$E,'PO Log'!$D:$D,'Category Table'!R$2,'PO Log'!$C:$C,'Category Table'!$A217)</f>
        <v/>
      </c>
      <c r="S217" s="114">
        <f>SUMIFS('PO Log'!$E:$E,'PO Log'!$D:$D,'Category Table'!S$2,'PO Log'!$C:$C,'Category Table'!$A217)</f>
        <v/>
      </c>
      <c r="T217" s="114">
        <f>SUMIFS('PO Log'!$E:$E,'PO Log'!$D:$D,'Category Table'!T$2,'PO Log'!$C:$C,'Category Table'!$A217)</f>
        <v/>
      </c>
      <c r="U217" s="113">
        <f>SUMIFS('Committments Dump'!$Q:$Q,'Committments Dump'!$C:$C,'Category Table'!U$2,'Committments Dump'!$B:$B,'Category Table'!$A217)</f>
        <v/>
      </c>
      <c r="V217" s="114">
        <f>SUMIFS('Committments Dump'!$Q:$Q,'Committments Dump'!$C:$C,'Category Table'!V$2,'Committments Dump'!$B:$B,'Category Table'!$A217)</f>
        <v/>
      </c>
      <c r="W217" s="114">
        <f>SUMIFS('Committments Dump'!$Q:$Q,'Committments Dump'!$C:$C,'Category Table'!W$2,'Committments Dump'!$B:$B,'Category Table'!$A217)</f>
        <v/>
      </c>
      <c r="X217" s="113">
        <f>SUMIFS('Committments Dump'!$R:$R,'Committments Dump'!$C:$C,'Category Table'!X$2,'Committments Dump'!$B:$B,'Category Table'!$A217)</f>
        <v/>
      </c>
      <c r="Y217" s="114">
        <f>SUMIFS('Committments Dump'!$R:$R,'Committments Dump'!$C:$C,'Category Table'!Y$2,'Committments Dump'!$B:$B,'Category Table'!$A217)</f>
        <v/>
      </c>
      <c r="Z217" s="114">
        <f>SUMIFS('Committments Dump'!$R:$R,'Committments Dump'!$C:$C,'Category Table'!Z$2,'Committments Dump'!$B:$B,'Category Table'!$A217)</f>
        <v/>
      </c>
      <c r="AA217" s="113">
        <f>SUMIFS('Committments Dump'!$S:$S,'Committments Dump'!$C:$C,'Category Table'!AA$2,'Committments Dump'!$B:$B,'Category Table'!$A217)</f>
        <v/>
      </c>
      <c r="AB217" s="114">
        <f>SUMIFS('Committments Dump'!$S:$S,'Committments Dump'!$C:$C,'Category Table'!AB$2,'Committments Dump'!$B:$B,'Category Table'!$A217)</f>
        <v/>
      </c>
      <c r="AC217" s="114">
        <f>SUMIFS('Committments Dump'!$S:$S,'Committments Dump'!$C:$C,'Category Table'!AC$2,'Committments Dump'!$B:$B,'Category Table'!$A217)</f>
        <v/>
      </c>
      <c r="AD217" s="113">
        <f>U217+X217+AA217</f>
        <v/>
      </c>
      <c r="AE217" s="114">
        <f>V217+Y217+AB217</f>
        <v/>
      </c>
      <c r="AF217" s="114">
        <f>W217+Z217+AC217</f>
        <v/>
      </c>
      <c r="AG217" s="113">
        <f>R217+AD217</f>
        <v/>
      </c>
      <c r="AH217" s="114">
        <f>S217+AE217</f>
        <v/>
      </c>
      <c r="AI217" s="114">
        <f>T217+AF217</f>
        <v/>
      </c>
      <c r="AJ217" s="113" t="n"/>
      <c r="AK217" s="114" t="n"/>
      <c r="AL217" s="114" t="n"/>
      <c r="AM217" s="113">
        <f>(O217-AG217)+AJ217</f>
        <v/>
      </c>
      <c r="AN217" s="114">
        <f>(P217-AH217)+AK217</f>
        <v/>
      </c>
      <c r="AO217" s="114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11" t="n"/>
      <c r="D218" s="112" t="n"/>
      <c r="E218" s="112" t="n"/>
      <c r="F218" s="111" t="n"/>
      <c r="G218" s="112" t="n"/>
      <c r="H218" s="112" t="n"/>
      <c r="I218" s="111" t="n"/>
      <c r="J218" s="112" t="n"/>
      <c r="K218" s="112" t="n"/>
      <c r="L218" s="111" t="n"/>
      <c r="M218" s="112" t="n"/>
      <c r="N218" s="112" t="n"/>
      <c r="O218" s="111">
        <f>L218+I218+F218+C218</f>
        <v/>
      </c>
      <c r="P218" s="112">
        <f>M218+J218+G218+D218</f>
        <v/>
      </c>
      <c r="Q218" s="112">
        <f>N218+K218+H218+E218</f>
        <v/>
      </c>
      <c r="R218" s="111">
        <f>SUMIFS('PO Log'!$E:$E,'PO Log'!$D:$D,'Category Table'!R$2,'PO Log'!$C:$C,'Category Table'!$A218)</f>
        <v/>
      </c>
      <c r="S218" s="112">
        <f>SUMIFS('PO Log'!$E:$E,'PO Log'!$D:$D,'Category Table'!S$2,'PO Log'!$C:$C,'Category Table'!$A218)</f>
        <v/>
      </c>
      <c r="T218" s="112">
        <f>SUMIFS('PO Log'!$E:$E,'PO Log'!$D:$D,'Category Table'!T$2,'PO Log'!$C:$C,'Category Table'!$A218)</f>
        <v/>
      </c>
      <c r="U218" s="111">
        <f>SUMIFS('Committments Dump'!$Q:$Q,'Committments Dump'!$C:$C,'Category Table'!U$2,'Committments Dump'!$B:$B,'Category Table'!$A218)</f>
        <v/>
      </c>
      <c r="V218" s="112">
        <f>SUMIFS('Committments Dump'!$Q:$Q,'Committments Dump'!$C:$C,'Category Table'!V$2,'Committments Dump'!$B:$B,'Category Table'!$A218)</f>
        <v/>
      </c>
      <c r="W218" s="112">
        <f>SUMIFS('Committments Dump'!$Q:$Q,'Committments Dump'!$C:$C,'Category Table'!W$2,'Committments Dump'!$B:$B,'Category Table'!$A218)</f>
        <v/>
      </c>
      <c r="X218" s="111">
        <f>SUMIFS('Committments Dump'!$R:$R,'Committments Dump'!$C:$C,'Category Table'!X$2,'Committments Dump'!$B:$B,'Category Table'!$A218)</f>
        <v/>
      </c>
      <c r="Y218" s="112">
        <f>SUMIFS('Committments Dump'!$R:$R,'Committments Dump'!$C:$C,'Category Table'!Y$2,'Committments Dump'!$B:$B,'Category Table'!$A218)</f>
        <v/>
      </c>
      <c r="Z218" s="112">
        <f>SUMIFS('Committments Dump'!$R:$R,'Committments Dump'!$C:$C,'Category Table'!Z$2,'Committments Dump'!$B:$B,'Category Table'!$A218)</f>
        <v/>
      </c>
      <c r="AA218" s="111">
        <f>SUMIFS('Committments Dump'!$S:$S,'Committments Dump'!$C:$C,'Category Table'!AA$2,'Committments Dump'!$B:$B,'Category Table'!$A218)</f>
        <v/>
      </c>
      <c r="AB218" s="112">
        <f>SUMIFS('Committments Dump'!$S:$S,'Committments Dump'!$C:$C,'Category Table'!AB$2,'Committments Dump'!$B:$B,'Category Table'!$A218)</f>
        <v/>
      </c>
      <c r="AC218" s="112">
        <f>SUMIFS('Committments Dump'!$S:$S,'Committments Dump'!$C:$C,'Category Table'!AC$2,'Committments Dump'!$B:$B,'Category Table'!$A218)</f>
        <v/>
      </c>
      <c r="AD218" s="111">
        <f>U218+X218+AA218</f>
        <v/>
      </c>
      <c r="AE218" s="112">
        <f>V218+Y218+AB218</f>
        <v/>
      </c>
      <c r="AF218" s="112">
        <f>W218+Z218+AC218</f>
        <v/>
      </c>
      <c r="AG218" s="111">
        <f>R218+AD218</f>
        <v/>
      </c>
      <c r="AH218" s="112">
        <f>S218+AE218</f>
        <v/>
      </c>
      <c r="AI218" s="112">
        <f>T218+AF218</f>
        <v/>
      </c>
      <c r="AJ218" s="111" t="n"/>
      <c r="AK218" s="112" t="n"/>
      <c r="AL218" s="112" t="n"/>
      <c r="AM218" s="111">
        <f>(O218-AG218)+AJ218</f>
        <v/>
      </c>
      <c r="AN218" s="112">
        <f>(P218-AH218)+AK218</f>
        <v/>
      </c>
      <c r="AO218" s="112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13" t="n"/>
      <c r="D219" s="114" t="n"/>
      <c r="E219" s="114" t="n"/>
      <c r="F219" s="113" t="n"/>
      <c r="G219" s="114" t="n"/>
      <c r="H219" s="114" t="n"/>
      <c r="I219" s="113" t="n"/>
      <c r="J219" s="114" t="n"/>
      <c r="K219" s="114" t="n"/>
      <c r="L219" s="113" t="n"/>
      <c r="M219" s="114" t="n"/>
      <c r="N219" s="114" t="n"/>
      <c r="O219" s="113">
        <f>L219+I219+F219+C219</f>
        <v/>
      </c>
      <c r="P219" s="114">
        <f>M219+J219+G219+D219</f>
        <v/>
      </c>
      <c r="Q219" s="114">
        <f>N219+K219+H219+E219</f>
        <v/>
      </c>
      <c r="R219" s="113">
        <f>SUMIFS('PO Log'!$E:$E,'PO Log'!$D:$D,'Category Table'!R$2,'PO Log'!$C:$C,'Category Table'!$A219)</f>
        <v/>
      </c>
      <c r="S219" s="114">
        <f>SUMIFS('PO Log'!$E:$E,'PO Log'!$D:$D,'Category Table'!S$2,'PO Log'!$C:$C,'Category Table'!$A219)</f>
        <v/>
      </c>
      <c r="T219" s="114">
        <f>SUMIFS('PO Log'!$E:$E,'PO Log'!$D:$D,'Category Table'!T$2,'PO Log'!$C:$C,'Category Table'!$A219)</f>
        <v/>
      </c>
      <c r="U219" s="113">
        <f>SUMIFS('Committments Dump'!$Q:$Q,'Committments Dump'!$C:$C,'Category Table'!U$2,'Committments Dump'!$B:$B,'Category Table'!$A219)</f>
        <v/>
      </c>
      <c r="V219" s="114">
        <f>SUMIFS('Committments Dump'!$Q:$Q,'Committments Dump'!$C:$C,'Category Table'!V$2,'Committments Dump'!$B:$B,'Category Table'!$A219)</f>
        <v/>
      </c>
      <c r="W219" s="114">
        <f>SUMIFS('Committments Dump'!$Q:$Q,'Committments Dump'!$C:$C,'Category Table'!W$2,'Committments Dump'!$B:$B,'Category Table'!$A219)</f>
        <v/>
      </c>
      <c r="X219" s="113">
        <f>SUMIFS('Committments Dump'!$R:$R,'Committments Dump'!$C:$C,'Category Table'!X$2,'Committments Dump'!$B:$B,'Category Table'!$A219)</f>
        <v/>
      </c>
      <c r="Y219" s="114">
        <f>SUMIFS('Committments Dump'!$R:$R,'Committments Dump'!$C:$C,'Category Table'!Y$2,'Committments Dump'!$B:$B,'Category Table'!$A219)</f>
        <v/>
      </c>
      <c r="Z219" s="114">
        <f>SUMIFS('Committments Dump'!$R:$R,'Committments Dump'!$C:$C,'Category Table'!Z$2,'Committments Dump'!$B:$B,'Category Table'!$A219)</f>
        <v/>
      </c>
      <c r="AA219" s="113">
        <f>SUMIFS('Committments Dump'!$S:$S,'Committments Dump'!$C:$C,'Category Table'!AA$2,'Committments Dump'!$B:$B,'Category Table'!$A219)</f>
        <v/>
      </c>
      <c r="AB219" s="114">
        <f>SUMIFS('Committments Dump'!$S:$S,'Committments Dump'!$C:$C,'Category Table'!AB$2,'Committments Dump'!$B:$B,'Category Table'!$A219)</f>
        <v/>
      </c>
      <c r="AC219" s="114">
        <f>SUMIFS('Committments Dump'!$S:$S,'Committments Dump'!$C:$C,'Category Table'!AC$2,'Committments Dump'!$B:$B,'Category Table'!$A219)</f>
        <v/>
      </c>
      <c r="AD219" s="113">
        <f>U219+X219+AA219</f>
        <v/>
      </c>
      <c r="AE219" s="114">
        <f>V219+Y219+AB219</f>
        <v/>
      </c>
      <c r="AF219" s="114">
        <f>W219+Z219+AC219</f>
        <v/>
      </c>
      <c r="AG219" s="113">
        <f>R219+AD219</f>
        <v/>
      </c>
      <c r="AH219" s="114">
        <f>S219+AE219</f>
        <v/>
      </c>
      <c r="AI219" s="114">
        <f>T219+AF219</f>
        <v/>
      </c>
      <c r="AJ219" s="113" t="n"/>
      <c r="AK219" s="114" t="n"/>
      <c r="AL219" s="114" t="n"/>
      <c r="AM219" s="113">
        <f>(O219-AG219)+AJ219</f>
        <v/>
      </c>
      <c r="AN219" s="114">
        <f>(P219-AH219)+AK219</f>
        <v/>
      </c>
      <c r="AO219" s="114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11" t="n"/>
      <c r="D220" s="112" t="n"/>
      <c r="E220" s="112" t="n"/>
      <c r="F220" s="111" t="n"/>
      <c r="G220" s="112" t="n"/>
      <c r="H220" s="112" t="n"/>
      <c r="I220" s="111" t="n"/>
      <c r="J220" s="112" t="n"/>
      <c r="K220" s="112" t="n"/>
      <c r="L220" s="111" t="n"/>
      <c r="M220" s="112" t="n"/>
      <c r="N220" s="112" t="n"/>
      <c r="O220" s="111">
        <f>L220+I220+F220+C220</f>
        <v/>
      </c>
      <c r="P220" s="112">
        <f>M220+J220+G220+D220</f>
        <v/>
      </c>
      <c r="Q220" s="112">
        <f>N220+K220+H220+E220</f>
        <v/>
      </c>
      <c r="R220" s="111">
        <f>SUMIFS('PO Log'!$E:$E,'PO Log'!$D:$D,'Category Table'!R$2,'PO Log'!$C:$C,'Category Table'!$A220)</f>
        <v/>
      </c>
      <c r="S220" s="112">
        <f>SUMIFS('PO Log'!$E:$E,'PO Log'!$D:$D,'Category Table'!S$2,'PO Log'!$C:$C,'Category Table'!$A220)</f>
        <v/>
      </c>
      <c r="T220" s="112">
        <f>SUMIFS('PO Log'!$E:$E,'PO Log'!$D:$D,'Category Table'!T$2,'PO Log'!$C:$C,'Category Table'!$A220)</f>
        <v/>
      </c>
      <c r="U220" s="111">
        <f>SUMIFS('Committments Dump'!$Q:$Q,'Committments Dump'!$C:$C,'Category Table'!U$2,'Committments Dump'!$B:$B,'Category Table'!$A220)</f>
        <v/>
      </c>
      <c r="V220" s="112">
        <f>SUMIFS('Committments Dump'!$Q:$Q,'Committments Dump'!$C:$C,'Category Table'!V$2,'Committments Dump'!$B:$B,'Category Table'!$A220)</f>
        <v/>
      </c>
      <c r="W220" s="112">
        <f>SUMIFS('Committments Dump'!$Q:$Q,'Committments Dump'!$C:$C,'Category Table'!W$2,'Committments Dump'!$B:$B,'Category Table'!$A220)</f>
        <v/>
      </c>
      <c r="X220" s="111">
        <f>SUMIFS('Committments Dump'!$R:$R,'Committments Dump'!$C:$C,'Category Table'!X$2,'Committments Dump'!$B:$B,'Category Table'!$A220)</f>
        <v/>
      </c>
      <c r="Y220" s="112">
        <f>SUMIFS('Committments Dump'!$R:$R,'Committments Dump'!$C:$C,'Category Table'!Y$2,'Committments Dump'!$B:$B,'Category Table'!$A220)</f>
        <v/>
      </c>
      <c r="Z220" s="112">
        <f>SUMIFS('Committments Dump'!$R:$R,'Committments Dump'!$C:$C,'Category Table'!Z$2,'Committments Dump'!$B:$B,'Category Table'!$A220)</f>
        <v/>
      </c>
      <c r="AA220" s="111">
        <f>SUMIFS('Committments Dump'!$S:$S,'Committments Dump'!$C:$C,'Category Table'!AA$2,'Committments Dump'!$B:$B,'Category Table'!$A220)</f>
        <v/>
      </c>
      <c r="AB220" s="112">
        <f>SUMIFS('Committments Dump'!$S:$S,'Committments Dump'!$C:$C,'Category Table'!AB$2,'Committments Dump'!$B:$B,'Category Table'!$A220)</f>
        <v/>
      </c>
      <c r="AC220" s="112">
        <f>SUMIFS('Committments Dump'!$S:$S,'Committments Dump'!$C:$C,'Category Table'!AC$2,'Committments Dump'!$B:$B,'Category Table'!$A220)</f>
        <v/>
      </c>
      <c r="AD220" s="111">
        <f>U220+X220+AA220</f>
        <v/>
      </c>
      <c r="AE220" s="112">
        <f>V220+Y220+AB220</f>
        <v/>
      </c>
      <c r="AF220" s="112">
        <f>W220+Z220+AC220</f>
        <v/>
      </c>
      <c r="AG220" s="111">
        <f>R220+AD220</f>
        <v/>
      </c>
      <c r="AH220" s="112">
        <f>S220+AE220</f>
        <v/>
      </c>
      <c r="AI220" s="112">
        <f>T220+AF220</f>
        <v/>
      </c>
      <c r="AJ220" s="111" t="n"/>
      <c r="AK220" s="112" t="n"/>
      <c r="AL220" s="112" t="n"/>
      <c r="AM220" s="111">
        <f>(O220-AG220)+AJ220</f>
        <v/>
      </c>
      <c r="AN220" s="112">
        <f>(P220-AH220)+AK220</f>
        <v/>
      </c>
      <c r="AO220" s="112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13" t="n"/>
      <c r="D221" s="114" t="n"/>
      <c r="E221" s="114" t="n"/>
      <c r="F221" s="113" t="n"/>
      <c r="G221" s="114" t="n"/>
      <c r="H221" s="114" t="n"/>
      <c r="I221" s="113" t="n"/>
      <c r="J221" s="114" t="n"/>
      <c r="K221" s="114" t="n"/>
      <c r="L221" s="113" t="n"/>
      <c r="M221" s="114" t="n"/>
      <c r="N221" s="114" t="n"/>
      <c r="O221" s="113">
        <f>L221+I221+F221+C221</f>
        <v/>
      </c>
      <c r="P221" s="114">
        <f>M221+J221+G221+D221</f>
        <v/>
      </c>
      <c r="Q221" s="114">
        <f>N221+K221+H221+E221</f>
        <v/>
      </c>
      <c r="R221" s="113">
        <f>SUMIFS('PO Log'!$E:$E,'PO Log'!$D:$D,'Category Table'!R$2,'PO Log'!$C:$C,'Category Table'!$A221)</f>
        <v/>
      </c>
      <c r="S221" s="114">
        <f>SUMIFS('PO Log'!$E:$E,'PO Log'!$D:$D,'Category Table'!S$2,'PO Log'!$C:$C,'Category Table'!$A221)</f>
        <v/>
      </c>
      <c r="T221" s="114">
        <f>SUMIFS('PO Log'!$E:$E,'PO Log'!$D:$D,'Category Table'!T$2,'PO Log'!$C:$C,'Category Table'!$A221)</f>
        <v/>
      </c>
      <c r="U221" s="113">
        <f>SUMIFS('Committments Dump'!$Q:$Q,'Committments Dump'!$C:$C,'Category Table'!U$2,'Committments Dump'!$B:$B,'Category Table'!$A221)</f>
        <v/>
      </c>
      <c r="V221" s="114">
        <f>SUMIFS('Committments Dump'!$Q:$Q,'Committments Dump'!$C:$C,'Category Table'!V$2,'Committments Dump'!$B:$B,'Category Table'!$A221)</f>
        <v/>
      </c>
      <c r="W221" s="114">
        <f>SUMIFS('Committments Dump'!$Q:$Q,'Committments Dump'!$C:$C,'Category Table'!W$2,'Committments Dump'!$B:$B,'Category Table'!$A221)</f>
        <v/>
      </c>
      <c r="X221" s="113">
        <f>SUMIFS('Committments Dump'!$R:$R,'Committments Dump'!$C:$C,'Category Table'!X$2,'Committments Dump'!$B:$B,'Category Table'!$A221)</f>
        <v/>
      </c>
      <c r="Y221" s="114">
        <f>SUMIFS('Committments Dump'!$R:$R,'Committments Dump'!$C:$C,'Category Table'!Y$2,'Committments Dump'!$B:$B,'Category Table'!$A221)</f>
        <v/>
      </c>
      <c r="Z221" s="114">
        <f>SUMIFS('Committments Dump'!$R:$R,'Committments Dump'!$C:$C,'Category Table'!Z$2,'Committments Dump'!$B:$B,'Category Table'!$A221)</f>
        <v/>
      </c>
      <c r="AA221" s="113">
        <f>SUMIFS('Committments Dump'!$S:$S,'Committments Dump'!$C:$C,'Category Table'!AA$2,'Committments Dump'!$B:$B,'Category Table'!$A221)</f>
        <v/>
      </c>
      <c r="AB221" s="114">
        <f>SUMIFS('Committments Dump'!$S:$S,'Committments Dump'!$C:$C,'Category Table'!AB$2,'Committments Dump'!$B:$B,'Category Table'!$A221)</f>
        <v/>
      </c>
      <c r="AC221" s="114">
        <f>SUMIFS('Committments Dump'!$S:$S,'Committments Dump'!$C:$C,'Category Table'!AC$2,'Committments Dump'!$B:$B,'Category Table'!$A221)</f>
        <v/>
      </c>
      <c r="AD221" s="113">
        <f>U221+X221+AA221</f>
        <v/>
      </c>
      <c r="AE221" s="114">
        <f>V221+Y221+AB221</f>
        <v/>
      </c>
      <c r="AF221" s="114">
        <f>W221+Z221+AC221</f>
        <v/>
      </c>
      <c r="AG221" s="113">
        <f>R221+AD221</f>
        <v/>
      </c>
      <c r="AH221" s="114">
        <f>S221+AE221</f>
        <v/>
      </c>
      <c r="AI221" s="114">
        <f>T221+AF221</f>
        <v/>
      </c>
      <c r="AJ221" s="113" t="n"/>
      <c r="AK221" s="114" t="n"/>
      <c r="AL221" s="114" t="n"/>
      <c r="AM221" s="113">
        <f>(O221-AG221)+AJ221</f>
        <v/>
      </c>
      <c r="AN221" s="114">
        <f>(P221-AH221)+AK221</f>
        <v/>
      </c>
      <c r="AO221" s="114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11" t="n"/>
      <c r="D222" s="112" t="n"/>
      <c r="E222" s="112" t="n"/>
      <c r="F222" s="111" t="n"/>
      <c r="G222" s="112" t="n"/>
      <c r="H222" s="112" t="n"/>
      <c r="I222" s="111" t="n"/>
      <c r="J222" s="112" t="n"/>
      <c r="K222" s="112" t="n"/>
      <c r="L222" s="111" t="n"/>
      <c r="M222" s="112" t="n"/>
      <c r="N222" s="112" t="n"/>
      <c r="O222" s="111">
        <f>L222+I222+F222+C222</f>
        <v/>
      </c>
      <c r="P222" s="112">
        <f>M222+J222+G222+D222</f>
        <v/>
      </c>
      <c r="Q222" s="112">
        <f>N222+K222+H222+E222</f>
        <v/>
      </c>
      <c r="R222" s="111">
        <f>SUMIFS('PO Log'!$E:$E,'PO Log'!$D:$D,'Category Table'!R$2,'PO Log'!$C:$C,'Category Table'!$A222)</f>
        <v/>
      </c>
      <c r="S222" s="112">
        <f>SUMIFS('PO Log'!$E:$E,'PO Log'!$D:$D,'Category Table'!S$2,'PO Log'!$C:$C,'Category Table'!$A222)</f>
        <v/>
      </c>
      <c r="T222" s="112">
        <f>SUMIFS('PO Log'!$E:$E,'PO Log'!$D:$D,'Category Table'!T$2,'PO Log'!$C:$C,'Category Table'!$A222)</f>
        <v/>
      </c>
      <c r="U222" s="111">
        <f>SUMIFS('Committments Dump'!$Q:$Q,'Committments Dump'!$C:$C,'Category Table'!U$2,'Committments Dump'!$B:$B,'Category Table'!$A222)</f>
        <v/>
      </c>
      <c r="V222" s="112">
        <f>SUMIFS('Committments Dump'!$Q:$Q,'Committments Dump'!$C:$C,'Category Table'!V$2,'Committments Dump'!$B:$B,'Category Table'!$A222)</f>
        <v/>
      </c>
      <c r="W222" s="112">
        <f>SUMIFS('Committments Dump'!$Q:$Q,'Committments Dump'!$C:$C,'Category Table'!W$2,'Committments Dump'!$B:$B,'Category Table'!$A222)</f>
        <v/>
      </c>
      <c r="X222" s="111">
        <f>SUMIFS('Committments Dump'!$R:$R,'Committments Dump'!$C:$C,'Category Table'!X$2,'Committments Dump'!$B:$B,'Category Table'!$A222)</f>
        <v/>
      </c>
      <c r="Y222" s="112">
        <f>SUMIFS('Committments Dump'!$R:$R,'Committments Dump'!$C:$C,'Category Table'!Y$2,'Committments Dump'!$B:$B,'Category Table'!$A222)</f>
        <v/>
      </c>
      <c r="Z222" s="112">
        <f>SUMIFS('Committments Dump'!$R:$R,'Committments Dump'!$C:$C,'Category Table'!Z$2,'Committments Dump'!$B:$B,'Category Table'!$A222)</f>
        <v/>
      </c>
      <c r="AA222" s="111">
        <f>SUMIFS('Committments Dump'!$S:$S,'Committments Dump'!$C:$C,'Category Table'!AA$2,'Committments Dump'!$B:$B,'Category Table'!$A222)</f>
        <v/>
      </c>
      <c r="AB222" s="112">
        <f>SUMIFS('Committments Dump'!$S:$S,'Committments Dump'!$C:$C,'Category Table'!AB$2,'Committments Dump'!$B:$B,'Category Table'!$A222)</f>
        <v/>
      </c>
      <c r="AC222" s="112">
        <f>SUMIFS('Committments Dump'!$S:$S,'Committments Dump'!$C:$C,'Category Table'!AC$2,'Committments Dump'!$B:$B,'Category Table'!$A222)</f>
        <v/>
      </c>
      <c r="AD222" s="111">
        <f>U222+X222+AA222</f>
        <v/>
      </c>
      <c r="AE222" s="112">
        <f>V222+Y222+AB222</f>
        <v/>
      </c>
      <c r="AF222" s="112">
        <f>W222+Z222+AC222</f>
        <v/>
      </c>
      <c r="AG222" s="111">
        <f>R222+AD222</f>
        <v/>
      </c>
      <c r="AH222" s="112">
        <f>S222+AE222</f>
        <v/>
      </c>
      <c r="AI222" s="112">
        <f>T222+AF222</f>
        <v/>
      </c>
      <c r="AJ222" s="111" t="n"/>
      <c r="AK222" s="112" t="n"/>
      <c r="AL222" s="112" t="n"/>
      <c r="AM222" s="111">
        <f>(O222-AG222)+AJ222</f>
        <v/>
      </c>
      <c r="AN222" s="112">
        <f>(P222-AH222)+AK222</f>
        <v/>
      </c>
      <c r="AO222" s="112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13" t="n"/>
      <c r="D223" s="114" t="n"/>
      <c r="E223" s="114" t="n"/>
      <c r="F223" s="113" t="n"/>
      <c r="G223" s="114" t="n"/>
      <c r="H223" s="114" t="n"/>
      <c r="I223" s="113" t="n"/>
      <c r="J223" s="114" t="n"/>
      <c r="K223" s="114" t="n"/>
      <c r="L223" s="113" t="n"/>
      <c r="M223" s="114" t="n"/>
      <c r="N223" s="114" t="n"/>
      <c r="O223" s="113">
        <f>L223+I223+F223+C223</f>
        <v/>
      </c>
      <c r="P223" s="114">
        <f>M223+J223+G223+D223</f>
        <v/>
      </c>
      <c r="Q223" s="114">
        <f>N223+K223+H223+E223</f>
        <v/>
      </c>
      <c r="R223" s="113">
        <f>SUMIFS('PO Log'!$E:$E,'PO Log'!$D:$D,'Category Table'!R$2,'PO Log'!$C:$C,'Category Table'!$A223)</f>
        <v/>
      </c>
      <c r="S223" s="114">
        <f>SUMIFS('PO Log'!$E:$E,'PO Log'!$D:$D,'Category Table'!S$2,'PO Log'!$C:$C,'Category Table'!$A223)</f>
        <v/>
      </c>
      <c r="T223" s="114">
        <f>SUMIFS('PO Log'!$E:$E,'PO Log'!$D:$D,'Category Table'!T$2,'PO Log'!$C:$C,'Category Table'!$A223)</f>
        <v/>
      </c>
      <c r="U223" s="113">
        <f>SUMIFS('Committments Dump'!$Q:$Q,'Committments Dump'!$C:$C,'Category Table'!U$2,'Committments Dump'!$B:$B,'Category Table'!$A223)</f>
        <v/>
      </c>
      <c r="V223" s="114">
        <f>SUMIFS('Committments Dump'!$Q:$Q,'Committments Dump'!$C:$C,'Category Table'!V$2,'Committments Dump'!$B:$B,'Category Table'!$A223)</f>
        <v/>
      </c>
      <c r="W223" s="114">
        <f>SUMIFS('Committments Dump'!$Q:$Q,'Committments Dump'!$C:$C,'Category Table'!W$2,'Committments Dump'!$B:$B,'Category Table'!$A223)</f>
        <v/>
      </c>
      <c r="X223" s="113">
        <f>SUMIFS('Committments Dump'!$R:$R,'Committments Dump'!$C:$C,'Category Table'!X$2,'Committments Dump'!$B:$B,'Category Table'!$A223)</f>
        <v/>
      </c>
      <c r="Y223" s="114">
        <f>SUMIFS('Committments Dump'!$R:$R,'Committments Dump'!$C:$C,'Category Table'!Y$2,'Committments Dump'!$B:$B,'Category Table'!$A223)</f>
        <v/>
      </c>
      <c r="Z223" s="114">
        <f>SUMIFS('Committments Dump'!$R:$R,'Committments Dump'!$C:$C,'Category Table'!Z$2,'Committments Dump'!$B:$B,'Category Table'!$A223)</f>
        <v/>
      </c>
      <c r="AA223" s="113">
        <f>SUMIFS('Committments Dump'!$S:$S,'Committments Dump'!$C:$C,'Category Table'!AA$2,'Committments Dump'!$B:$B,'Category Table'!$A223)</f>
        <v/>
      </c>
      <c r="AB223" s="114">
        <f>SUMIFS('Committments Dump'!$S:$S,'Committments Dump'!$C:$C,'Category Table'!AB$2,'Committments Dump'!$B:$B,'Category Table'!$A223)</f>
        <v/>
      </c>
      <c r="AC223" s="114">
        <f>SUMIFS('Committments Dump'!$S:$S,'Committments Dump'!$C:$C,'Category Table'!AC$2,'Committments Dump'!$B:$B,'Category Table'!$A223)</f>
        <v/>
      </c>
      <c r="AD223" s="113">
        <f>U223+X223+AA223</f>
        <v/>
      </c>
      <c r="AE223" s="114">
        <f>V223+Y223+AB223</f>
        <v/>
      </c>
      <c r="AF223" s="114">
        <f>W223+Z223+AC223</f>
        <v/>
      </c>
      <c r="AG223" s="113">
        <f>R223+AD223</f>
        <v/>
      </c>
      <c r="AH223" s="114">
        <f>S223+AE223</f>
        <v/>
      </c>
      <c r="AI223" s="114">
        <f>T223+AF223</f>
        <v/>
      </c>
      <c r="AJ223" s="113" t="n"/>
      <c r="AK223" s="114" t="n"/>
      <c r="AL223" s="114" t="n"/>
      <c r="AM223" s="113">
        <f>(O223-AG223)+AJ223</f>
        <v/>
      </c>
      <c r="AN223" s="114">
        <f>(P223-AH223)+AK223</f>
        <v/>
      </c>
      <c r="AO223" s="114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11" t="n"/>
      <c r="D224" s="112" t="n"/>
      <c r="E224" s="112" t="n"/>
      <c r="F224" s="111" t="n"/>
      <c r="G224" s="112" t="n"/>
      <c r="H224" s="112" t="n"/>
      <c r="I224" s="111" t="n"/>
      <c r="J224" s="112" t="n"/>
      <c r="K224" s="112" t="n"/>
      <c r="L224" s="111" t="n"/>
      <c r="M224" s="112" t="n"/>
      <c r="N224" s="112" t="n"/>
      <c r="O224" s="111">
        <f>L224+I224+F224+C224</f>
        <v/>
      </c>
      <c r="P224" s="112">
        <f>M224+J224+G224+D224</f>
        <v/>
      </c>
      <c r="Q224" s="112">
        <f>N224+K224+H224+E224</f>
        <v/>
      </c>
      <c r="R224" s="111">
        <f>SUMIFS('PO Log'!$E:$E,'PO Log'!$D:$D,'Category Table'!R$2,'PO Log'!$C:$C,'Category Table'!$A224)</f>
        <v/>
      </c>
      <c r="S224" s="112">
        <f>SUMIFS('PO Log'!$E:$E,'PO Log'!$D:$D,'Category Table'!S$2,'PO Log'!$C:$C,'Category Table'!$A224)</f>
        <v/>
      </c>
      <c r="T224" s="112">
        <f>SUMIFS('PO Log'!$E:$E,'PO Log'!$D:$D,'Category Table'!T$2,'PO Log'!$C:$C,'Category Table'!$A224)</f>
        <v/>
      </c>
      <c r="U224" s="111">
        <f>SUMIFS('Committments Dump'!$Q:$Q,'Committments Dump'!$C:$C,'Category Table'!U$2,'Committments Dump'!$B:$B,'Category Table'!$A224)</f>
        <v/>
      </c>
      <c r="V224" s="112">
        <f>SUMIFS('Committments Dump'!$Q:$Q,'Committments Dump'!$C:$C,'Category Table'!V$2,'Committments Dump'!$B:$B,'Category Table'!$A224)</f>
        <v/>
      </c>
      <c r="W224" s="112">
        <f>SUMIFS('Committments Dump'!$Q:$Q,'Committments Dump'!$C:$C,'Category Table'!W$2,'Committments Dump'!$B:$B,'Category Table'!$A224)</f>
        <v/>
      </c>
      <c r="X224" s="111">
        <f>SUMIFS('Committments Dump'!$R:$R,'Committments Dump'!$C:$C,'Category Table'!X$2,'Committments Dump'!$B:$B,'Category Table'!$A224)</f>
        <v/>
      </c>
      <c r="Y224" s="112">
        <f>SUMIFS('Committments Dump'!$R:$R,'Committments Dump'!$C:$C,'Category Table'!Y$2,'Committments Dump'!$B:$B,'Category Table'!$A224)</f>
        <v/>
      </c>
      <c r="Z224" s="112">
        <f>SUMIFS('Committments Dump'!$R:$R,'Committments Dump'!$C:$C,'Category Table'!Z$2,'Committments Dump'!$B:$B,'Category Table'!$A224)</f>
        <v/>
      </c>
      <c r="AA224" s="111">
        <f>SUMIFS('Committments Dump'!$S:$S,'Committments Dump'!$C:$C,'Category Table'!AA$2,'Committments Dump'!$B:$B,'Category Table'!$A224)</f>
        <v/>
      </c>
      <c r="AB224" s="112">
        <f>SUMIFS('Committments Dump'!$S:$S,'Committments Dump'!$C:$C,'Category Table'!AB$2,'Committments Dump'!$B:$B,'Category Table'!$A224)</f>
        <v/>
      </c>
      <c r="AC224" s="112">
        <f>SUMIFS('Committments Dump'!$S:$S,'Committments Dump'!$C:$C,'Category Table'!AC$2,'Committments Dump'!$B:$B,'Category Table'!$A224)</f>
        <v/>
      </c>
      <c r="AD224" s="111">
        <f>U224+X224+AA224</f>
        <v/>
      </c>
      <c r="AE224" s="112">
        <f>V224+Y224+AB224</f>
        <v/>
      </c>
      <c r="AF224" s="112">
        <f>W224+Z224+AC224</f>
        <v/>
      </c>
      <c r="AG224" s="111">
        <f>R224+AD224</f>
        <v/>
      </c>
      <c r="AH224" s="112">
        <f>S224+AE224</f>
        <v/>
      </c>
      <c r="AI224" s="112">
        <f>T224+AF224</f>
        <v/>
      </c>
      <c r="AJ224" s="111" t="n"/>
      <c r="AK224" s="112" t="n"/>
      <c r="AL224" s="112" t="n"/>
      <c r="AM224" s="111">
        <f>(O224-AG224)+AJ224</f>
        <v/>
      </c>
      <c r="AN224" s="112">
        <f>(P224-AH224)+AK224</f>
        <v/>
      </c>
      <c r="AO224" s="112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13" t="n"/>
      <c r="D225" s="114" t="n"/>
      <c r="E225" s="114" t="n"/>
      <c r="F225" s="113" t="n"/>
      <c r="G225" s="114" t="n"/>
      <c r="H225" s="114" t="n"/>
      <c r="I225" s="113" t="n"/>
      <c r="J225" s="114" t="n"/>
      <c r="K225" s="114" t="n"/>
      <c r="L225" s="113" t="n"/>
      <c r="M225" s="114" t="n"/>
      <c r="N225" s="114" t="n"/>
      <c r="O225" s="113">
        <f>L225+I225+F225+C225</f>
        <v/>
      </c>
      <c r="P225" s="114">
        <f>M225+J225+G225+D225</f>
        <v/>
      </c>
      <c r="Q225" s="114">
        <f>N225+K225+H225+E225</f>
        <v/>
      </c>
      <c r="R225" s="113">
        <f>SUMIFS('PO Log'!$E:$E,'PO Log'!$D:$D,'Category Table'!R$2,'PO Log'!$C:$C,'Category Table'!$A225)</f>
        <v/>
      </c>
      <c r="S225" s="114">
        <f>SUMIFS('PO Log'!$E:$E,'PO Log'!$D:$D,'Category Table'!S$2,'PO Log'!$C:$C,'Category Table'!$A225)</f>
        <v/>
      </c>
      <c r="T225" s="114">
        <f>SUMIFS('PO Log'!$E:$E,'PO Log'!$D:$D,'Category Table'!T$2,'PO Log'!$C:$C,'Category Table'!$A225)</f>
        <v/>
      </c>
      <c r="U225" s="113">
        <f>SUMIFS('Committments Dump'!$Q:$Q,'Committments Dump'!$C:$C,'Category Table'!U$2,'Committments Dump'!$B:$B,'Category Table'!$A225)</f>
        <v/>
      </c>
      <c r="V225" s="114">
        <f>SUMIFS('Committments Dump'!$Q:$Q,'Committments Dump'!$C:$C,'Category Table'!V$2,'Committments Dump'!$B:$B,'Category Table'!$A225)</f>
        <v/>
      </c>
      <c r="W225" s="114">
        <f>SUMIFS('Committments Dump'!$Q:$Q,'Committments Dump'!$C:$C,'Category Table'!W$2,'Committments Dump'!$B:$B,'Category Table'!$A225)</f>
        <v/>
      </c>
      <c r="X225" s="113">
        <f>SUMIFS('Committments Dump'!$R:$R,'Committments Dump'!$C:$C,'Category Table'!X$2,'Committments Dump'!$B:$B,'Category Table'!$A225)</f>
        <v/>
      </c>
      <c r="Y225" s="114">
        <f>SUMIFS('Committments Dump'!$R:$R,'Committments Dump'!$C:$C,'Category Table'!Y$2,'Committments Dump'!$B:$B,'Category Table'!$A225)</f>
        <v/>
      </c>
      <c r="Z225" s="114">
        <f>SUMIFS('Committments Dump'!$R:$R,'Committments Dump'!$C:$C,'Category Table'!Z$2,'Committments Dump'!$B:$B,'Category Table'!$A225)</f>
        <v/>
      </c>
      <c r="AA225" s="113">
        <f>SUMIFS('Committments Dump'!$S:$S,'Committments Dump'!$C:$C,'Category Table'!AA$2,'Committments Dump'!$B:$B,'Category Table'!$A225)</f>
        <v/>
      </c>
      <c r="AB225" s="114">
        <f>SUMIFS('Committments Dump'!$S:$S,'Committments Dump'!$C:$C,'Category Table'!AB$2,'Committments Dump'!$B:$B,'Category Table'!$A225)</f>
        <v/>
      </c>
      <c r="AC225" s="114">
        <f>SUMIFS('Committments Dump'!$S:$S,'Committments Dump'!$C:$C,'Category Table'!AC$2,'Committments Dump'!$B:$B,'Category Table'!$A225)</f>
        <v/>
      </c>
      <c r="AD225" s="113">
        <f>U225+X225+AA225</f>
        <v/>
      </c>
      <c r="AE225" s="114">
        <f>V225+Y225+AB225</f>
        <v/>
      </c>
      <c r="AF225" s="114">
        <f>W225+Z225+AC225</f>
        <v/>
      </c>
      <c r="AG225" s="113">
        <f>R225+AD225</f>
        <v/>
      </c>
      <c r="AH225" s="114">
        <f>S225+AE225</f>
        <v/>
      </c>
      <c r="AI225" s="114">
        <f>T225+AF225</f>
        <v/>
      </c>
      <c r="AJ225" s="113" t="n"/>
      <c r="AK225" s="114" t="n"/>
      <c r="AL225" s="114" t="n"/>
      <c r="AM225" s="113">
        <f>(O225-AG225)+AJ225</f>
        <v/>
      </c>
      <c r="AN225" s="114">
        <f>(P225-AH225)+AK225</f>
        <v/>
      </c>
      <c r="AO225" s="114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11" t="n"/>
      <c r="D226" s="112" t="n"/>
      <c r="E226" s="112" t="n"/>
      <c r="F226" s="111" t="n"/>
      <c r="G226" s="112" t="n"/>
      <c r="H226" s="112" t="n"/>
      <c r="I226" s="111" t="n"/>
      <c r="J226" s="112" t="n"/>
      <c r="K226" s="112" t="n"/>
      <c r="L226" s="111" t="n"/>
      <c r="M226" s="112" t="n"/>
      <c r="N226" s="112" t="n"/>
      <c r="O226" s="111">
        <f>L226+I226+F226+C226</f>
        <v/>
      </c>
      <c r="P226" s="112">
        <f>M226+J226+G226+D226</f>
        <v/>
      </c>
      <c r="Q226" s="112">
        <f>N226+K226+H226+E226</f>
        <v/>
      </c>
      <c r="R226" s="111">
        <f>SUMIFS('PO Log'!$E:$E,'PO Log'!$D:$D,'Category Table'!R$2,'PO Log'!$C:$C,'Category Table'!$A226)</f>
        <v/>
      </c>
      <c r="S226" s="112">
        <f>SUMIFS('PO Log'!$E:$E,'PO Log'!$D:$D,'Category Table'!S$2,'PO Log'!$C:$C,'Category Table'!$A226)</f>
        <v/>
      </c>
      <c r="T226" s="112">
        <f>SUMIFS('PO Log'!$E:$E,'PO Log'!$D:$D,'Category Table'!T$2,'PO Log'!$C:$C,'Category Table'!$A226)</f>
        <v/>
      </c>
      <c r="U226" s="111">
        <f>SUMIFS('Committments Dump'!$Q:$Q,'Committments Dump'!$C:$C,'Category Table'!U$2,'Committments Dump'!$B:$B,'Category Table'!$A226)</f>
        <v/>
      </c>
      <c r="V226" s="112">
        <f>SUMIFS('Committments Dump'!$Q:$Q,'Committments Dump'!$C:$C,'Category Table'!V$2,'Committments Dump'!$B:$B,'Category Table'!$A226)</f>
        <v/>
      </c>
      <c r="W226" s="112">
        <f>SUMIFS('Committments Dump'!$Q:$Q,'Committments Dump'!$C:$C,'Category Table'!W$2,'Committments Dump'!$B:$B,'Category Table'!$A226)</f>
        <v/>
      </c>
      <c r="X226" s="111">
        <f>SUMIFS('Committments Dump'!$R:$R,'Committments Dump'!$C:$C,'Category Table'!X$2,'Committments Dump'!$B:$B,'Category Table'!$A226)</f>
        <v/>
      </c>
      <c r="Y226" s="112">
        <f>SUMIFS('Committments Dump'!$R:$R,'Committments Dump'!$C:$C,'Category Table'!Y$2,'Committments Dump'!$B:$B,'Category Table'!$A226)</f>
        <v/>
      </c>
      <c r="Z226" s="112">
        <f>SUMIFS('Committments Dump'!$R:$R,'Committments Dump'!$C:$C,'Category Table'!Z$2,'Committments Dump'!$B:$B,'Category Table'!$A226)</f>
        <v/>
      </c>
      <c r="AA226" s="111">
        <f>SUMIFS('Committments Dump'!$S:$S,'Committments Dump'!$C:$C,'Category Table'!AA$2,'Committments Dump'!$B:$B,'Category Table'!$A226)</f>
        <v/>
      </c>
      <c r="AB226" s="112">
        <f>SUMIFS('Committments Dump'!$S:$S,'Committments Dump'!$C:$C,'Category Table'!AB$2,'Committments Dump'!$B:$B,'Category Table'!$A226)</f>
        <v/>
      </c>
      <c r="AC226" s="112">
        <f>SUMIFS('Committments Dump'!$S:$S,'Committments Dump'!$C:$C,'Category Table'!AC$2,'Committments Dump'!$B:$B,'Category Table'!$A226)</f>
        <v/>
      </c>
      <c r="AD226" s="111">
        <f>U226+X226+AA226</f>
        <v/>
      </c>
      <c r="AE226" s="112">
        <f>V226+Y226+AB226</f>
        <v/>
      </c>
      <c r="AF226" s="112">
        <f>W226+Z226+AC226</f>
        <v/>
      </c>
      <c r="AG226" s="111">
        <f>R226+AD226</f>
        <v/>
      </c>
      <c r="AH226" s="112">
        <f>S226+AE226</f>
        <v/>
      </c>
      <c r="AI226" s="112">
        <f>T226+AF226</f>
        <v/>
      </c>
      <c r="AJ226" s="111" t="n"/>
      <c r="AK226" s="112" t="n"/>
      <c r="AL226" s="112" t="n"/>
      <c r="AM226" s="111">
        <f>(O226-AG226)+AJ226</f>
        <v/>
      </c>
      <c r="AN226" s="112">
        <f>(P226-AH226)+AK226</f>
        <v/>
      </c>
      <c r="AO226" s="112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13" t="n"/>
      <c r="D227" s="114" t="n"/>
      <c r="E227" s="114" t="n"/>
      <c r="F227" s="113" t="n"/>
      <c r="G227" s="114" t="n"/>
      <c r="H227" s="114" t="n"/>
      <c r="I227" s="113" t="n"/>
      <c r="J227" s="114" t="n"/>
      <c r="K227" s="114" t="n"/>
      <c r="L227" s="113" t="n"/>
      <c r="M227" s="114" t="n"/>
      <c r="N227" s="114" t="n"/>
      <c r="O227" s="113">
        <f>L227+I227+F227+C227</f>
        <v/>
      </c>
      <c r="P227" s="114">
        <f>M227+J227+G227+D227</f>
        <v/>
      </c>
      <c r="Q227" s="114">
        <f>N227+K227+H227+E227</f>
        <v/>
      </c>
      <c r="R227" s="113">
        <f>SUMIFS('PO Log'!$E:$E,'PO Log'!$D:$D,'Category Table'!R$2,'PO Log'!$C:$C,'Category Table'!$A227)</f>
        <v/>
      </c>
      <c r="S227" s="114">
        <f>SUMIFS('PO Log'!$E:$E,'PO Log'!$D:$D,'Category Table'!S$2,'PO Log'!$C:$C,'Category Table'!$A227)</f>
        <v/>
      </c>
      <c r="T227" s="114">
        <f>SUMIFS('PO Log'!$E:$E,'PO Log'!$D:$D,'Category Table'!T$2,'PO Log'!$C:$C,'Category Table'!$A227)</f>
        <v/>
      </c>
      <c r="U227" s="113">
        <f>SUMIFS('Committments Dump'!$Q:$Q,'Committments Dump'!$C:$C,'Category Table'!U$2,'Committments Dump'!$B:$B,'Category Table'!$A227)</f>
        <v/>
      </c>
      <c r="V227" s="114">
        <f>SUMIFS('Committments Dump'!$Q:$Q,'Committments Dump'!$C:$C,'Category Table'!V$2,'Committments Dump'!$B:$B,'Category Table'!$A227)</f>
        <v/>
      </c>
      <c r="W227" s="114">
        <f>SUMIFS('Committments Dump'!$Q:$Q,'Committments Dump'!$C:$C,'Category Table'!W$2,'Committments Dump'!$B:$B,'Category Table'!$A227)</f>
        <v/>
      </c>
      <c r="X227" s="113">
        <f>SUMIFS('Committments Dump'!$R:$R,'Committments Dump'!$C:$C,'Category Table'!X$2,'Committments Dump'!$B:$B,'Category Table'!$A227)</f>
        <v/>
      </c>
      <c r="Y227" s="114">
        <f>SUMIFS('Committments Dump'!$R:$R,'Committments Dump'!$C:$C,'Category Table'!Y$2,'Committments Dump'!$B:$B,'Category Table'!$A227)</f>
        <v/>
      </c>
      <c r="Z227" s="114">
        <f>SUMIFS('Committments Dump'!$R:$R,'Committments Dump'!$C:$C,'Category Table'!Z$2,'Committments Dump'!$B:$B,'Category Table'!$A227)</f>
        <v/>
      </c>
      <c r="AA227" s="113">
        <f>SUMIFS('Committments Dump'!$S:$S,'Committments Dump'!$C:$C,'Category Table'!AA$2,'Committments Dump'!$B:$B,'Category Table'!$A227)</f>
        <v/>
      </c>
      <c r="AB227" s="114">
        <f>SUMIFS('Committments Dump'!$S:$S,'Committments Dump'!$C:$C,'Category Table'!AB$2,'Committments Dump'!$B:$B,'Category Table'!$A227)</f>
        <v/>
      </c>
      <c r="AC227" s="114">
        <f>SUMIFS('Committments Dump'!$S:$S,'Committments Dump'!$C:$C,'Category Table'!AC$2,'Committments Dump'!$B:$B,'Category Table'!$A227)</f>
        <v/>
      </c>
      <c r="AD227" s="113">
        <f>U227+X227+AA227</f>
        <v/>
      </c>
      <c r="AE227" s="114">
        <f>V227+Y227+AB227</f>
        <v/>
      </c>
      <c r="AF227" s="114">
        <f>W227+Z227+AC227</f>
        <v/>
      </c>
      <c r="AG227" s="113">
        <f>R227+AD227</f>
        <v/>
      </c>
      <c r="AH227" s="114">
        <f>S227+AE227</f>
        <v/>
      </c>
      <c r="AI227" s="114">
        <f>T227+AF227</f>
        <v/>
      </c>
      <c r="AJ227" s="113" t="n"/>
      <c r="AK227" s="114" t="n"/>
      <c r="AL227" s="114" t="n"/>
      <c r="AM227" s="113">
        <f>(O227-AG227)+AJ227</f>
        <v/>
      </c>
      <c r="AN227" s="114">
        <f>(P227-AH227)+AK227</f>
        <v/>
      </c>
      <c r="AO227" s="114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11" t="n"/>
      <c r="D228" s="112" t="n"/>
      <c r="E228" s="112" t="n"/>
      <c r="F228" s="111" t="n"/>
      <c r="G228" s="112" t="n"/>
      <c r="H228" s="112" t="n"/>
      <c r="I228" s="111" t="n"/>
      <c r="J228" s="112" t="n"/>
      <c r="K228" s="112" t="n"/>
      <c r="L228" s="111" t="n"/>
      <c r="M228" s="112" t="n"/>
      <c r="N228" s="112" t="n"/>
      <c r="O228" s="111">
        <f>L228+I228+F228+C228</f>
        <v/>
      </c>
      <c r="P228" s="112">
        <f>M228+J228+G228+D228</f>
        <v/>
      </c>
      <c r="Q228" s="112">
        <f>N228+K228+H228+E228</f>
        <v/>
      </c>
      <c r="R228" s="111">
        <f>SUMIFS('PO Log'!$E:$E,'PO Log'!$D:$D,'Category Table'!R$2,'PO Log'!$C:$C,'Category Table'!$A228)</f>
        <v/>
      </c>
      <c r="S228" s="112">
        <f>SUMIFS('PO Log'!$E:$E,'PO Log'!$D:$D,'Category Table'!S$2,'PO Log'!$C:$C,'Category Table'!$A228)</f>
        <v/>
      </c>
      <c r="T228" s="112">
        <f>SUMIFS('PO Log'!$E:$E,'PO Log'!$D:$D,'Category Table'!T$2,'PO Log'!$C:$C,'Category Table'!$A228)</f>
        <v/>
      </c>
      <c r="U228" s="111">
        <f>SUMIFS('Committments Dump'!$Q:$Q,'Committments Dump'!$C:$C,'Category Table'!U$2,'Committments Dump'!$B:$B,'Category Table'!$A228)</f>
        <v/>
      </c>
      <c r="V228" s="112">
        <f>SUMIFS('Committments Dump'!$Q:$Q,'Committments Dump'!$C:$C,'Category Table'!V$2,'Committments Dump'!$B:$B,'Category Table'!$A228)</f>
        <v/>
      </c>
      <c r="W228" s="112">
        <f>SUMIFS('Committments Dump'!$Q:$Q,'Committments Dump'!$C:$C,'Category Table'!W$2,'Committments Dump'!$B:$B,'Category Table'!$A228)</f>
        <v/>
      </c>
      <c r="X228" s="111">
        <f>SUMIFS('Committments Dump'!$R:$R,'Committments Dump'!$C:$C,'Category Table'!X$2,'Committments Dump'!$B:$B,'Category Table'!$A228)</f>
        <v/>
      </c>
      <c r="Y228" s="112">
        <f>SUMIFS('Committments Dump'!$R:$R,'Committments Dump'!$C:$C,'Category Table'!Y$2,'Committments Dump'!$B:$B,'Category Table'!$A228)</f>
        <v/>
      </c>
      <c r="Z228" s="112">
        <f>SUMIFS('Committments Dump'!$R:$R,'Committments Dump'!$C:$C,'Category Table'!Z$2,'Committments Dump'!$B:$B,'Category Table'!$A228)</f>
        <v/>
      </c>
      <c r="AA228" s="111">
        <f>SUMIFS('Committments Dump'!$S:$S,'Committments Dump'!$C:$C,'Category Table'!AA$2,'Committments Dump'!$B:$B,'Category Table'!$A228)</f>
        <v/>
      </c>
      <c r="AB228" s="112">
        <f>SUMIFS('Committments Dump'!$S:$S,'Committments Dump'!$C:$C,'Category Table'!AB$2,'Committments Dump'!$B:$B,'Category Table'!$A228)</f>
        <v/>
      </c>
      <c r="AC228" s="112">
        <f>SUMIFS('Committments Dump'!$S:$S,'Committments Dump'!$C:$C,'Category Table'!AC$2,'Committments Dump'!$B:$B,'Category Table'!$A228)</f>
        <v/>
      </c>
      <c r="AD228" s="111">
        <f>U228+X228+AA228</f>
        <v/>
      </c>
      <c r="AE228" s="112">
        <f>V228+Y228+AB228</f>
        <v/>
      </c>
      <c r="AF228" s="112">
        <f>W228+Z228+AC228</f>
        <v/>
      </c>
      <c r="AG228" s="111">
        <f>R228+AD228</f>
        <v/>
      </c>
      <c r="AH228" s="112">
        <f>S228+AE228</f>
        <v/>
      </c>
      <c r="AI228" s="112">
        <f>T228+AF228</f>
        <v/>
      </c>
      <c r="AJ228" s="111" t="n"/>
      <c r="AK228" s="112" t="n"/>
      <c r="AL228" s="112" t="n"/>
      <c r="AM228" s="111">
        <f>(O228-AG228)+AJ228</f>
        <v/>
      </c>
      <c r="AN228" s="112">
        <f>(P228-AH228)+AK228</f>
        <v/>
      </c>
      <c r="AO228" s="112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13" t="n"/>
      <c r="D229" s="114" t="n"/>
      <c r="E229" s="114" t="n"/>
      <c r="F229" s="113" t="n"/>
      <c r="G229" s="114" t="n"/>
      <c r="H229" s="114" t="n"/>
      <c r="I229" s="113" t="n"/>
      <c r="J229" s="114" t="n"/>
      <c r="K229" s="114" t="n"/>
      <c r="L229" s="113" t="n"/>
      <c r="M229" s="114" t="n"/>
      <c r="N229" s="114" t="n"/>
      <c r="O229" s="113">
        <f>L229+I229+F229+C229</f>
        <v/>
      </c>
      <c r="P229" s="114">
        <f>M229+J229+G229+D229</f>
        <v/>
      </c>
      <c r="Q229" s="114">
        <f>N229+K229+H229+E229</f>
        <v/>
      </c>
      <c r="R229" s="113">
        <f>SUMIFS('PO Log'!$E:$E,'PO Log'!$D:$D,'Category Table'!R$2,'PO Log'!$C:$C,'Category Table'!$A229)</f>
        <v/>
      </c>
      <c r="S229" s="114">
        <f>SUMIFS('PO Log'!$E:$E,'PO Log'!$D:$D,'Category Table'!S$2,'PO Log'!$C:$C,'Category Table'!$A229)</f>
        <v/>
      </c>
      <c r="T229" s="114">
        <f>SUMIFS('PO Log'!$E:$E,'PO Log'!$D:$D,'Category Table'!T$2,'PO Log'!$C:$C,'Category Table'!$A229)</f>
        <v/>
      </c>
      <c r="U229" s="113">
        <f>SUMIFS('Committments Dump'!$Q:$Q,'Committments Dump'!$C:$C,'Category Table'!U$2,'Committments Dump'!$B:$B,'Category Table'!$A229)</f>
        <v/>
      </c>
      <c r="V229" s="114">
        <f>SUMIFS('Committments Dump'!$Q:$Q,'Committments Dump'!$C:$C,'Category Table'!V$2,'Committments Dump'!$B:$B,'Category Table'!$A229)</f>
        <v/>
      </c>
      <c r="W229" s="114">
        <f>SUMIFS('Committments Dump'!$Q:$Q,'Committments Dump'!$C:$C,'Category Table'!W$2,'Committments Dump'!$B:$B,'Category Table'!$A229)</f>
        <v/>
      </c>
      <c r="X229" s="113">
        <f>SUMIFS('Committments Dump'!$R:$R,'Committments Dump'!$C:$C,'Category Table'!X$2,'Committments Dump'!$B:$B,'Category Table'!$A229)</f>
        <v/>
      </c>
      <c r="Y229" s="114">
        <f>SUMIFS('Committments Dump'!$R:$R,'Committments Dump'!$C:$C,'Category Table'!Y$2,'Committments Dump'!$B:$B,'Category Table'!$A229)</f>
        <v/>
      </c>
      <c r="Z229" s="114">
        <f>SUMIFS('Committments Dump'!$R:$R,'Committments Dump'!$C:$C,'Category Table'!Z$2,'Committments Dump'!$B:$B,'Category Table'!$A229)</f>
        <v/>
      </c>
      <c r="AA229" s="113">
        <f>SUMIFS('Committments Dump'!$S:$S,'Committments Dump'!$C:$C,'Category Table'!AA$2,'Committments Dump'!$B:$B,'Category Table'!$A229)</f>
        <v/>
      </c>
      <c r="AB229" s="114">
        <f>SUMIFS('Committments Dump'!$S:$S,'Committments Dump'!$C:$C,'Category Table'!AB$2,'Committments Dump'!$B:$B,'Category Table'!$A229)</f>
        <v/>
      </c>
      <c r="AC229" s="114">
        <f>SUMIFS('Committments Dump'!$S:$S,'Committments Dump'!$C:$C,'Category Table'!AC$2,'Committments Dump'!$B:$B,'Category Table'!$A229)</f>
        <v/>
      </c>
      <c r="AD229" s="113">
        <f>U229+X229+AA229</f>
        <v/>
      </c>
      <c r="AE229" s="114">
        <f>V229+Y229+AB229</f>
        <v/>
      </c>
      <c r="AF229" s="114">
        <f>W229+Z229+AC229</f>
        <v/>
      </c>
      <c r="AG229" s="113">
        <f>R229+AD229</f>
        <v/>
      </c>
      <c r="AH229" s="114">
        <f>S229+AE229</f>
        <v/>
      </c>
      <c r="AI229" s="114">
        <f>T229+AF229</f>
        <v/>
      </c>
      <c r="AJ229" s="113" t="n"/>
      <c r="AK229" s="114" t="n"/>
      <c r="AL229" s="114" t="n"/>
      <c r="AM229" s="113">
        <f>(O229-AG229)+AJ229</f>
        <v/>
      </c>
      <c r="AN229" s="114">
        <f>(P229-AH229)+AK229</f>
        <v/>
      </c>
      <c r="AO229" s="114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11" t="n"/>
      <c r="D230" s="112" t="n"/>
      <c r="E230" s="112" t="n"/>
      <c r="F230" s="111" t="n"/>
      <c r="G230" s="112" t="n"/>
      <c r="H230" s="112" t="n"/>
      <c r="I230" s="111" t="n"/>
      <c r="J230" s="112" t="n"/>
      <c r="K230" s="112" t="n"/>
      <c r="L230" s="111" t="n"/>
      <c r="M230" s="112" t="n"/>
      <c r="N230" s="112" t="n"/>
      <c r="O230" s="111">
        <f>L230+I230+F230+C230</f>
        <v/>
      </c>
      <c r="P230" s="112">
        <f>M230+J230+G230+D230</f>
        <v/>
      </c>
      <c r="Q230" s="112">
        <f>N230+K230+H230+E230</f>
        <v/>
      </c>
      <c r="R230" s="111">
        <f>SUMIFS('PO Log'!$E:$E,'PO Log'!$D:$D,'Category Table'!R$2,'PO Log'!$C:$C,'Category Table'!$A230)</f>
        <v/>
      </c>
      <c r="S230" s="112">
        <f>SUMIFS('PO Log'!$E:$E,'PO Log'!$D:$D,'Category Table'!S$2,'PO Log'!$C:$C,'Category Table'!$A230)</f>
        <v/>
      </c>
      <c r="T230" s="112">
        <f>SUMIFS('PO Log'!$E:$E,'PO Log'!$D:$D,'Category Table'!T$2,'PO Log'!$C:$C,'Category Table'!$A230)</f>
        <v/>
      </c>
      <c r="U230" s="111">
        <f>SUMIFS('Committments Dump'!$Q:$Q,'Committments Dump'!$C:$C,'Category Table'!U$2,'Committments Dump'!$B:$B,'Category Table'!$A230)</f>
        <v/>
      </c>
      <c r="V230" s="112">
        <f>SUMIFS('Committments Dump'!$Q:$Q,'Committments Dump'!$C:$C,'Category Table'!V$2,'Committments Dump'!$B:$B,'Category Table'!$A230)</f>
        <v/>
      </c>
      <c r="W230" s="112">
        <f>SUMIFS('Committments Dump'!$Q:$Q,'Committments Dump'!$C:$C,'Category Table'!W$2,'Committments Dump'!$B:$B,'Category Table'!$A230)</f>
        <v/>
      </c>
      <c r="X230" s="111">
        <f>SUMIFS('Committments Dump'!$R:$R,'Committments Dump'!$C:$C,'Category Table'!X$2,'Committments Dump'!$B:$B,'Category Table'!$A230)</f>
        <v/>
      </c>
      <c r="Y230" s="112">
        <f>SUMIFS('Committments Dump'!$R:$R,'Committments Dump'!$C:$C,'Category Table'!Y$2,'Committments Dump'!$B:$B,'Category Table'!$A230)</f>
        <v/>
      </c>
      <c r="Z230" s="112">
        <f>SUMIFS('Committments Dump'!$R:$R,'Committments Dump'!$C:$C,'Category Table'!Z$2,'Committments Dump'!$B:$B,'Category Table'!$A230)</f>
        <v/>
      </c>
      <c r="AA230" s="111">
        <f>SUMIFS('Committments Dump'!$S:$S,'Committments Dump'!$C:$C,'Category Table'!AA$2,'Committments Dump'!$B:$B,'Category Table'!$A230)</f>
        <v/>
      </c>
      <c r="AB230" s="112">
        <f>SUMIFS('Committments Dump'!$S:$S,'Committments Dump'!$C:$C,'Category Table'!AB$2,'Committments Dump'!$B:$B,'Category Table'!$A230)</f>
        <v/>
      </c>
      <c r="AC230" s="112">
        <f>SUMIFS('Committments Dump'!$S:$S,'Committments Dump'!$C:$C,'Category Table'!AC$2,'Committments Dump'!$B:$B,'Category Table'!$A230)</f>
        <v/>
      </c>
      <c r="AD230" s="111">
        <f>U230+X230+AA230</f>
        <v/>
      </c>
      <c r="AE230" s="112">
        <f>V230+Y230+AB230</f>
        <v/>
      </c>
      <c r="AF230" s="112">
        <f>W230+Z230+AC230</f>
        <v/>
      </c>
      <c r="AG230" s="111">
        <f>R230+AD230</f>
        <v/>
      </c>
      <c r="AH230" s="112">
        <f>S230+AE230</f>
        <v/>
      </c>
      <c r="AI230" s="112">
        <f>T230+AF230</f>
        <v/>
      </c>
      <c r="AJ230" s="111" t="n"/>
      <c r="AK230" s="112" t="n"/>
      <c r="AL230" s="112" t="n"/>
      <c r="AM230" s="111">
        <f>(O230-AG230)+AJ230</f>
        <v/>
      </c>
      <c r="AN230" s="112">
        <f>(P230-AH230)+AK230</f>
        <v/>
      </c>
      <c r="AO230" s="112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13" t="n"/>
      <c r="D231" s="114" t="n"/>
      <c r="E231" s="114" t="n"/>
      <c r="F231" s="113" t="n"/>
      <c r="G231" s="114" t="n"/>
      <c r="H231" s="114" t="n"/>
      <c r="I231" s="113" t="n"/>
      <c r="J231" s="114" t="n"/>
      <c r="K231" s="114" t="n"/>
      <c r="L231" s="113" t="n"/>
      <c r="M231" s="114" t="n"/>
      <c r="N231" s="114" t="n"/>
      <c r="O231" s="113">
        <f>L231+I231+F231+C231</f>
        <v/>
      </c>
      <c r="P231" s="114">
        <f>M231+J231+G231+D231</f>
        <v/>
      </c>
      <c r="Q231" s="114">
        <f>N231+K231+H231+E231</f>
        <v/>
      </c>
      <c r="R231" s="113">
        <f>SUMIFS('PO Log'!$E:$E,'PO Log'!$D:$D,'Category Table'!R$2,'PO Log'!$C:$C,'Category Table'!$A231)</f>
        <v/>
      </c>
      <c r="S231" s="114">
        <f>SUMIFS('PO Log'!$E:$E,'PO Log'!$D:$D,'Category Table'!S$2,'PO Log'!$C:$C,'Category Table'!$A231)</f>
        <v/>
      </c>
      <c r="T231" s="114">
        <f>SUMIFS('PO Log'!$E:$E,'PO Log'!$D:$D,'Category Table'!T$2,'PO Log'!$C:$C,'Category Table'!$A231)</f>
        <v/>
      </c>
      <c r="U231" s="113">
        <f>SUMIFS('Committments Dump'!$Q:$Q,'Committments Dump'!$C:$C,'Category Table'!U$2,'Committments Dump'!$B:$B,'Category Table'!$A231)</f>
        <v/>
      </c>
      <c r="V231" s="114">
        <f>SUMIFS('Committments Dump'!$Q:$Q,'Committments Dump'!$C:$C,'Category Table'!V$2,'Committments Dump'!$B:$B,'Category Table'!$A231)</f>
        <v/>
      </c>
      <c r="W231" s="114">
        <f>SUMIFS('Committments Dump'!$Q:$Q,'Committments Dump'!$C:$C,'Category Table'!W$2,'Committments Dump'!$B:$B,'Category Table'!$A231)</f>
        <v/>
      </c>
      <c r="X231" s="113">
        <f>SUMIFS('Committments Dump'!$R:$R,'Committments Dump'!$C:$C,'Category Table'!X$2,'Committments Dump'!$B:$B,'Category Table'!$A231)</f>
        <v/>
      </c>
      <c r="Y231" s="114">
        <f>SUMIFS('Committments Dump'!$R:$R,'Committments Dump'!$C:$C,'Category Table'!Y$2,'Committments Dump'!$B:$B,'Category Table'!$A231)</f>
        <v/>
      </c>
      <c r="Z231" s="114">
        <f>SUMIFS('Committments Dump'!$R:$R,'Committments Dump'!$C:$C,'Category Table'!Z$2,'Committments Dump'!$B:$B,'Category Table'!$A231)</f>
        <v/>
      </c>
      <c r="AA231" s="113">
        <f>SUMIFS('Committments Dump'!$S:$S,'Committments Dump'!$C:$C,'Category Table'!AA$2,'Committments Dump'!$B:$B,'Category Table'!$A231)</f>
        <v/>
      </c>
      <c r="AB231" s="114">
        <f>SUMIFS('Committments Dump'!$S:$S,'Committments Dump'!$C:$C,'Category Table'!AB$2,'Committments Dump'!$B:$B,'Category Table'!$A231)</f>
        <v/>
      </c>
      <c r="AC231" s="114">
        <f>SUMIFS('Committments Dump'!$S:$S,'Committments Dump'!$C:$C,'Category Table'!AC$2,'Committments Dump'!$B:$B,'Category Table'!$A231)</f>
        <v/>
      </c>
      <c r="AD231" s="113">
        <f>U231+X231+AA231</f>
        <v/>
      </c>
      <c r="AE231" s="114">
        <f>V231+Y231+AB231</f>
        <v/>
      </c>
      <c r="AF231" s="114">
        <f>W231+Z231+AC231</f>
        <v/>
      </c>
      <c r="AG231" s="113">
        <f>R231+AD231</f>
        <v/>
      </c>
      <c r="AH231" s="114">
        <f>S231+AE231</f>
        <v/>
      </c>
      <c r="AI231" s="114">
        <f>T231+AF231</f>
        <v/>
      </c>
      <c r="AJ231" s="113" t="n"/>
      <c r="AK231" s="114" t="n"/>
      <c r="AL231" s="114" t="n"/>
      <c r="AM231" s="113">
        <f>(O231-AG231)+AJ231</f>
        <v/>
      </c>
      <c r="AN231" s="114">
        <f>(P231-AH231)+AK231</f>
        <v/>
      </c>
      <c r="AO231" s="114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11" t="n"/>
      <c r="D232" s="112" t="n"/>
      <c r="E232" s="112" t="n"/>
      <c r="F232" s="111" t="n"/>
      <c r="G232" s="112" t="n"/>
      <c r="H232" s="112" t="n"/>
      <c r="I232" s="111" t="n"/>
      <c r="J232" s="112" t="n"/>
      <c r="K232" s="112" t="n"/>
      <c r="L232" s="111" t="n"/>
      <c r="M232" s="112" t="n"/>
      <c r="N232" s="112" t="n"/>
      <c r="O232" s="111">
        <f>L232+I232+F232+C232</f>
        <v/>
      </c>
      <c r="P232" s="112">
        <f>M232+J232+G232+D232</f>
        <v/>
      </c>
      <c r="Q232" s="112">
        <f>N232+K232+H232+E232</f>
        <v/>
      </c>
      <c r="R232" s="111">
        <f>SUMIFS('PO Log'!$E:$E,'PO Log'!$D:$D,'Category Table'!R$2,'PO Log'!$C:$C,'Category Table'!$A232)</f>
        <v/>
      </c>
      <c r="S232" s="112">
        <f>SUMIFS('PO Log'!$E:$E,'PO Log'!$D:$D,'Category Table'!S$2,'PO Log'!$C:$C,'Category Table'!$A232)</f>
        <v/>
      </c>
      <c r="T232" s="112">
        <f>SUMIFS('PO Log'!$E:$E,'PO Log'!$D:$D,'Category Table'!T$2,'PO Log'!$C:$C,'Category Table'!$A232)</f>
        <v/>
      </c>
      <c r="U232" s="111">
        <f>SUMIFS('Committments Dump'!$Q:$Q,'Committments Dump'!$C:$C,'Category Table'!U$2,'Committments Dump'!$B:$B,'Category Table'!$A232)</f>
        <v/>
      </c>
      <c r="V232" s="112">
        <f>SUMIFS('Committments Dump'!$Q:$Q,'Committments Dump'!$C:$C,'Category Table'!V$2,'Committments Dump'!$B:$B,'Category Table'!$A232)</f>
        <v/>
      </c>
      <c r="W232" s="112">
        <f>SUMIFS('Committments Dump'!$Q:$Q,'Committments Dump'!$C:$C,'Category Table'!W$2,'Committments Dump'!$B:$B,'Category Table'!$A232)</f>
        <v/>
      </c>
      <c r="X232" s="111">
        <f>SUMIFS('Committments Dump'!$R:$R,'Committments Dump'!$C:$C,'Category Table'!X$2,'Committments Dump'!$B:$B,'Category Table'!$A232)</f>
        <v/>
      </c>
      <c r="Y232" s="112">
        <f>SUMIFS('Committments Dump'!$R:$R,'Committments Dump'!$C:$C,'Category Table'!Y$2,'Committments Dump'!$B:$B,'Category Table'!$A232)</f>
        <v/>
      </c>
      <c r="Z232" s="112">
        <f>SUMIFS('Committments Dump'!$R:$R,'Committments Dump'!$C:$C,'Category Table'!Z$2,'Committments Dump'!$B:$B,'Category Table'!$A232)</f>
        <v/>
      </c>
      <c r="AA232" s="111">
        <f>SUMIFS('Committments Dump'!$S:$S,'Committments Dump'!$C:$C,'Category Table'!AA$2,'Committments Dump'!$B:$B,'Category Table'!$A232)</f>
        <v/>
      </c>
      <c r="AB232" s="112">
        <f>SUMIFS('Committments Dump'!$S:$S,'Committments Dump'!$C:$C,'Category Table'!AB$2,'Committments Dump'!$B:$B,'Category Table'!$A232)</f>
        <v/>
      </c>
      <c r="AC232" s="112">
        <f>SUMIFS('Committments Dump'!$S:$S,'Committments Dump'!$C:$C,'Category Table'!AC$2,'Committments Dump'!$B:$B,'Category Table'!$A232)</f>
        <v/>
      </c>
      <c r="AD232" s="111">
        <f>U232+X232+AA232</f>
        <v/>
      </c>
      <c r="AE232" s="112">
        <f>V232+Y232+AB232</f>
        <v/>
      </c>
      <c r="AF232" s="112">
        <f>W232+Z232+AC232</f>
        <v/>
      </c>
      <c r="AG232" s="111">
        <f>R232+AD232</f>
        <v/>
      </c>
      <c r="AH232" s="112">
        <f>S232+AE232</f>
        <v/>
      </c>
      <c r="AI232" s="112">
        <f>T232+AF232</f>
        <v/>
      </c>
      <c r="AJ232" s="111" t="n"/>
      <c r="AK232" s="112" t="n"/>
      <c r="AL232" s="112" t="n"/>
      <c r="AM232" s="111">
        <f>(O232-AG232)+AJ232</f>
        <v/>
      </c>
      <c r="AN232" s="112">
        <f>(P232-AH232)+AK232</f>
        <v/>
      </c>
      <c r="AO232" s="112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13" t="n"/>
      <c r="D233" s="114" t="n"/>
      <c r="E233" s="114" t="n"/>
      <c r="F233" s="113" t="n"/>
      <c r="G233" s="114" t="n"/>
      <c r="H233" s="114" t="n"/>
      <c r="I233" s="113" t="n"/>
      <c r="J233" s="114" t="n"/>
      <c r="K233" s="114" t="n"/>
      <c r="L233" s="113" t="n"/>
      <c r="M233" s="114" t="n"/>
      <c r="N233" s="114" t="n"/>
      <c r="O233" s="113">
        <f>L233+I233+F233+C233</f>
        <v/>
      </c>
      <c r="P233" s="114">
        <f>M233+J233+G233+D233</f>
        <v/>
      </c>
      <c r="Q233" s="114">
        <f>N233+K233+H233+E233</f>
        <v/>
      </c>
      <c r="R233" s="113">
        <f>SUMIFS('PO Log'!$E:$E,'PO Log'!$D:$D,'Category Table'!R$2,'PO Log'!$C:$C,'Category Table'!$A233)</f>
        <v/>
      </c>
      <c r="S233" s="114">
        <f>SUMIFS('PO Log'!$E:$E,'PO Log'!$D:$D,'Category Table'!S$2,'PO Log'!$C:$C,'Category Table'!$A233)</f>
        <v/>
      </c>
      <c r="T233" s="114">
        <f>SUMIFS('PO Log'!$E:$E,'PO Log'!$D:$D,'Category Table'!T$2,'PO Log'!$C:$C,'Category Table'!$A233)</f>
        <v/>
      </c>
      <c r="U233" s="113">
        <f>SUMIFS('Committments Dump'!$Q:$Q,'Committments Dump'!$C:$C,'Category Table'!U$2,'Committments Dump'!$B:$B,'Category Table'!$A233)</f>
        <v/>
      </c>
      <c r="V233" s="114">
        <f>SUMIFS('Committments Dump'!$Q:$Q,'Committments Dump'!$C:$C,'Category Table'!V$2,'Committments Dump'!$B:$B,'Category Table'!$A233)</f>
        <v/>
      </c>
      <c r="W233" s="114">
        <f>SUMIFS('Committments Dump'!$Q:$Q,'Committments Dump'!$C:$C,'Category Table'!W$2,'Committments Dump'!$B:$B,'Category Table'!$A233)</f>
        <v/>
      </c>
      <c r="X233" s="113">
        <f>SUMIFS('Committments Dump'!$R:$R,'Committments Dump'!$C:$C,'Category Table'!X$2,'Committments Dump'!$B:$B,'Category Table'!$A233)</f>
        <v/>
      </c>
      <c r="Y233" s="114">
        <f>SUMIFS('Committments Dump'!$R:$R,'Committments Dump'!$C:$C,'Category Table'!Y$2,'Committments Dump'!$B:$B,'Category Table'!$A233)</f>
        <v/>
      </c>
      <c r="Z233" s="114">
        <f>SUMIFS('Committments Dump'!$R:$R,'Committments Dump'!$C:$C,'Category Table'!Z$2,'Committments Dump'!$B:$B,'Category Table'!$A233)</f>
        <v/>
      </c>
      <c r="AA233" s="113">
        <f>SUMIFS('Committments Dump'!$S:$S,'Committments Dump'!$C:$C,'Category Table'!AA$2,'Committments Dump'!$B:$B,'Category Table'!$A233)</f>
        <v/>
      </c>
      <c r="AB233" s="114">
        <f>SUMIFS('Committments Dump'!$S:$S,'Committments Dump'!$C:$C,'Category Table'!AB$2,'Committments Dump'!$B:$B,'Category Table'!$A233)</f>
        <v/>
      </c>
      <c r="AC233" s="114">
        <f>SUMIFS('Committments Dump'!$S:$S,'Committments Dump'!$C:$C,'Category Table'!AC$2,'Committments Dump'!$B:$B,'Category Table'!$A233)</f>
        <v/>
      </c>
      <c r="AD233" s="113">
        <f>U233+X233+AA233</f>
        <v/>
      </c>
      <c r="AE233" s="114">
        <f>V233+Y233+AB233</f>
        <v/>
      </c>
      <c r="AF233" s="114">
        <f>W233+Z233+AC233</f>
        <v/>
      </c>
      <c r="AG233" s="113">
        <f>R233+AD233</f>
        <v/>
      </c>
      <c r="AH233" s="114">
        <f>S233+AE233</f>
        <v/>
      </c>
      <c r="AI233" s="114">
        <f>T233+AF233</f>
        <v/>
      </c>
      <c r="AJ233" s="113" t="n"/>
      <c r="AK233" s="114" t="n"/>
      <c r="AL233" s="114" t="n"/>
      <c r="AM233" s="113">
        <f>(O233-AG233)+AJ233</f>
        <v/>
      </c>
      <c r="AN233" s="114">
        <f>(P233-AH233)+AK233</f>
        <v/>
      </c>
      <c r="AO233" s="114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11" t="n"/>
      <c r="D234" s="112" t="n"/>
      <c r="E234" s="112" t="n"/>
      <c r="F234" s="111" t="n"/>
      <c r="G234" s="112" t="n"/>
      <c r="H234" s="112" t="n"/>
      <c r="I234" s="111" t="n"/>
      <c r="J234" s="112" t="n"/>
      <c r="K234" s="112" t="n"/>
      <c r="L234" s="111" t="n"/>
      <c r="M234" s="112" t="n"/>
      <c r="N234" s="112" t="n"/>
      <c r="O234" s="111">
        <f>L234+I234+F234+C234</f>
        <v/>
      </c>
      <c r="P234" s="112">
        <f>M234+J234+G234+D234</f>
        <v/>
      </c>
      <c r="Q234" s="112">
        <f>N234+K234+H234+E234</f>
        <v/>
      </c>
      <c r="R234" s="111">
        <f>SUMIFS('PO Log'!$E:$E,'PO Log'!$D:$D,'Category Table'!R$2,'PO Log'!$C:$C,'Category Table'!$A234)</f>
        <v/>
      </c>
      <c r="S234" s="112">
        <f>SUMIFS('PO Log'!$E:$E,'PO Log'!$D:$D,'Category Table'!S$2,'PO Log'!$C:$C,'Category Table'!$A234)</f>
        <v/>
      </c>
      <c r="T234" s="112">
        <f>SUMIFS('PO Log'!$E:$E,'PO Log'!$D:$D,'Category Table'!T$2,'PO Log'!$C:$C,'Category Table'!$A234)</f>
        <v/>
      </c>
      <c r="U234" s="111">
        <f>SUMIFS('Committments Dump'!$Q:$Q,'Committments Dump'!$C:$C,'Category Table'!U$2,'Committments Dump'!$B:$B,'Category Table'!$A234)</f>
        <v/>
      </c>
      <c r="V234" s="112">
        <f>SUMIFS('Committments Dump'!$Q:$Q,'Committments Dump'!$C:$C,'Category Table'!V$2,'Committments Dump'!$B:$B,'Category Table'!$A234)</f>
        <v/>
      </c>
      <c r="W234" s="112">
        <f>SUMIFS('Committments Dump'!$Q:$Q,'Committments Dump'!$C:$C,'Category Table'!W$2,'Committments Dump'!$B:$B,'Category Table'!$A234)</f>
        <v/>
      </c>
      <c r="X234" s="111">
        <f>SUMIFS('Committments Dump'!$R:$R,'Committments Dump'!$C:$C,'Category Table'!X$2,'Committments Dump'!$B:$B,'Category Table'!$A234)</f>
        <v/>
      </c>
      <c r="Y234" s="112">
        <f>SUMIFS('Committments Dump'!$R:$R,'Committments Dump'!$C:$C,'Category Table'!Y$2,'Committments Dump'!$B:$B,'Category Table'!$A234)</f>
        <v/>
      </c>
      <c r="Z234" s="112">
        <f>SUMIFS('Committments Dump'!$R:$R,'Committments Dump'!$C:$C,'Category Table'!Z$2,'Committments Dump'!$B:$B,'Category Table'!$A234)</f>
        <v/>
      </c>
      <c r="AA234" s="111">
        <f>SUMIFS('Committments Dump'!$S:$S,'Committments Dump'!$C:$C,'Category Table'!AA$2,'Committments Dump'!$B:$B,'Category Table'!$A234)</f>
        <v/>
      </c>
      <c r="AB234" s="112">
        <f>SUMIFS('Committments Dump'!$S:$S,'Committments Dump'!$C:$C,'Category Table'!AB$2,'Committments Dump'!$B:$B,'Category Table'!$A234)</f>
        <v/>
      </c>
      <c r="AC234" s="112">
        <f>SUMIFS('Committments Dump'!$S:$S,'Committments Dump'!$C:$C,'Category Table'!AC$2,'Committments Dump'!$B:$B,'Category Table'!$A234)</f>
        <v/>
      </c>
      <c r="AD234" s="111">
        <f>U234+X234+AA234</f>
        <v/>
      </c>
      <c r="AE234" s="112">
        <f>V234+Y234+AB234</f>
        <v/>
      </c>
      <c r="AF234" s="112">
        <f>W234+Z234+AC234</f>
        <v/>
      </c>
      <c r="AG234" s="111">
        <f>R234+AD234</f>
        <v/>
      </c>
      <c r="AH234" s="112">
        <f>S234+AE234</f>
        <v/>
      </c>
      <c r="AI234" s="112">
        <f>T234+AF234</f>
        <v/>
      </c>
      <c r="AJ234" s="111" t="n"/>
      <c r="AK234" s="112" t="n"/>
      <c r="AL234" s="112" t="n"/>
      <c r="AM234" s="111">
        <f>(O234-AG234)+AJ234</f>
        <v/>
      </c>
      <c r="AN234" s="112">
        <f>(P234-AH234)+AK234</f>
        <v/>
      </c>
      <c r="AO234" s="112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13" t="n"/>
      <c r="D235" s="114" t="n"/>
      <c r="E235" s="114" t="n"/>
      <c r="F235" s="113" t="n"/>
      <c r="G235" s="114" t="n"/>
      <c r="H235" s="114" t="n"/>
      <c r="I235" s="113" t="n"/>
      <c r="J235" s="114" t="n"/>
      <c r="K235" s="114" t="n"/>
      <c r="L235" s="113" t="n"/>
      <c r="M235" s="114" t="n"/>
      <c r="N235" s="114" t="n"/>
      <c r="O235" s="113">
        <f>L235+I235+F235+C235</f>
        <v/>
      </c>
      <c r="P235" s="114">
        <f>M235+J235+G235+D235</f>
        <v/>
      </c>
      <c r="Q235" s="114">
        <f>N235+K235+H235+E235</f>
        <v/>
      </c>
      <c r="R235" s="113">
        <f>SUMIFS('PO Log'!$E:$E,'PO Log'!$D:$D,'Category Table'!R$2,'PO Log'!$C:$C,'Category Table'!$A235)</f>
        <v/>
      </c>
      <c r="S235" s="114">
        <f>SUMIFS('PO Log'!$E:$E,'PO Log'!$D:$D,'Category Table'!S$2,'PO Log'!$C:$C,'Category Table'!$A235)</f>
        <v/>
      </c>
      <c r="T235" s="114">
        <f>SUMIFS('PO Log'!$E:$E,'PO Log'!$D:$D,'Category Table'!T$2,'PO Log'!$C:$C,'Category Table'!$A235)</f>
        <v/>
      </c>
      <c r="U235" s="113">
        <f>SUMIFS('Committments Dump'!$Q:$Q,'Committments Dump'!$C:$C,'Category Table'!U$2,'Committments Dump'!$B:$B,'Category Table'!$A235)</f>
        <v/>
      </c>
      <c r="V235" s="114">
        <f>SUMIFS('Committments Dump'!$Q:$Q,'Committments Dump'!$C:$C,'Category Table'!V$2,'Committments Dump'!$B:$B,'Category Table'!$A235)</f>
        <v/>
      </c>
      <c r="W235" s="114">
        <f>SUMIFS('Committments Dump'!$Q:$Q,'Committments Dump'!$C:$C,'Category Table'!W$2,'Committments Dump'!$B:$B,'Category Table'!$A235)</f>
        <v/>
      </c>
      <c r="X235" s="113">
        <f>SUMIFS('Committments Dump'!$R:$R,'Committments Dump'!$C:$C,'Category Table'!X$2,'Committments Dump'!$B:$B,'Category Table'!$A235)</f>
        <v/>
      </c>
      <c r="Y235" s="114">
        <f>SUMIFS('Committments Dump'!$R:$R,'Committments Dump'!$C:$C,'Category Table'!Y$2,'Committments Dump'!$B:$B,'Category Table'!$A235)</f>
        <v/>
      </c>
      <c r="Z235" s="114">
        <f>SUMIFS('Committments Dump'!$R:$R,'Committments Dump'!$C:$C,'Category Table'!Z$2,'Committments Dump'!$B:$B,'Category Table'!$A235)</f>
        <v/>
      </c>
      <c r="AA235" s="113">
        <f>SUMIFS('Committments Dump'!$S:$S,'Committments Dump'!$C:$C,'Category Table'!AA$2,'Committments Dump'!$B:$B,'Category Table'!$A235)</f>
        <v/>
      </c>
      <c r="AB235" s="114">
        <f>SUMIFS('Committments Dump'!$S:$S,'Committments Dump'!$C:$C,'Category Table'!AB$2,'Committments Dump'!$B:$B,'Category Table'!$A235)</f>
        <v/>
      </c>
      <c r="AC235" s="114">
        <f>SUMIFS('Committments Dump'!$S:$S,'Committments Dump'!$C:$C,'Category Table'!AC$2,'Committments Dump'!$B:$B,'Category Table'!$A235)</f>
        <v/>
      </c>
      <c r="AD235" s="113">
        <f>U235+X235+AA235</f>
        <v/>
      </c>
      <c r="AE235" s="114">
        <f>V235+Y235+AB235</f>
        <v/>
      </c>
      <c r="AF235" s="114">
        <f>W235+Z235+AC235</f>
        <v/>
      </c>
      <c r="AG235" s="113">
        <f>R235+AD235</f>
        <v/>
      </c>
      <c r="AH235" s="114">
        <f>S235+AE235</f>
        <v/>
      </c>
      <c r="AI235" s="114">
        <f>T235+AF235</f>
        <v/>
      </c>
      <c r="AJ235" s="113" t="n"/>
      <c r="AK235" s="114" t="n"/>
      <c r="AL235" s="114" t="n"/>
      <c r="AM235" s="113">
        <f>(O235-AG235)+AJ235</f>
        <v/>
      </c>
      <c r="AN235" s="114">
        <f>(P235-AH235)+AK235</f>
        <v/>
      </c>
      <c r="AO235" s="114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11" t="n"/>
      <c r="D236" s="112" t="n"/>
      <c r="E236" s="112" t="n"/>
      <c r="F236" s="111" t="n"/>
      <c r="G236" s="112" t="n"/>
      <c r="H236" s="112" t="n"/>
      <c r="I236" s="111" t="n"/>
      <c r="J236" s="112" t="n"/>
      <c r="K236" s="112" t="n"/>
      <c r="L236" s="111" t="n"/>
      <c r="M236" s="112" t="n"/>
      <c r="N236" s="112" t="n"/>
      <c r="O236" s="111">
        <f>L236+I236+F236+C236</f>
        <v/>
      </c>
      <c r="P236" s="112">
        <f>M236+J236+G236+D236</f>
        <v/>
      </c>
      <c r="Q236" s="112">
        <f>N236+K236+H236+E236</f>
        <v/>
      </c>
      <c r="R236" s="111">
        <f>SUMIFS('PO Log'!$E:$E,'PO Log'!$D:$D,'Category Table'!R$2,'PO Log'!$C:$C,'Category Table'!$A236)</f>
        <v/>
      </c>
      <c r="S236" s="112">
        <f>SUMIFS('PO Log'!$E:$E,'PO Log'!$D:$D,'Category Table'!S$2,'PO Log'!$C:$C,'Category Table'!$A236)</f>
        <v/>
      </c>
      <c r="T236" s="112">
        <f>SUMIFS('PO Log'!$E:$E,'PO Log'!$D:$D,'Category Table'!T$2,'PO Log'!$C:$C,'Category Table'!$A236)</f>
        <v/>
      </c>
      <c r="U236" s="111">
        <f>SUMIFS('Committments Dump'!$Q:$Q,'Committments Dump'!$C:$C,'Category Table'!U$2,'Committments Dump'!$B:$B,'Category Table'!$A236)</f>
        <v/>
      </c>
      <c r="V236" s="112">
        <f>SUMIFS('Committments Dump'!$Q:$Q,'Committments Dump'!$C:$C,'Category Table'!V$2,'Committments Dump'!$B:$B,'Category Table'!$A236)</f>
        <v/>
      </c>
      <c r="W236" s="112">
        <f>SUMIFS('Committments Dump'!$Q:$Q,'Committments Dump'!$C:$C,'Category Table'!W$2,'Committments Dump'!$B:$B,'Category Table'!$A236)</f>
        <v/>
      </c>
      <c r="X236" s="111">
        <f>SUMIFS('Committments Dump'!$R:$R,'Committments Dump'!$C:$C,'Category Table'!X$2,'Committments Dump'!$B:$B,'Category Table'!$A236)</f>
        <v/>
      </c>
      <c r="Y236" s="112">
        <f>SUMIFS('Committments Dump'!$R:$R,'Committments Dump'!$C:$C,'Category Table'!Y$2,'Committments Dump'!$B:$B,'Category Table'!$A236)</f>
        <v/>
      </c>
      <c r="Z236" s="112">
        <f>SUMIFS('Committments Dump'!$R:$R,'Committments Dump'!$C:$C,'Category Table'!Z$2,'Committments Dump'!$B:$B,'Category Table'!$A236)</f>
        <v/>
      </c>
      <c r="AA236" s="111">
        <f>SUMIFS('Committments Dump'!$S:$S,'Committments Dump'!$C:$C,'Category Table'!AA$2,'Committments Dump'!$B:$B,'Category Table'!$A236)</f>
        <v/>
      </c>
      <c r="AB236" s="112">
        <f>SUMIFS('Committments Dump'!$S:$S,'Committments Dump'!$C:$C,'Category Table'!AB$2,'Committments Dump'!$B:$B,'Category Table'!$A236)</f>
        <v/>
      </c>
      <c r="AC236" s="112">
        <f>SUMIFS('Committments Dump'!$S:$S,'Committments Dump'!$C:$C,'Category Table'!AC$2,'Committments Dump'!$B:$B,'Category Table'!$A236)</f>
        <v/>
      </c>
      <c r="AD236" s="111">
        <f>U236+X236+AA236</f>
        <v/>
      </c>
      <c r="AE236" s="112">
        <f>V236+Y236+AB236</f>
        <v/>
      </c>
      <c r="AF236" s="112">
        <f>W236+Z236+AC236</f>
        <v/>
      </c>
      <c r="AG236" s="111">
        <f>R236+AD236</f>
        <v/>
      </c>
      <c r="AH236" s="112">
        <f>S236+AE236</f>
        <v/>
      </c>
      <c r="AI236" s="112">
        <f>T236+AF236</f>
        <v/>
      </c>
      <c r="AJ236" s="111" t="n"/>
      <c r="AK236" s="112" t="n"/>
      <c r="AL236" s="112" t="n"/>
      <c r="AM236" s="111">
        <f>(O236-AG236)+AJ236</f>
        <v/>
      </c>
      <c r="AN236" s="112">
        <f>(P236-AH236)+AK236</f>
        <v/>
      </c>
      <c r="AO236" s="112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13" t="n"/>
      <c r="D237" s="114" t="n"/>
      <c r="E237" s="114" t="n"/>
      <c r="F237" s="113" t="n"/>
      <c r="G237" s="114" t="n"/>
      <c r="H237" s="114" t="n"/>
      <c r="I237" s="113" t="n"/>
      <c r="J237" s="114" t="n"/>
      <c r="K237" s="114" t="n"/>
      <c r="L237" s="113" t="n"/>
      <c r="M237" s="114" t="n"/>
      <c r="N237" s="114" t="n"/>
      <c r="O237" s="113">
        <f>L237+I237+F237+C237</f>
        <v/>
      </c>
      <c r="P237" s="114">
        <f>M237+J237+G237+D237</f>
        <v/>
      </c>
      <c r="Q237" s="114">
        <f>N237+K237+H237+E237</f>
        <v/>
      </c>
      <c r="R237" s="113">
        <f>SUMIFS('PO Log'!$E:$E,'PO Log'!$D:$D,'Category Table'!R$2,'PO Log'!$C:$C,'Category Table'!$A237)</f>
        <v/>
      </c>
      <c r="S237" s="114">
        <f>SUMIFS('PO Log'!$E:$E,'PO Log'!$D:$D,'Category Table'!S$2,'PO Log'!$C:$C,'Category Table'!$A237)</f>
        <v/>
      </c>
      <c r="T237" s="114">
        <f>SUMIFS('PO Log'!$E:$E,'PO Log'!$D:$D,'Category Table'!T$2,'PO Log'!$C:$C,'Category Table'!$A237)</f>
        <v/>
      </c>
      <c r="U237" s="113">
        <f>SUMIFS('Committments Dump'!$Q:$Q,'Committments Dump'!$C:$C,'Category Table'!U$2,'Committments Dump'!$B:$B,'Category Table'!$A237)</f>
        <v/>
      </c>
      <c r="V237" s="114">
        <f>SUMIFS('Committments Dump'!$Q:$Q,'Committments Dump'!$C:$C,'Category Table'!V$2,'Committments Dump'!$B:$B,'Category Table'!$A237)</f>
        <v/>
      </c>
      <c r="W237" s="114">
        <f>SUMIFS('Committments Dump'!$Q:$Q,'Committments Dump'!$C:$C,'Category Table'!W$2,'Committments Dump'!$B:$B,'Category Table'!$A237)</f>
        <v/>
      </c>
      <c r="X237" s="113">
        <f>SUMIFS('Committments Dump'!$R:$R,'Committments Dump'!$C:$C,'Category Table'!X$2,'Committments Dump'!$B:$B,'Category Table'!$A237)</f>
        <v/>
      </c>
      <c r="Y237" s="114">
        <f>SUMIFS('Committments Dump'!$R:$R,'Committments Dump'!$C:$C,'Category Table'!Y$2,'Committments Dump'!$B:$B,'Category Table'!$A237)</f>
        <v/>
      </c>
      <c r="Z237" s="114">
        <f>SUMIFS('Committments Dump'!$R:$R,'Committments Dump'!$C:$C,'Category Table'!Z$2,'Committments Dump'!$B:$B,'Category Table'!$A237)</f>
        <v/>
      </c>
      <c r="AA237" s="113">
        <f>SUMIFS('Committments Dump'!$S:$S,'Committments Dump'!$C:$C,'Category Table'!AA$2,'Committments Dump'!$B:$B,'Category Table'!$A237)</f>
        <v/>
      </c>
      <c r="AB237" s="114">
        <f>SUMIFS('Committments Dump'!$S:$S,'Committments Dump'!$C:$C,'Category Table'!AB$2,'Committments Dump'!$B:$B,'Category Table'!$A237)</f>
        <v/>
      </c>
      <c r="AC237" s="114">
        <f>SUMIFS('Committments Dump'!$S:$S,'Committments Dump'!$C:$C,'Category Table'!AC$2,'Committments Dump'!$B:$B,'Category Table'!$A237)</f>
        <v/>
      </c>
      <c r="AD237" s="113">
        <f>U237+X237+AA237</f>
        <v/>
      </c>
      <c r="AE237" s="114">
        <f>V237+Y237+AB237</f>
        <v/>
      </c>
      <c r="AF237" s="114">
        <f>W237+Z237+AC237</f>
        <v/>
      </c>
      <c r="AG237" s="113">
        <f>R237+AD237</f>
        <v/>
      </c>
      <c r="AH237" s="114">
        <f>S237+AE237</f>
        <v/>
      </c>
      <c r="AI237" s="114">
        <f>T237+AF237</f>
        <v/>
      </c>
      <c r="AJ237" s="113" t="n"/>
      <c r="AK237" s="114" t="n"/>
      <c r="AL237" s="114" t="n"/>
      <c r="AM237" s="113">
        <f>(O237-AG237)+AJ237</f>
        <v/>
      </c>
      <c r="AN237" s="114">
        <f>(P237-AH237)+AK237</f>
        <v/>
      </c>
      <c r="AO237" s="114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11" t="n"/>
      <c r="D238" s="112" t="n"/>
      <c r="E238" s="112" t="n"/>
      <c r="F238" s="111" t="n"/>
      <c r="G238" s="112" t="n"/>
      <c r="H238" s="112" t="n"/>
      <c r="I238" s="111" t="n"/>
      <c r="J238" s="112" t="n"/>
      <c r="K238" s="112" t="n"/>
      <c r="L238" s="111" t="n"/>
      <c r="M238" s="112" t="n"/>
      <c r="N238" s="112" t="n"/>
      <c r="O238" s="111">
        <f>L238+I238+F238+C238</f>
        <v/>
      </c>
      <c r="P238" s="112">
        <f>M238+J238+G238+D238</f>
        <v/>
      </c>
      <c r="Q238" s="112">
        <f>N238+K238+H238+E238</f>
        <v/>
      </c>
      <c r="R238" s="111">
        <f>SUMIFS('PO Log'!$E:$E,'PO Log'!$D:$D,'Category Table'!R$2,'PO Log'!$C:$C,'Category Table'!$A238)</f>
        <v/>
      </c>
      <c r="S238" s="112">
        <f>SUMIFS('PO Log'!$E:$E,'PO Log'!$D:$D,'Category Table'!S$2,'PO Log'!$C:$C,'Category Table'!$A238)</f>
        <v/>
      </c>
      <c r="T238" s="112">
        <f>SUMIFS('PO Log'!$E:$E,'PO Log'!$D:$D,'Category Table'!T$2,'PO Log'!$C:$C,'Category Table'!$A238)</f>
        <v/>
      </c>
      <c r="U238" s="111">
        <f>SUMIFS('Committments Dump'!$Q:$Q,'Committments Dump'!$C:$C,'Category Table'!U$2,'Committments Dump'!$B:$B,'Category Table'!$A238)</f>
        <v/>
      </c>
      <c r="V238" s="112">
        <f>SUMIFS('Committments Dump'!$Q:$Q,'Committments Dump'!$C:$C,'Category Table'!V$2,'Committments Dump'!$B:$B,'Category Table'!$A238)</f>
        <v/>
      </c>
      <c r="W238" s="112">
        <f>SUMIFS('Committments Dump'!$Q:$Q,'Committments Dump'!$C:$C,'Category Table'!W$2,'Committments Dump'!$B:$B,'Category Table'!$A238)</f>
        <v/>
      </c>
      <c r="X238" s="111">
        <f>SUMIFS('Committments Dump'!$R:$R,'Committments Dump'!$C:$C,'Category Table'!X$2,'Committments Dump'!$B:$B,'Category Table'!$A238)</f>
        <v/>
      </c>
      <c r="Y238" s="112">
        <f>SUMIFS('Committments Dump'!$R:$R,'Committments Dump'!$C:$C,'Category Table'!Y$2,'Committments Dump'!$B:$B,'Category Table'!$A238)</f>
        <v/>
      </c>
      <c r="Z238" s="112">
        <f>SUMIFS('Committments Dump'!$R:$R,'Committments Dump'!$C:$C,'Category Table'!Z$2,'Committments Dump'!$B:$B,'Category Table'!$A238)</f>
        <v/>
      </c>
      <c r="AA238" s="111">
        <f>SUMIFS('Committments Dump'!$S:$S,'Committments Dump'!$C:$C,'Category Table'!AA$2,'Committments Dump'!$B:$B,'Category Table'!$A238)</f>
        <v/>
      </c>
      <c r="AB238" s="112">
        <f>SUMIFS('Committments Dump'!$S:$S,'Committments Dump'!$C:$C,'Category Table'!AB$2,'Committments Dump'!$B:$B,'Category Table'!$A238)</f>
        <v/>
      </c>
      <c r="AC238" s="112">
        <f>SUMIFS('Committments Dump'!$S:$S,'Committments Dump'!$C:$C,'Category Table'!AC$2,'Committments Dump'!$B:$B,'Category Table'!$A238)</f>
        <v/>
      </c>
      <c r="AD238" s="111">
        <f>U238+X238+AA238</f>
        <v/>
      </c>
      <c r="AE238" s="112">
        <f>V238+Y238+AB238</f>
        <v/>
      </c>
      <c r="AF238" s="112">
        <f>W238+Z238+AC238</f>
        <v/>
      </c>
      <c r="AG238" s="111">
        <f>R238+AD238</f>
        <v/>
      </c>
      <c r="AH238" s="112">
        <f>S238+AE238</f>
        <v/>
      </c>
      <c r="AI238" s="112">
        <f>T238+AF238</f>
        <v/>
      </c>
      <c r="AJ238" s="111" t="n"/>
      <c r="AK238" s="112" t="n"/>
      <c r="AL238" s="112" t="n"/>
      <c r="AM238" s="111">
        <f>(O238-AG238)+AJ238</f>
        <v/>
      </c>
      <c r="AN238" s="112">
        <f>(P238-AH238)+AK238</f>
        <v/>
      </c>
      <c r="AO238" s="112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13" t="n"/>
      <c r="D239" s="114" t="n"/>
      <c r="E239" s="114" t="n"/>
      <c r="F239" s="113" t="n"/>
      <c r="G239" s="114" t="n"/>
      <c r="H239" s="114" t="n"/>
      <c r="I239" s="113" t="n"/>
      <c r="J239" s="114" t="n"/>
      <c r="K239" s="114" t="n"/>
      <c r="L239" s="113" t="n"/>
      <c r="M239" s="114" t="n"/>
      <c r="N239" s="114" t="n"/>
      <c r="O239" s="113">
        <f>L239+I239+F239+C239</f>
        <v/>
      </c>
      <c r="P239" s="114">
        <f>M239+J239+G239+D239</f>
        <v/>
      </c>
      <c r="Q239" s="114">
        <f>N239+K239+H239+E239</f>
        <v/>
      </c>
      <c r="R239" s="113">
        <f>SUMIFS('PO Log'!$E:$E,'PO Log'!$D:$D,'Category Table'!R$2,'PO Log'!$C:$C,'Category Table'!$A239)</f>
        <v/>
      </c>
      <c r="S239" s="114">
        <f>SUMIFS('PO Log'!$E:$E,'PO Log'!$D:$D,'Category Table'!S$2,'PO Log'!$C:$C,'Category Table'!$A239)</f>
        <v/>
      </c>
      <c r="T239" s="114">
        <f>SUMIFS('PO Log'!$E:$E,'PO Log'!$D:$D,'Category Table'!T$2,'PO Log'!$C:$C,'Category Table'!$A239)</f>
        <v/>
      </c>
      <c r="U239" s="113">
        <f>SUMIFS('Committments Dump'!$Q:$Q,'Committments Dump'!$C:$C,'Category Table'!U$2,'Committments Dump'!$B:$B,'Category Table'!$A239)</f>
        <v/>
      </c>
      <c r="V239" s="114">
        <f>SUMIFS('Committments Dump'!$Q:$Q,'Committments Dump'!$C:$C,'Category Table'!V$2,'Committments Dump'!$B:$B,'Category Table'!$A239)</f>
        <v/>
      </c>
      <c r="W239" s="114">
        <f>SUMIFS('Committments Dump'!$Q:$Q,'Committments Dump'!$C:$C,'Category Table'!W$2,'Committments Dump'!$B:$B,'Category Table'!$A239)</f>
        <v/>
      </c>
      <c r="X239" s="113">
        <f>SUMIFS('Committments Dump'!$R:$R,'Committments Dump'!$C:$C,'Category Table'!X$2,'Committments Dump'!$B:$B,'Category Table'!$A239)</f>
        <v/>
      </c>
      <c r="Y239" s="114">
        <f>SUMIFS('Committments Dump'!$R:$R,'Committments Dump'!$C:$C,'Category Table'!Y$2,'Committments Dump'!$B:$B,'Category Table'!$A239)</f>
        <v/>
      </c>
      <c r="Z239" s="114">
        <f>SUMIFS('Committments Dump'!$R:$R,'Committments Dump'!$C:$C,'Category Table'!Z$2,'Committments Dump'!$B:$B,'Category Table'!$A239)</f>
        <v/>
      </c>
      <c r="AA239" s="113">
        <f>SUMIFS('Committments Dump'!$S:$S,'Committments Dump'!$C:$C,'Category Table'!AA$2,'Committments Dump'!$B:$B,'Category Table'!$A239)</f>
        <v/>
      </c>
      <c r="AB239" s="114">
        <f>SUMIFS('Committments Dump'!$S:$S,'Committments Dump'!$C:$C,'Category Table'!AB$2,'Committments Dump'!$B:$B,'Category Table'!$A239)</f>
        <v/>
      </c>
      <c r="AC239" s="114">
        <f>SUMIFS('Committments Dump'!$S:$S,'Committments Dump'!$C:$C,'Category Table'!AC$2,'Committments Dump'!$B:$B,'Category Table'!$A239)</f>
        <v/>
      </c>
      <c r="AD239" s="113">
        <f>U239+X239+AA239</f>
        <v/>
      </c>
      <c r="AE239" s="114">
        <f>V239+Y239+AB239</f>
        <v/>
      </c>
      <c r="AF239" s="114">
        <f>W239+Z239+AC239</f>
        <v/>
      </c>
      <c r="AG239" s="113">
        <f>R239+AD239</f>
        <v/>
      </c>
      <c r="AH239" s="114">
        <f>S239+AE239</f>
        <v/>
      </c>
      <c r="AI239" s="114">
        <f>T239+AF239</f>
        <v/>
      </c>
      <c r="AJ239" s="113" t="n"/>
      <c r="AK239" s="114" t="n"/>
      <c r="AL239" s="114" t="n"/>
      <c r="AM239" s="113">
        <f>(O239-AG239)+AJ239</f>
        <v/>
      </c>
      <c r="AN239" s="114">
        <f>(P239-AH239)+AK239</f>
        <v/>
      </c>
      <c r="AO239" s="114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11" t="n"/>
      <c r="D240" s="112" t="n"/>
      <c r="E240" s="112" t="n"/>
      <c r="F240" s="111" t="n"/>
      <c r="G240" s="112" t="n"/>
      <c r="H240" s="112" t="n"/>
      <c r="I240" s="111" t="n"/>
      <c r="J240" s="112" t="n"/>
      <c r="K240" s="112" t="n"/>
      <c r="L240" s="111" t="n"/>
      <c r="M240" s="112" t="n"/>
      <c r="N240" s="112" t="n"/>
      <c r="O240" s="111">
        <f>L240+I240+F240+C240</f>
        <v/>
      </c>
      <c r="P240" s="112">
        <f>M240+J240+G240+D240</f>
        <v/>
      </c>
      <c r="Q240" s="112">
        <f>N240+K240+H240+E240</f>
        <v/>
      </c>
      <c r="R240" s="111">
        <f>SUMIFS('PO Log'!$E:$E,'PO Log'!$D:$D,'Category Table'!R$2,'PO Log'!$C:$C,'Category Table'!$A240)</f>
        <v/>
      </c>
      <c r="S240" s="112">
        <f>SUMIFS('PO Log'!$E:$E,'PO Log'!$D:$D,'Category Table'!S$2,'PO Log'!$C:$C,'Category Table'!$A240)</f>
        <v/>
      </c>
      <c r="T240" s="112">
        <f>SUMIFS('PO Log'!$E:$E,'PO Log'!$D:$D,'Category Table'!T$2,'PO Log'!$C:$C,'Category Table'!$A240)</f>
        <v/>
      </c>
      <c r="U240" s="111">
        <f>SUMIFS('Committments Dump'!$Q:$Q,'Committments Dump'!$C:$C,'Category Table'!U$2,'Committments Dump'!$B:$B,'Category Table'!$A240)</f>
        <v/>
      </c>
      <c r="V240" s="112">
        <f>SUMIFS('Committments Dump'!$Q:$Q,'Committments Dump'!$C:$C,'Category Table'!V$2,'Committments Dump'!$B:$B,'Category Table'!$A240)</f>
        <v/>
      </c>
      <c r="W240" s="112">
        <f>SUMIFS('Committments Dump'!$Q:$Q,'Committments Dump'!$C:$C,'Category Table'!W$2,'Committments Dump'!$B:$B,'Category Table'!$A240)</f>
        <v/>
      </c>
      <c r="X240" s="111">
        <f>SUMIFS('Committments Dump'!$R:$R,'Committments Dump'!$C:$C,'Category Table'!X$2,'Committments Dump'!$B:$B,'Category Table'!$A240)</f>
        <v/>
      </c>
      <c r="Y240" s="112">
        <f>SUMIFS('Committments Dump'!$R:$R,'Committments Dump'!$C:$C,'Category Table'!Y$2,'Committments Dump'!$B:$B,'Category Table'!$A240)</f>
        <v/>
      </c>
      <c r="Z240" s="112">
        <f>SUMIFS('Committments Dump'!$R:$R,'Committments Dump'!$C:$C,'Category Table'!Z$2,'Committments Dump'!$B:$B,'Category Table'!$A240)</f>
        <v/>
      </c>
      <c r="AA240" s="111">
        <f>SUMIFS('Committments Dump'!$S:$S,'Committments Dump'!$C:$C,'Category Table'!AA$2,'Committments Dump'!$B:$B,'Category Table'!$A240)</f>
        <v/>
      </c>
      <c r="AB240" s="112">
        <f>SUMIFS('Committments Dump'!$S:$S,'Committments Dump'!$C:$C,'Category Table'!AB$2,'Committments Dump'!$B:$B,'Category Table'!$A240)</f>
        <v/>
      </c>
      <c r="AC240" s="112">
        <f>SUMIFS('Committments Dump'!$S:$S,'Committments Dump'!$C:$C,'Category Table'!AC$2,'Committments Dump'!$B:$B,'Category Table'!$A240)</f>
        <v/>
      </c>
      <c r="AD240" s="111">
        <f>U240+X240+AA240</f>
        <v/>
      </c>
      <c r="AE240" s="112">
        <f>V240+Y240+AB240</f>
        <v/>
      </c>
      <c r="AF240" s="112">
        <f>W240+Z240+AC240</f>
        <v/>
      </c>
      <c r="AG240" s="111">
        <f>R240+AD240</f>
        <v/>
      </c>
      <c r="AH240" s="112">
        <f>S240+AE240</f>
        <v/>
      </c>
      <c r="AI240" s="112">
        <f>T240+AF240</f>
        <v/>
      </c>
      <c r="AJ240" s="111" t="n"/>
      <c r="AK240" s="112" t="n"/>
      <c r="AL240" s="112" t="n"/>
      <c r="AM240" s="111">
        <f>(O240-AG240)+AJ240</f>
        <v/>
      </c>
      <c r="AN240" s="112">
        <f>(P240-AH240)+AK240</f>
        <v/>
      </c>
      <c r="AO240" s="112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13" t="n"/>
      <c r="D241" s="114" t="n"/>
      <c r="E241" s="114" t="n"/>
      <c r="F241" s="113" t="n"/>
      <c r="G241" s="114" t="n"/>
      <c r="H241" s="114" t="n"/>
      <c r="I241" s="113" t="n"/>
      <c r="J241" s="114" t="n"/>
      <c r="K241" s="114" t="n"/>
      <c r="L241" s="113" t="n"/>
      <c r="M241" s="114" t="n"/>
      <c r="N241" s="114" t="n"/>
      <c r="O241" s="113">
        <f>L241+I241+F241+C241</f>
        <v/>
      </c>
      <c r="P241" s="114">
        <f>M241+J241+G241+D241</f>
        <v/>
      </c>
      <c r="Q241" s="114">
        <f>N241+K241+H241+E241</f>
        <v/>
      </c>
      <c r="R241" s="113">
        <f>SUMIFS('PO Log'!$E:$E,'PO Log'!$D:$D,'Category Table'!R$2,'PO Log'!$C:$C,'Category Table'!$A241)</f>
        <v/>
      </c>
      <c r="S241" s="114">
        <f>SUMIFS('PO Log'!$E:$E,'PO Log'!$D:$D,'Category Table'!S$2,'PO Log'!$C:$C,'Category Table'!$A241)</f>
        <v/>
      </c>
      <c r="T241" s="114">
        <f>SUMIFS('PO Log'!$E:$E,'PO Log'!$D:$D,'Category Table'!T$2,'PO Log'!$C:$C,'Category Table'!$A241)</f>
        <v/>
      </c>
      <c r="U241" s="113">
        <f>SUMIFS('Committments Dump'!$Q:$Q,'Committments Dump'!$C:$C,'Category Table'!U$2,'Committments Dump'!$B:$B,'Category Table'!$A241)</f>
        <v/>
      </c>
      <c r="V241" s="114">
        <f>SUMIFS('Committments Dump'!$Q:$Q,'Committments Dump'!$C:$C,'Category Table'!V$2,'Committments Dump'!$B:$B,'Category Table'!$A241)</f>
        <v/>
      </c>
      <c r="W241" s="114">
        <f>SUMIFS('Committments Dump'!$Q:$Q,'Committments Dump'!$C:$C,'Category Table'!W$2,'Committments Dump'!$B:$B,'Category Table'!$A241)</f>
        <v/>
      </c>
      <c r="X241" s="113">
        <f>SUMIFS('Committments Dump'!$R:$R,'Committments Dump'!$C:$C,'Category Table'!X$2,'Committments Dump'!$B:$B,'Category Table'!$A241)</f>
        <v/>
      </c>
      <c r="Y241" s="114">
        <f>SUMIFS('Committments Dump'!$R:$R,'Committments Dump'!$C:$C,'Category Table'!Y$2,'Committments Dump'!$B:$B,'Category Table'!$A241)</f>
        <v/>
      </c>
      <c r="Z241" s="114">
        <f>SUMIFS('Committments Dump'!$R:$R,'Committments Dump'!$C:$C,'Category Table'!Z$2,'Committments Dump'!$B:$B,'Category Table'!$A241)</f>
        <v/>
      </c>
      <c r="AA241" s="113">
        <f>SUMIFS('Committments Dump'!$S:$S,'Committments Dump'!$C:$C,'Category Table'!AA$2,'Committments Dump'!$B:$B,'Category Table'!$A241)</f>
        <v/>
      </c>
      <c r="AB241" s="114">
        <f>SUMIFS('Committments Dump'!$S:$S,'Committments Dump'!$C:$C,'Category Table'!AB$2,'Committments Dump'!$B:$B,'Category Table'!$A241)</f>
        <v/>
      </c>
      <c r="AC241" s="114">
        <f>SUMIFS('Committments Dump'!$S:$S,'Committments Dump'!$C:$C,'Category Table'!AC$2,'Committments Dump'!$B:$B,'Category Table'!$A241)</f>
        <v/>
      </c>
      <c r="AD241" s="113">
        <f>U241+X241+AA241</f>
        <v/>
      </c>
      <c r="AE241" s="114">
        <f>V241+Y241+AB241</f>
        <v/>
      </c>
      <c r="AF241" s="114">
        <f>W241+Z241+AC241</f>
        <v/>
      </c>
      <c r="AG241" s="113">
        <f>R241+AD241</f>
        <v/>
      </c>
      <c r="AH241" s="114">
        <f>S241+AE241</f>
        <v/>
      </c>
      <c r="AI241" s="114">
        <f>T241+AF241</f>
        <v/>
      </c>
      <c r="AJ241" s="113" t="n"/>
      <c r="AK241" s="114" t="n"/>
      <c r="AL241" s="114" t="n"/>
      <c r="AM241" s="113">
        <f>(O241-AG241)+AJ241</f>
        <v/>
      </c>
      <c r="AN241" s="114">
        <f>(P241-AH241)+AK241</f>
        <v/>
      </c>
      <c r="AO241" s="114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11" t="n"/>
      <c r="D242" s="112" t="n"/>
      <c r="E242" s="112" t="n"/>
      <c r="F242" s="111" t="n"/>
      <c r="G242" s="112" t="n"/>
      <c r="H242" s="112" t="n"/>
      <c r="I242" s="111" t="n"/>
      <c r="J242" s="112" t="n"/>
      <c r="K242" s="112" t="n"/>
      <c r="L242" s="111" t="n"/>
      <c r="M242" s="112" t="n"/>
      <c r="N242" s="112" t="n"/>
      <c r="O242" s="111">
        <f>L242+I242+F242+C242</f>
        <v/>
      </c>
      <c r="P242" s="112">
        <f>M242+J242+G242+D242</f>
        <v/>
      </c>
      <c r="Q242" s="112">
        <f>N242+K242+H242+E242</f>
        <v/>
      </c>
      <c r="R242" s="111">
        <f>SUMIFS('PO Log'!$E:$E,'PO Log'!$D:$D,'Category Table'!R$2,'PO Log'!$C:$C,'Category Table'!$A242)</f>
        <v/>
      </c>
      <c r="S242" s="112">
        <f>SUMIFS('PO Log'!$E:$E,'PO Log'!$D:$D,'Category Table'!S$2,'PO Log'!$C:$C,'Category Table'!$A242)</f>
        <v/>
      </c>
      <c r="T242" s="112">
        <f>SUMIFS('PO Log'!$E:$E,'PO Log'!$D:$D,'Category Table'!T$2,'PO Log'!$C:$C,'Category Table'!$A242)</f>
        <v/>
      </c>
      <c r="U242" s="111">
        <f>SUMIFS('Committments Dump'!$Q:$Q,'Committments Dump'!$C:$C,'Category Table'!U$2,'Committments Dump'!$B:$B,'Category Table'!$A242)</f>
        <v/>
      </c>
      <c r="V242" s="112">
        <f>SUMIFS('Committments Dump'!$Q:$Q,'Committments Dump'!$C:$C,'Category Table'!V$2,'Committments Dump'!$B:$B,'Category Table'!$A242)</f>
        <v/>
      </c>
      <c r="W242" s="112">
        <f>SUMIFS('Committments Dump'!$Q:$Q,'Committments Dump'!$C:$C,'Category Table'!W$2,'Committments Dump'!$B:$B,'Category Table'!$A242)</f>
        <v/>
      </c>
      <c r="X242" s="111">
        <f>SUMIFS('Committments Dump'!$R:$R,'Committments Dump'!$C:$C,'Category Table'!X$2,'Committments Dump'!$B:$B,'Category Table'!$A242)</f>
        <v/>
      </c>
      <c r="Y242" s="112">
        <f>SUMIFS('Committments Dump'!$R:$R,'Committments Dump'!$C:$C,'Category Table'!Y$2,'Committments Dump'!$B:$B,'Category Table'!$A242)</f>
        <v/>
      </c>
      <c r="Z242" s="112">
        <f>SUMIFS('Committments Dump'!$R:$R,'Committments Dump'!$C:$C,'Category Table'!Z$2,'Committments Dump'!$B:$B,'Category Table'!$A242)</f>
        <v/>
      </c>
      <c r="AA242" s="111">
        <f>SUMIFS('Committments Dump'!$S:$S,'Committments Dump'!$C:$C,'Category Table'!AA$2,'Committments Dump'!$B:$B,'Category Table'!$A242)</f>
        <v/>
      </c>
      <c r="AB242" s="112">
        <f>SUMIFS('Committments Dump'!$S:$S,'Committments Dump'!$C:$C,'Category Table'!AB$2,'Committments Dump'!$B:$B,'Category Table'!$A242)</f>
        <v/>
      </c>
      <c r="AC242" s="112">
        <f>SUMIFS('Committments Dump'!$S:$S,'Committments Dump'!$C:$C,'Category Table'!AC$2,'Committments Dump'!$B:$B,'Category Table'!$A242)</f>
        <v/>
      </c>
      <c r="AD242" s="111">
        <f>U242+X242+AA242</f>
        <v/>
      </c>
      <c r="AE242" s="112">
        <f>V242+Y242+AB242</f>
        <v/>
      </c>
      <c r="AF242" s="112">
        <f>W242+Z242+AC242</f>
        <v/>
      </c>
      <c r="AG242" s="111">
        <f>R242+AD242</f>
        <v/>
      </c>
      <c r="AH242" s="112">
        <f>S242+AE242</f>
        <v/>
      </c>
      <c r="AI242" s="112">
        <f>T242+AF242</f>
        <v/>
      </c>
      <c r="AJ242" s="111" t="n"/>
      <c r="AK242" s="112" t="n"/>
      <c r="AL242" s="112" t="n"/>
      <c r="AM242" s="111">
        <f>(O242-AG242)+AJ242</f>
        <v/>
      </c>
      <c r="AN242" s="112">
        <f>(P242-AH242)+AK242</f>
        <v/>
      </c>
      <c r="AO242" s="112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13" t="n"/>
      <c r="D243" s="114" t="n"/>
      <c r="E243" s="114" t="n"/>
      <c r="F243" s="113" t="n"/>
      <c r="G243" s="114" t="n"/>
      <c r="H243" s="114" t="n"/>
      <c r="I243" s="113" t="n"/>
      <c r="J243" s="114" t="n"/>
      <c r="K243" s="114" t="n"/>
      <c r="L243" s="113" t="n"/>
      <c r="M243" s="114" t="n"/>
      <c r="N243" s="114" t="n"/>
      <c r="O243" s="113">
        <f>L243+I243+F243+C243</f>
        <v/>
      </c>
      <c r="P243" s="114">
        <f>M243+J243+G243+D243</f>
        <v/>
      </c>
      <c r="Q243" s="114">
        <f>N243+K243+H243+E243</f>
        <v/>
      </c>
      <c r="R243" s="113">
        <f>SUMIFS('PO Log'!$E:$E,'PO Log'!$D:$D,'Category Table'!R$2,'PO Log'!$C:$C,'Category Table'!$A243)</f>
        <v/>
      </c>
      <c r="S243" s="114">
        <f>SUMIFS('PO Log'!$E:$E,'PO Log'!$D:$D,'Category Table'!S$2,'PO Log'!$C:$C,'Category Table'!$A243)</f>
        <v/>
      </c>
      <c r="T243" s="114">
        <f>SUMIFS('PO Log'!$E:$E,'PO Log'!$D:$D,'Category Table'!T$2,'PO Log'!$C:$C,'Category Table'!$A243)</f>
        <v/>
      </c>
      <c r="U243" s="113">
        <f>SUMIFS('Committments Dump'!$Q:$Q,'Committments Dump'!$C:$C,'Category Table'!U$2,'Committments Dump'!$B:$B,'Category Table'!$A243)</f>
        <v/>
      </c>
      <c r="V243" s="114">
        <f>SUMIFS('Committments Dump'!$Q:$Q,'Committments Dump'!$C:$C,'Category Table'!V$2,'Committments Dump'!$B:$B,'Category Table'!$A243)</f>
        <v/>
      </c>
      <c r="W243" s="114">
        <f>SUMIFS('Committments Dump'!$Q:$Q,'Committments Dump'!$C:$C,'Category Table'!W$2,'Committments Dump'!$B:$B,'Category Table'!$A243)</f>
        <v/>
      </c>
      <c r="X243" s="113">
        <f>SUMIFS('Committments Dump'!$R:$R,'Committments Dump'!$C:$C,'Category Table'!X$2,'Committments Dump'!$B:$B,'Category Table'!$A243)</f>
        <v/>
      </c>
      <c r="Y243" s="114">
        <f>SUMIFS('Committments Dump'!$R:$R,'Committments Dump'!$C:$C,'Category Table'!Y$2,'Committments Dump'!$B:$B,'Category Table'!$A243)</f>
        <v/>
      </c>
      <c r="Z243" s="114">
        <f>SUMIFS('Committments Dump'!$R:$R,'Committments Dump'!$C:$C,'Category Table'!Z$2,'Committments Dump'!$B:$B,'Category Table'!$A243)</f>
        <v/>
      </c>
      <c r="AA243" s="113">
        <f>SUMIFS('Committments Dump'!$S:$S,'Committments Dump'!$C:$C,'Category Table'!AA$2,'Committments Dump'!$B:$B,'Category Table'!$A243)</f>
        <v/>
      </c>
      <c r="AB243" s="114">
        <f>SUMIFS('Committments Dump'!$S:$S,'Committments Dump'!$C:$C,'Category Table'!AB$2,'Committments Dump'!$B:$B,'Category Table'!$A243)</f>
        <v/>
      </c>
      <c r="AC243" s="114">
        <f>SUMIFS('Committments Dump'!$S:$S,'Committments Dump'!$C:$C,'Category Table'!AC$2,'Committments Dump'!$B:$B,'Category Table'!$A243)</f>
        <v/>
      </c>
      <c r="AD243" s="113">
        <f>U243+X243+AA243</f>
        <v/>
      </c>
      <c r="AE243" s="114">
        <f>V243+Y243+AB243</f>
        <v/>
      </c>
      <c r="AF243" s="114">
        <f>W243+Z243+AC243</f>
        <v/>
      </c>
      <c r="AG243" s="113">
        <f>R243+AD243</f>
        <v/>
      </c>
      <c r="AH243" s="114">
        <f>S243+AE243</f>
        <v/>
      </c>
      <c r="AI243" s="114">
        <f>T243+AF243</f>
        <v/>
      </c>
      <c r="AJ243" s="113" t="n"/>
      <c r="AK243" s="114" t="n"/>
      <c r="AL243" s="114" t="n"/>
      <c r="AM243" s="113">
        <f>(O243-AG243)+AJ243</f>
        <v/>
      </c>
      <c r="AN243" s="114">
        <f>(P243-AH243)+AK243</f>
        <v/>
      </c>
      <c r="AO243" s="114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11" t="n"/>
      <c r="D244" s="112" t="n"/>
      <c r="E244" s="112" t="n"/>
      <c r="F244" s="111" t="n"/>
      <c r="G244" s="112" t="n"/>
      <c r="H244" s="112" t="n"/>
      <c r="I244" s="111" t="n"/>
      <c r="J244" s="112" t="n"/>
      <c r="K244" s="112" t="n"/>
      <c r="L244" s="111" t="n"/>
      <c r="M244" s="112" t="n"/>
      <c r="N244" s="112" t="n"/>
      <c r="O244" s="111">
        <f>L244+I244+F244+C244</f>
        <v/>
      </c>
      <c r="P244" s="112">
        <f>M244+J244+G244+D244</f>
        <v/>
      </c>
      <c r="Q244" s="112">
        <f>N244+K244+H244+E244</f>
        <v/>
      </c>
      <c r="R244" s="111">
        <f>SUMIFS('PO Log'!$E:$E,'PO Log'!$D:$D,'Category Table'!R$2,'PO Log'!$C:$C,'Category Table'!$A244)</f>
        <v/>
      </c>
      <c r="S244" s="112">
        <f>SUMIFS('PO Log'!$E:$E,'PO Log'!$D:$D,'Category Table'!S$2,'PO Log'!$C:$C,'Category Table'!$A244)</f>
        <v/>
      </c>
      <c r="T244" s="112">
        <f>SUMIFS('PO Log'!$E:$E,'PO Log'!$D:$D,'Category Table'!T$2,'PO Log'!$C:$C,'Category Table'!$A244)</f>
        <v/>
      </c>
      <c r="U244" s="111">
        <f>SUMIFS('Committments Dump'!$Q:$Q,'Committments Dump'!$C:$C,'Category Table'!U$2,'Committments Dump'!$B:$B,'Category Table'!$A244)</f>
        <v/>
      </c>
      <c r="V244" s="112">
        <f>SUMIFS('Committments Dump'!$Q:$Q,'Committments Dump'!$C:$C,'Category Table'!V$2,'Committments Dump'!$B:$B,'Category Table'!$A244)</f>
        <v/>
      </c>
      <c r="W244" s="112">
        <f>SUMIFS('Committments Dump'!$Q:$Q,'Committments Dump'!$C:$C,'Category Table'!W$2,'Committments Dump'!$B:$B,'Category Table'!$A244)</f>
        <v/>
      </c>
      <c r="X244" s="111">
        <f>SUMIFS('Committments Dump'!$R:$R,'Committments Dump'!$C:$C,'Category Table'!X$2,'Committments Dump'!$B:$B,'Category Table'!$A244)</f>
        <v/>
      </c>
      <c r="Y244" s="112">
        <f>SUMIFS('Committments Dump'!$R:$R,'Committments Dump'!$C:$C,'Category Table'!Y$2,'Committments Dump'!$B:$B,'Category Table'!$A244)</f>
        <v/>
      </c>
      <c r="Z244" s="112">
        <f>SUMIFS('Committments Dump'!$R:$R,'Committments Dump'!$C:$C,'Category Table'!Z$2,'Committments Dump'!$B:$B,'Category Table'!$A244)</f>
        <v/>
      </c>
      <c r="AA244" s="111">
        <f>SUMIFS('Committments Dump'!$S:$S,'Committments Dump'!$C:$C,'Category Table'!AA$2,'Committments Dump'!$B:$B,'Category Table'!$A244)</f>
        <v/>
      </c>
      <c r="AB244" s="112">
        <f>SUMIFS('Committments Dump'!$S:$S,'Committments Dump'!$C:$C,'Category Table'!AB$2,'Committments Dump'!$B:$B,'Category Table'!$A244)</f>
        <v/>
      </c>
      <c r="AC244" s="112">
        <f>SUMIFS('Committments Dump'!$S:$S,'Committments Dump'!$C:$C,'Category Table'!AC$2,'Committments Dump'!$B:$B,'Category Table'!$A244)</f>
        <v/>
      </c>
      <c r="AD244" s="111">
        <f>U244+X244+AA244</f>
        <v/>
      </c>
      <c r="AE244" s="112">
        <f>V244+Y244+AB244</f>
        <v/>
      </c>
      <c r="AF244" s="112">
        <f>W244+Z244+AC244</f>
        <v/>
      </c>
      <c r="AG244" s="111">
        <f>R244+AD244</f>
        <v/>
      </c>
      <c r="AH244" s="112">
        <f>S244+AE244</f>
        <v/>
      </c>
      <c r="AI244" s="112">
        <f>T244+AF244</f>
        <v/>
      </c>
      <c r="AJ244" s="111" t="n"/>
      <c r="AK244" s="112" t="n"/>
      <c r="AL244" s="112" t="n"/>
      <c r="AM244" s="111">
        <f>(O244-AG244)+AJ244</f>
        <v/>
      </c>
      <c r="AN244" s="112">
        <f>(P244-AH244)+AK244</f>
        <v/>
      </c>
      <c r="AO244" s="112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13" t="n"/>
      <c r="D245" s="114" t="n"/>
      <c r="E245" s="114" t="n"/>
      <c r="F245" s="113" t="n"/>
      <c r="G245" s="114" t="n"/>
      <c r="H245" s="114" t="n"/>
      <c r="I245" s="113" t="n"/>
      <c r="J245" s="114" t="n"/>
      <c r="K245" s="114" t="n"/>
      <c r="L245" s="113" t="n"/>
      <c r="M245" s="114" t="n"/>
      <c r="N245" s="114" t="n"/>
      <c r="O245" s="113">
        <f>L245+I245+F245+C245</f>
        <v/>
      </c>
      <c r="P245" s="114">
        <f>M245+J245+G245+D245</f>
        <v/>
      </c>
      <c r="Q245" s="114">
        <f>N245+K245+H245+E245</f>
        <v/>
      </c>
      <c r="R245" s="113">
        <f>SUMIFS('PO Log'!$E:$E,'PO Log'!$D:$D,'Category Table'!R$2,'PO Log'!$C:$C,'Category Table'!$A245)</f>
        <v/>
      </c>
      <c r="S245" s="114">
        <f>SUMIFS('PO Log'!$E:$E,'PO Log'!$D:$D,'Category Table'!S$2,'PO Log'!$C:$C,'Category Table'!$A245)</f>
        <v/>
      </c>
      <c r="T245" s="114">
        <f>SUMIFS('PO Log'!$E:$E,'PO Log'!$D:$D,'Category Table'!T$2,'PO Log'!$C:$C,'Category Table'!$A245)</f>
        <v/>
      </c>
      <c r="U245" s="113">
        <f>SUMIFS('Committments Dump'!$Q:$Q,'Committments Dump'!$C:$C,'Category Table'!U$2,'Committments Dump'!$B:$B,'Category Table'!$A245)</f>
        <v/>
      </c>
      <c r="V245" s="114">
        <f>SUMIFS('Committments Dump'!$Q:$Q,'Committments Dump'!$C:$C,'Category Table'!V$2,'Committments Dump'!$B:$B,'Category Table'!$A245)</f>
        <v/>
      </c>
      <c r="W245" s="114">
        <f>SUMIFS('Committments Dump'!$Q:$Q,'Committments Dump'!$C:$C,'Category Table'!W$2,'Committments Dump'!$B:$B,'Category Table'!$A245)</f>
        <v/>
      </c>
      <c r="X245" s="113">
        <f>SUMIFS('Committments Dump'!$R:$R,'Committments Dump'!$C:$C,'Category Table'!X$2,'Committments Dump'!$B:$B,'Category Table'!$A245)</f>
        <v/>
      </c>
      <c r="Y245" s="114">
        <f>SUMIFS('Committments Dump'!$R:$R,'Committments Dump'!$C:$C,'Category Table'!Y$2,'Committments Dump'!$B:$B,'Category Table'!$A245)</f>
        <v/>
      </c>
      <c r="Z245" s="114">
        <f>SUMIFS('Committments Dump'!$R:$R,'Committments Dump'!$C:$C,'Category Table'!Z$2,'Committments Dump'!$B:$B,'Category Table'!$A245)</f>
        <v/>
      </c>
      <c r="AA245" s="113">
        <f>SUMIFS('Committments Dump'!$S:$S,'Committments Dump'!$C:$C,'Category Table'!AA$2,'Committments Dump'!$B:$B,'Category Table'!$A245)</f>
        <v/>
      </c>
      <c r="AB245" s="114">
        <f>SUMIFS('Committments Dump'!$S:$S,'Committments Dump'!$C:$C,'Category Table'!AB$2,'Committments Dump'!$B:$B,'Category Table'!$A245)</f>
        <v/>
      </c>
      <c r="AC245" s="114">
        <f>SUMIFS('Committments Dump'!$S:$S,'Committments Dump'!$C:$C,'Category Table'!AC$2,'Committments Dump'!$B:$B,'Category Table'!$A245)</f>
        <v/>
      </c>
      <c r="AD245" s="113">
        <f>U245+X245+AA245</f>
        <v/>
      </c>
      <c r="AE245" s="114">
        <f>V245+Y245+AB245</f>
        <v/>
      </c>
      <c r="AF245" s="114">
        <f>W245+Z245+AC245</f>
        <v/>
      </c>
      <c r="AG245" s="113">
        <f>R245+AD245</f>
        <v/>
      </c>
      <c r="AH245" s="114">
        <f>S245+AE245</f>
        <v/>
      </c>
      <c r="AI245" s="114">
        <f>T245+AF245</f>
        <v/>
      </c>
      <c r="AJ245" s="113" t="n"/>
      <c r="AK245" s="114" t="n"/>
      <c r="AL245" s="114" t="n"/>
      <c r="AM245" s="113">
        <f>(O245-AG245)+AJ245</f>
        <v/>
      </c>
      <c r="AN245" s="114">
        <f>(P245-AH245)+AK245</f>
        <v/>
      </c>
      <c r="AO245" s="114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11" t="n"/>
      <c r="D246" s="112" t="n"/>
      <c r="E246" s="112" t="n"/>
      <c r="F246" s="111" t="n"/>
      <c r="G246" s="112" t="n"/>
      <c r="H246" s="112" t="n"/>
      <c r="I246" s="111" t="n"/>
      <c r="J246" s="112" t="n"/>
      <c r="K246" s="112" t="n"/>
      <c r="L246" s="111" t="n"/>
      <c r="M246" s="112" t="n"/>
      <c r="N246" s="112" t="n"/>
      <c r="O246" s="111">
        <f>L246+I246+F246+C246</f>
        <v/>
      </c>
      <c r="P246" s="112">
        <f>M246+J246+G246+D246</f>
        <v/>
      </c>
      <c r="Q246" s="112">
        <f>N246+K246+H246+E246</f>
        <v/>
      </c>
      <c r="R246" s="111">
        <f>SUMIFS('PO Log'!$E:$E,'PO Log'!$D:$D,'Category Table'!R$2,'PO Log'!$C:$C,'Category Table'!$A246)</f>
        <v/>
      </c>
      <c r="S246" s="112">
        <f>SUMIFS('PO Log'!$E:$E,'PO Log'!$D:$D,'Category Table'!S$2,'PO Log'!$C:$C,'Category Table'!$A246)</f>
        <v/>
      </c>
      <c r="T246" s="112">
        <f>SUMIFS('PO Log'!$E:$E,'PO Log'!$D:$D,'Category Table'!T$2,'PO Log'!$C:$C,'Category Table'!$A246)</f>
        <v/>
      </c>
      <c r="U246" s="111">
        <f>SUMIFS('Committments Dump'!$Q:$Q,'Committments Dump'!$C:$C,'Category Table'!U$2,'Committments Dump'!$B:$B,'Category Table'!$A246)</f>
        <v/>
      </c>
      <c r="V246" s="112">
        <f>SUMIFS('Committments Dump'!$Q:$Q,'Committments Dump'!$C:$C,'Category Table'!V$2,'Committments Dump'!$B:$B,'Category Table'!$A246)</f>
        <v/>
      </c>
      <c r="W246" s="112">
        <f>SUMIFS('Committments Dump'!$Q:$Q,'Committments Dump'!$C:$C,'Category Table'!W$2,'Committments Dump'!$B:$B,'Category Table'!$A246)</f>
        <v/>
      </c>
      <c r="X246" s="111">
        <f>SUMIFS('Committments Dump'!$R:$R,'Committments Dump'!$C:$C,'Category Table'!X$2,'Committments Dump'!$B:$B,'Category Table'!$A246)</f>
        <v/>
      </c>
      <c r="Y246" s="112">
        <f>SUMIFS('Committments Dump'!$R:$R,'Committments Dump'!$C:$C,'Category Table'!Y$2,'Committments Dump'!$B:$B,'Category Table'!$A246)</f>
        <v/>
      </c>
      <c r="Z246" s="112">
        <f>SUMIFS('Committments Dump'!$R:$R,'Committments Dump'!$C:$C,'Category Table'!Z$2,'Committments Dump'!$B:$B,'Category Table'!$A246)</f>
        <v/>
      </c>
      <c r="AA246" s="111">
        <f>SUMIFS('Committments Dump'!$S:$S,'Committments Dump'!$C:$C,'Category Table'!AA$2,'Committments Dump'!$B:$B,'Category Table'!$A246)</f>
        <v/>
      </c>
      <c r="AB246" s="112">
        <f>SUMIFS('Committments Dump'!$S:$S,'Committments Dump'!$C:$C,'Category Table'!AB$2,'Committments Dump'!$B:$B,'Category Table'!$A246)</f>
        <v/>
      </c>
      <c r="AC246" s="112">
        <f>SUMIFS('Committments Dump'!$S:$S,'Committments Dump'!$C:$C,'Category Table'!AC$2,'Committments Dump'!$B:$B,'Category Table'!$A246)</f>
        <v/>
      </c>
      <c r="AD246" s="111">
        <f>U246+X246+AA246</f>
        <v/>
      </c>
      <c r="AE246" s="112">
        <f>V246+Y246+AB246</f>
        <v/>
      </c>
      <c r="AF246" s="112">
        <f>W246+Z246+AC246</f>
        <v/>
      </c>
      <c r="AG246" s="111">
        <f>R246+AD246</f>
        <v/>
      </c>
      <c r="AH246" s="112">
        <f>S246+AE246</f>
        <v/>
      </c>
      <c r="AI246" s="112">
        <f>T246+AF246</f>
        <v/>
      </c>
      <c r="AJ246" s="111" t="n"/>
      <c r="AK246" s="112" t="n"/>
      <c r="AL246" s="112" t="n"/>
      <c r="AM246" s="111">
        <f>(O246-AG246)+AJ246</f>
        <v/>
      </c>
      <c r="AN246" s="112">
        <f>(P246-AH246)+AK246</f>
        <v/>
      </c>
      <c r="AO246" s="112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13" t="n"/>
      <c r="D247" s="114" t="n"/>
      <c r="E247" s="114" t="n"/>
      <c r="F247" s="113" t="n"/>
      <c r="G247" s="114" t="n"/>
      <c r="H247" s="114" t="n"/>
      <c r="I247" s="113" t="n"/>
      <c r="J247" s="114" t="n"/>
      <c r="K247" s="114" t="n"/>
      <c r="L247" s="113" t="n"/>
      <c r="M247" s="114" t="n"/>
      <c r="N247" s="114" t="n"/>
      <c r="O247" s="113">
        <f>L247+I247+F247+C247</f>
        <v/>
      </c>
      <c r="P247" s="114">
        <f>M247+J247+G247+D247</f>
        <v/>
      </c>
      <c r="Q247" s="114">
        <f>N247+K247+H247+E247</f>
        <v/>
      </c>
      <c r="R247" s="113">
        <f>SUMIFS('PO Log'!$E:$E,'PO Log'!$D:$D,'Category Table'!R$2,'PO Log'!$C:$C,'Category Table'!$A247)</f>
        <v/>
      </c>
      <c r="S247" s="114">
        <f>SUMIFS('PO Log'!$E:$E,'PO Log'!$D:$D,'Category Table'!S$2,'PO Log'!$C:$C,'Category Table'!$A247)</f>
        <v/>
      </c>
      <c r="T247" s="114">
        <f>SUMIFS('PO Log'!$E:$E,'PO Log'!$D:$D,'Category Table'!T$2,'PO Log'!$C:$C,'Category Table'!$A247)</f>
        <v/>
      </c>
      <c r="U247" s="113">
        <f>SUMIFS('Committments Dump'!$Q:$Q,'Committments Dump'!$C:$C,'Category Table'!U$2,'Committments Dump'!$B:$B,'Category Table'!$A247)</f>
        <v/>
      </c>
      <c r="V247" s="114">
        <f>SUMIFS('Committments Dump'!$Q:$Q,'Committments Dump'!$C:$C,'Category Table'!V$2,'Committments Dump'!$B:$B,'Category Table'!$A247)</f>
        <v/>
      </c>
      <c r="W247" s="114">
        <f>SUMIFS('Committments Dump'!$Q:$Q,'Committments Dump'!$C:$C,'Category Table'!W$2,'Committments Dump'!$B:$B,'Category Table'!$A247)</f>
        <v/>
      </c>
      <c r="X247" s="113">
        <f>SUMIFS('Committments Dump'!$R:$R,'Committments Dump'!$C:$C,'Category Table'!X$2,'Committments Dump'!$B:$B,'Category Table'!$A247)</f>
        <v/>
      </c>
      <c r="Y247" s="114">
        <f>SUMIFS('Committments Dump'!$R:$R,'Committments Dump'!$C:$C,'Category Table'!Y$2,'Committments Dump'!$B:$B,'Category Table'!$A247)</f>
        <v/>
      </c>
      <c r="Z247" s="114">
        <f>SUMIFS('Committments Dump'!$R:$R,'Committments Dump'!$C:$C,'Category Table'!Z$2,'Committments Dump'!$B:$B,'Category Table'!$A247)</f>
        <v/>
      </c>
      <c r="AA247" s="113">
        <f>SUMIFS('Committments Dump'!$S:$S,'Committments Dump'!$C:$C,'Category Table'!AA$2,'Committments Dump'!$B:$B,'Category Table'!$A247)</f>
        <v/>
      </c>
      <c r="AB247" s="114">
        <f>SUMIFS('Committments Dump'!$S:$S,'Committments Dump'!$C:$C,'Category Table'!AB$2,'Committments Dump'!$B:$B,'Category Table'!$A247)</f>
        <v/>
      </c>
      <c r="AC247" s="114">
        <f>SUMIFS('Committments Dump'!$S:$S,'Committments Dump'!$C:$C,'Category Table'!AC$2,'Committments Dump'!$B:$B,'Category Table'!$A247)</f>
        <v/>
      </c>
      <c r="AD247" s="113">
        <f>U247+X247+AA247</f>
        <v/>
      </c>
      <c r="AE247" s="114">
        <f>V247+Y247+AB247</f>
        <v/>
      </c>
      <c r="AF247" s="114">
        <f>W247+Z247+AC247</f>
        <v/>
      </c>
      <c r="AG247" s="113">
        <f>R247+AD247</f>
        <v/>
      </c>
      <c r="AH247" s="114">
        <f>S247+AE247</f>
        <v/>
      </c>
      <c r="AI247" s="114">
        <f>T247+AF247</f>
        <v/>
      </c>
      <c r="AJ247" s="113" t="n"/>
      <c r="AK247" s="114" t="n"/>
      <c r="AL247" s="114" t="n"/>
      <c r="AM247" s="113">
        <f>(O247-AG247)+AJ247</f>
        <v/>
      </c>
      <c r="AN247" s="114">
        <f>(P247-AH247)+AK247</f>
        <v/>
      </c>
      <c r="AO247" s="114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11" t="n"/>
      <c r="D248" s="112" t="n"/>
      <c r="E248" s="112" t="n"/>
      <c r="F248" s="111" t="n"/>
      <c r="G248" s="112" t="n"/>
      <c r="H248" s="112" t="n"/>
      <c r="I248" s="111" t="n"/>
      <c r="J248" s="112" t="n"/>
      <c r="K248" s="112" t="n"/>
      <c r="L248" s="111" t="n"/>
      <c r="M248" s="112" t="n"/>
      <c r="N248" s="112" t="n"/>
      <c r="O248" s="111">
        <f>L248+I248+F248+C248</f>
        <v/>
      </c>
      <c r="P248" s="112">
        <f>M248+J248+G248+D248</f>
        <v/>
      </c>
      <c r="Q248" s="112">
        <f>N248+K248+H248+E248</f>
        <v/>
      </c>
      <c r="R248" s="111">
        <f>SUMIFS('PO Log'!$E:$E,'PO Log'!$D:$D,'Category Table'!R$2,'PO Log'!$C:$C,'Category Table'!$A248)</f>
        <v/>
      </c>
      <c r="S248" s="112">
        <f>SUMIFS('PO Log'!$E:$E,'PO Log'!$D:$D,'Category Table'!S$2,'PO Log'!$C:$C,'Category Table'!$A248)</f>
        <v/>
      </c>
      <c r="T248" s="112">
        <f>SUMIFS('PO Log'!$E:$E,'PO Log'!$D:$D,'Category Table'!T$2,'PO Log'!$C:$C,'Category Table'!$A248)</f>
        <v/>
      </c>
      <c r="U248" s="111">
        <f>SUMIFS('Committments Dump'!$Q:$Q,'Committments Dump'!$C:$C,'Category Table'!U$2,'Committments Dump'!$B:$B,'Category Table'!$A248)</f>
        <v/>
      </c>
      <c r="V248" s="112">
        <f>SUMIFS('Committments Dump'!$Q:$Q,'Committments Dump'!$C:$C,'Category Table'!V$2,'Committments Dump'!$B:$B,'Category Table'!$A248)</f>
        <v/>
      </c>
      <c r="W248" s="112">
        <f>SUMIFS('Committments Dump'!$Q:$Q,'Committments Dump'!$C:$C,'Category Table'!W$2,'Committments Dump'!$B:$B,'Category Table'!$A248)</f>
        <v/>
      </c>
      <c r="X248" s="111">
        <f>SUMIFS('Committments Dump'!$R:$R,'Committments Dump'!$C:$C,'Category Table'!X$2,'Committments Dump'!$B:$B,'Category Table'!$A248)</f>
        <v/>
      </c>
      <c r="Y248" s="112">
        <f>SUMIFS('Committments Dump'!$R:$R,'Committments Dump'!$C:$C,'Category Table'!Y$2,'Committments Dump'!$B:$B,'Category Table'!$A248)</f>
        <v/>
      </c>
      <c r="Z248" s="112">
        <f>SUMIFS('Committments Dump'!$R:$R,'Committments Dump'!$C:$C,'Category Table'!Z$2,'Committments Dump'!$B:$B,'Category Table'!$A248)</f>
        <v/>
      </c>
      <c r="AA248" s="111">
        <f>SUMIFS('Committments Dump'!$S:$S,'Committments Dump'!$C:$C,'Category Table'!AA$2,'Committments Dump'!$B:$B,'Category Table'!$A248)</f>
        <v/>
      </c>
      <c r="AB248" s="112">
        <f>SUMIFS('Committments Dump'!$S:$S,'Committments Dump'!$C:$C,'Category Table'!AB$2,'Committments Dump'!$B:$B,'Category Table'!$A248)</f>
        <v/>
      </c>
      <c r="AC248" s="112">
        <f>SUMIFS('Committments Dump'!$S:$S,'Committments Dump'!$C:$C,'Category Table'!AC$2,'Committments Dump'!$B:$B,'Category Table'!$A248)</f>
        <v/>
      </c>
      <c r="AD248" s="111">
        <f>U248+X248+AA248</f>
        <v/>
      </c>
      <c r="AE248" s="112">
        <f>V248+Y248+AB248</f>
        <v/>
      </c>
      <c r="AF248" s="112">
        <f>W248+Z248+AC248</f>
        <v/>
      </c>
      <c r="AG248" s="111">
        <f>R248+AD248</f>
        <v/>
      </c>
      <c r="AH248" s="112">
        <f>S248+AE248</f>
        <v/>
      </c>
      <c r="AI248" s="112">
        <f>T248+AF248</f>
        <v/>
      </c>
      <c r="AJ248" s="111" t="n"/>
      <c r="AK248" s="112" t="n"/>
      <c r="AL248" s="112" t="n"/>
      <c r="AM248" s="111">
        <f>(O248-AG248)+AJ248</f>
        <v/>
      </c>
      <c r="AN248" s="112">
        <f>(P248-AH248)+AK248</f>
        <v/>
      </c>
      <c r="AO248" s="112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13" t="n"/>
      <c r="D249" s="114" t="n"/>
      <c r="E249" s="114" t="n"/>
      <c r="F249" s="113" t="n"/>
      <c r="G249" s="114" t="n"/>
      <c r="H249" s="114" t="n"/>
      <c r="I249" s="113" t="n"/>
      <c r="J249" s="114" t="n"/>
      <c r="K249" s="114" t="n"/>
      <c r="L249" s="113" t="n"/>
      <c r="M249" s="114" t="n"/>
      <c r="N249" s="114" t="n"/>
      <c r="O249" s="113">
        <f>L249+I249+F249+C249</f>
        <v/>
      </c>
      <c r="P249" s="114">
        <f>M249+J249+G249+D249</f>
        <v/>
      </c>
      <c r="Q249" s="114">
        <f>N249+K249+H249+E249</f>
        <v/>
      </c>
      <c r="R249" s="113">
        <f>SUMIFS('PO Log'!$E:$E,'PO Log'!$D:$D,'Category Table'!R$2,'PO Log'!$C:$C,'Category Table'!$A249)</f>
        <v/>
      </c>
      <c r="S249" s="114">
        <f>SUMIFS('PO Log'!$E:$E,'PO Log'!$D:$D,'Category Table'!S$2,'PO Log'!$C:$C,'Category Table'!$A249)</f>
        <v/>
      </c>
      <c r="T249" s="114">
        <f>SUMIFS('PO Log'!$E:$E,'PO Log'!$D:$D,'Category Table'!T$2,'PO Log'!$C:$C,'Category Table'!$A249)</f>
        <v/>
      </c>
      <c r="U249" s="113">
        <f>SUMIFS('Committments Dump'!$Q:$Q,'Committments Dump'!$C:$C,'Category Table'!U$2,'Committments Dump'!$B:$B,'Category Table'!$A249)</f>
        <v/>
      </c>
      <c r="V249" s="114">
        <f>SUMIFS('Committments Dump'!$Q:$Q,'Committments Dump'!$C:$C,'Category Table'!V$2,'Committments Dump'!$B:$B,'Category Table'!$A249)</f>
        <v/>
      </c>
      <c r="W249" s="114">
        <f>SUMIFS('Committments Dump'!$Q:$Q,'Committments Dump'!$C:$C,'Category Table'!W$2,'Committments Dump'!$B:$B,'Category Table'!$A249)</f>
        <v/>
      </c>
      <c r="X249" s="113">
        <f>SUMIFS('Committments Dump'!$R:$R,'Committments Dump'!$C:$C,'Category Table'!X$2,'Committments Dump'!$B:$B,'Category Table'!$A249)</f>
        <v/>
      </c>
      <c r="Y249" s="114">
        <f>SUMIFS('Committments Dump'!$R:$R,'Committments Dump'!$C:$C,'Category Table'!Y$2,'Committments Dump'!$B:$B,'Category Table'!$A249)</f>
        <v/>
      </c>
      <c r="Z249" s="114">
        <f>SUMIFS('Committments Dump'!$R:$R,'Committments Dump'!$C:$C,'Category Table'!Z$2,'Committments Dump'!$B:$B,'Category Table'!$A249)</f>
        <v/>
      </c>
      <c r="AA249" s="113">
        <f>SUMIFS('Committments Dump'!$S:$S,'Committments Dump'!$C:$C,'Category Table'!AA$2,'Committments Dump'!$B:$B,'Category Table'!$A249)</f>
        <v/>
      </c>
      <c r="AB249" s="114">
        <f>SUMIFS('Committments Dump'!$S:$S,'Committments Dump'!$C:$C,'Category Table'!AB$2,'Committments Dump'!$B:$B,'Category Table'!$A249)</f>
        <v/>
      </c>
      <c r="AC249" s="114">
        <f>SUMIFS('Committments Dump'!$S:$S,'Committments Dump'!$C:$C,'Category Table'!AC$2,'Committments Dump'!$B:$B,'Category Table'!$A249)</f>
        <v/>
      </c>
      <c r="AD249" s="113">
        <f>U249+X249+AA249</f>
        <v/>
      </c>
      <c r="AE249" s="114">
        <f>V249+Y249+AB249</f>
        <v/>
      </c>
      <c r="AF249" s="114">
        <f>W249+Z249+AC249</f>
        <v/>
      </c>
      <c r="AG249" s="113">
        <f>R249+AD249</f>
        <v/>
      </c>
      <c r="AH249" s="114">
        <f>S249+AE249</f>
        <v/>
      </c>
      <c r="AI249" s="114">
        <f>T249+AF249</f>
        <v/>
      </c>
      <c r="AJ249" s="113" t="n"/>
      <c r="AK249" s="114" t="n"/>
      <c r="AL249" s="114" t="n"/>
      <c r="AM249" s="113">
        <f>(O249-AG249)+AJ249</f>
        <v/>
      </c>
      <c r="AN249" s="114">
        <f>(P249-AH249)+AK249</f>
        <v/>
      </c>
      <c r="AO249" s="114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11" t="n"/>
      <c r="D250" s="112" t="n"/>
      <c r="E250" s="112" t="n"/>
      <c r="F250" s="111" t="n"/>
      <c r="G250" s="112" t="n"/>
      <c r="H250" s="112" t="n"/>
      <c r="I250" s="111" t="n"/>
      <c r="J250" s="112" t="n"/>
      <c r="K250" s="112" t="n"/>
      <c r="L250" s="111" t="n"/>
      <c r="M250" s="112" t="n"/>
      <c r="N250" s="112" t="n"/>
      <c r="O250" s="111">
        <f>L250+I250+F250+C250</f>
        <v/>
      </c>
      <c r="P250" s="112">
        <f>M250+J250+G250+D250</f>
        <v/>
      </c>
      <c r="Q250" s="112">
        <f>N250+K250+H250+E250</f>
        <v/>
      </c>
      <c r="R250" s="111">
        <f>SUMIFS('PO Log'!$E:$E,'PO Log'!$D:$D,'Category Table'!R$2,'PO Log'!$C:$C,'Category Table'!$A250)</f>
        <v/>
      </c>
      <c r="S250" s="112">
        <f>SUMIFS('PO Log'!$E:$E,'PO Log'!$D:$D,'Category Table'!S$2,'PO Log'!$C:$C,'Category Table'!$A250)</f>
        <v/>
      </c>
      <c r="T250" s="112">
        <f>SUMIFS('PO Log'!$E:$E,'PO Log'!$D:$D,'Category Table'!T$2,'PO Log'!$C:$C,'Category Table'!$A250)</f>
        <v/>
      </c>
      <c r="U250" s="111">
        <f>SUMIFS('Committments Dump'!$Q:$Q,'Committments Dump'!$C:$C,'Category Table'!U$2,'Committments Dump'!$B:$B,'Category Table'!$A250)</f>
        <v/>
      </c>
      <c r="V250" s="112">
        <f>SUMIFS('Committments Dump'!$Q:$Q,'Committments Dump'!$C:$C,'Category Table'!V$2,'Committments Dump'!$B:$B,'Category Table'!$A250)</f>
        <v/>
      </c>
      <c r="W250" s="112">
        <f>SUMIFS('Committments Dump'!$Q:$Q,'Committments Dump'!$C:$C,'Category Table'!W$2,'Committments Dump'!$B:$B,'Category Table'!$A250)</f>
        <v/>
      </c>
      <c r="X250" s="111">
        <f>SUMIFS('Committments Dump'!$R:$R,'Committments Dump'!$C:$C,'Category Table'!X$2,'Committments Dump'!$B:$B,'Category Table'!$A250)</f>
        <v/>
      </c>
      <c r="Y250" s="112">
        <f>SUMIFS('Committments Dump'!$R:$R,'Committments Dump'!$C:$C,'Category Table'!Y$2,'Committments Dump'!$B:$B,'Category Table'!$A250)</f>
        <v/>
      </c>
      <c r="Z250" s="112">
        <f>SUMIFS('Committments Dump'!$R:$R,'Committments Dump'!$C:$C,'Category Table'!Z$2,'Committments Dump'!$B:$B,'Category Table'!$A250)</f>
        <v/>
      </c>
      <c r="AA250" s="111">
        <f>SUMIFS('Committments Dump'!$S:$S,'Committments Dump'!$C:$C,'Category Table'!AA$2,'Committments Dump'!$B:$B,'Category Table'!$A250)</f>
        <v/>
      </c>
      <c r="AB250" s="112">
        <f>SUMIFS('Committments Dump'!$S:$S,'Committments Dump'!$C:$C,'Category Table'!AB$2,'Committments Dump'!$B:$B,'Category Table'!$A250)</f>
        <v/>
      </c>
      <c r="AC250" s="112">
        <f>SUMIFS('Committments Dump'!$S:$S,'Committments Dump'!$C:$C,'Category Table'!AC$2,'Committments Dump'!$B:$B,'Category Table'!$A250)</f>
        <v/>
      </c>
      <c r="AD250" s="111">
        <f>U250+X250+AA250</f>
        <v/>
      </c>
      <c r="AE250" s="112">
        <f>V250+Y250+AB250</f>
        <v/>
      </c>
      <c r="AF250" s="112">
        <f>W250+Z250+AC250</f>
        <v/>
      </c>
      <c r="AG250" s="111">
        <f>R250+AD250</f>
        <v/>
      </c>
      <c r="AH250" s="112">
        <f>S250+AE250</f>
        <v/>
      </c>
      <c r="AI250" s="112">
        <f>T250+AF250</f>
        <v/>
      </c>
      <c r="AJ250" s="111" t="n"/>
      <c r="AK250" s="112" t="n"/>
      <c r="AL250" s="112" t="n"/>
      <c r="AM250" s="111">
        <f>(O250-AG250)+AJ250</f>
        <v/>
      </c>
      <c r="AN250" s="112">
        <f>(P250-AH250)+AK250</f>
        <v/>
      </c>
      <c r="AO250" s="112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13" t="n"/>
      <c r="D251" s="114" t="n"/>
      <c r="E251" s="114" t="n"/>
      <c r="F251" s="113" t="n"/>
      <c r="G251" s="114" t="n"/>
      <c r="H251" s="114" t="n"/>
      <c r="I251" s="113" t="n"/>
      <c r="J251" s="114" t="n"/>
      <c r="K251" s="114" t="n"/>
      <c r="L251" s="113" t="n"/>
      <c r="M251" s="114" t="n"/>
      <c r="N251" s="114" t="n"/>
      <c r="O251" s="113">
        <f>L251+I251+F251+C251</f>
        <v/>
      </c>
      <c r="P251" s="114">
        <f>M251+J251+G251+D251</f>
        <v/>
      </c>
      <c r="Q251" s="114">
        <f>N251+K251+H251+E251</f>
        <v/>
      </c>
      <c r="R251" s="113">
        <f>SUMIFS('PO Log'!$E:$E,'PO Log'!$D:$D,'Category Table'!R$2,'PO Log'!$C:$C,'Category Table'!$A251)</f>
        <v/>
      </c>
      <c r="S251" s="114">
        <f>SUMIFS('PO Log'!$E:$E,'PO Log'!$D:$D,'Category Table'!S$2,'PO Log'!$C:$C,'Category Table'!$A251)</f>
        <v/>
      </c>
      <c r="T251" s="114">
        <f>SUMIFS('PO Log'!$E:$E,'PO Log'!$D:$D,'Category Table'!T$2,'PO Log'!$C:$C,'Category Table'!$A251)</f>
        <v/>
      </c>
      <c r="U251" s="113">
        <f>SUMIFS('Committments Dump'!$Q:$Q,'Committments Dump'!$C:$C,'Category Table'!U$2,'Committments Dump'!$B:$B,'Category Table'!$A251)</f>
        <v/>
      </c>
      <c r="V251" s="114">
        <f>SUMIFS('Committments Dump'!$Q:$Q,'Committments Dump'!$C:$C,'Category Table'!V$2,'Committments Dump'!$B:$B,'Category Table'!$A251)</f>
        <v/>
      </c>
      <c r="W251" s="114">
        <f>SUMIFS('Committments Dump'!$Q:$Q,'Committments Dump'!$C:$C,'Category Table'!W$2,'Committments Dump'!$B:$B,'Category Table'!$A251)</f>
        <v/>
      </c>
      <c r="X251" s="113">
        <f>SUMIFS('Committments Dump'!$R:$R,'Committments Dump'!$C:$C,'Category Table'!X$2,'Committments Dump'!$B:$B,'Category Table'!$A251)</f>
        <v/>
      </c>
      <c r="Y251" s="114">
        <f>SUMIFS('Committments Dump'!$R:$R,'Committments Dump'!$C:$C,'Category Table'!Y$2,'Committments Dump'!$B:$B,'Category Table'!$A251)</f>
        <v/>
      </c>
      <c r="Z251" s="114">
        <f>SUMIFS('Committments Dump'!$R:$R,'Committments Dump'!$C:$C,'Category Table'!Z$2,'Committments Dump'!$B:$B,'Category Table'!$A251)</f>
        <v/>
      </c>
      <c r="AA251" s="113">
        <f>SUMIFS('Committments Dump'!$S:$S,'Committments Dump'!$C:$C,'Category Table'!AA$2,'Committments Dump'!$B:$B,'Category Table'!$A251)</f>
        <v/>
      </c>
      <c r="AB251" s="114">
        <f>SUMIFS('Committments Dump'!$S:$S,'Committments Dump'!$C:$C,'Category Table'!AB$2,'Committments Dump'!$B:$B,'Category Table'!$A251)</f>
        <v/>
      </c>
      <c r="AC251" s="114">
        <f>SUMIFS('Committments Dump'!$S:$S,'Committments Dump'!$C:$C,'Category Table'!AC$2,'Committments Dump'!$B:$B,'Category Table'!$A251)</f>
        <v/>
      </c>
      <c r="AD251" s="113">
        <f>U251+X251+AA251</f>
        <v/>
      </c>
      <c r="AE251" s="114">
        <f>V251+Y251+AB251</f>
        <v/>
      </c>
      <c r="AF251" s="114">
        <f>W251+Z251+AC251</f>
        <v/>
      </c>
      <c r="AG251" s="113">
        <f>R251+AD251</f>
        <v/>
      </c>
      <c r="AH251" s="114">
        <f>S251+AE251</f>
        <v/>
      </c>
      <c r="AI251" s="114">
        <f>T251+AF251</f>
        <v/>
      </c>
      <c r="AJ251" s="113" t="n"/>
      <c r="AK251" s="114" t="n"/>
      <c r="AL251" s="114" t="n"/>
      <c r="AM251" s="113">
        <f>(O251-AG251)+AJ251</f>
        <v/>
      </c>
      <c r="AN251" s="114">
        <f>(P251-AH251)+AK251</f>
        <v/>
      </c>
      <c r="AO251" s="114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11" t="n"/>
      <c r="D252" s="112" t="n"/>
      <c r="E252" s="112" t="n"/>
      <c r="F252" s="111" t="n"/>
      <c r="G252" s="112" t="n"/>
      <c r="H252" s="112" t="n"/>
      <c r="I252" s="111" t="n"/>
      <c r="J252" s="112" t="n"/>
      <c r="K252" s="112" t="n"/>
      <c r="L252" s="111" t="n"/>
      <c r="M252" s="112" t="n"/>
      <c r="N252" s="112" t="n"/>
      <c r="O252" s="111">
        <f>L252+I252+F252+C252</f>
        <v/>
      </c>
      <c r="P252" s="112">
        <f>M252+J252+G252+D252</f>
        <v/>
      </c>
      <c r="Q252" s="112">
        <f>N252+K252+H252+E252</f>
        <v/>
      </c>
      <c r="R252" s="111">
        <f>SUMIFS('PO Log'!$E:$E,'PO Log'!$D:$D,'Category Table'!R$2,'PO Log'!$C:$C,'Category Table'!$A252)</f>
        <v/>
      </c>
      <c r="S252" s="112">
        <f>SUMIFS('PO Log'!$E:$E,'PO Log'!$D:$D,'Category Table'!S$2,'PO Log'!$C:$C,'Category Table'!$A252)</f>
        <v/>
      </c>
      <c r="T252" s="112">
        <f>SUMIFS('PO Log'!$E:$E,'PO Log'!$D:$D,'Category Table'!T$2,'PO Log'!$C:$C,'Category Table'!$A252)</f>
        <v/>
      </c>
      <c r="U252" s="111">
        <f>SUMIFS('Committments Dump'!$Q:$Q,'Committments Dump'!$C:$C,'Category Table'!U$2,'Committments Dump'!$B:$B,'Category Table'!$A252)</f>
        <v/>
      </c>
      <c r="V252" s="112">
        <f>SUMIFS('Committments Dump'!$Q:$Q,'Committments Dump'!$C:$C,'Category Table'!V$2,'Committments Dump'!$B:$B,'Category Table'!$A252)</f>
        <v/>
      </c>
      <c r="W252" s="112">
        <f>SUMIFS('Committments Dump'!$Q:$Q,'Committments Dump'!$C:$C,'Category Table'!W$2,'Committments Dump'!$B:$B,'Category Table'!$A252)</f>
        <v/>
      </c>
      <c r="X252" s="111">
        <f>SUMIFS('Committments Dump'!$R:$R,'Committments Dump'!$C:$C,'Category Table'!X$2,'Committments Dump'!$B:$B,'Category Table'!$A252)</f>
        <v/>
      </c>
      <c r="Y252" s="112">
        <f>SUMIFS('Committments Dump'!$R:$R,'Committments Dump'!$C:$C,'Category Table'!Y$2,'Committments Dump'!$B:$B,'Category Table'!$A252)</f>
        <v/>
      </c>
      <c r="Z252" s="112">
        <f>SUMIFS('Committments Dump'!$R:$R,'Committments Dump'!$C:$C,'Category Table'!Z$2,'Committments Dump'!$B:$B,'Category Table'!$A252)</f>
        <v/>
      </c>
      <c r="AA252" s="111">
        <f>SUMIFS('Committments Dump'!$S:$S,'Committments Dump'!$C:$C,'Category Table'!AA$2,'Committments Dump'!$B:$B,'Category Table'!$A252)</f>
        <v/>
      </c>
      <c r="AB252" s="112">
        <f>SUMIFS('Committments Dump'!$S:$S,'Committments Dump'!$C:$C,'Category Table'!AB$2,'Committments Dump'!$B:$B,'Category Table'!$A252)</f>
        <v/>
      </c>
      <c r="AC252" s="112">
        <f>SUMIFS('Committments Dump'!$S:$S,'Committments Dump'!$C:$C,'Category Table'!AC$2,'Committments Dump'!$B:$B,'Category Table'!$A252)</f>
        <v/>
      </c>
      <c r="AD252" s="111">
        <f>U252+X252+AA252</f>
        <v/>
      </c>
      <c r="AE252" s="112">
        <f>V252+Y252+AB252</f>
        <v/>
      </c>
      <c r="AF252" s="112">
        <f>W252+Z252+AC252</f>
        <v/>
      </c>
      <c r="AG252" s="111">
        <f>R252+AD252</f>
        <v/>
      </c>
      <c r="AH252" s="112">
        <f>S252+AE252</f>
        <v/>
      </c>
      <c r="AI252" s="112">
        <f>T252+AF252</f>
        <v/>
      </c>
      <c r="AJ252" s="111" t="n"/>
      <c r="AK252" s="112" t="n"/>
      <c r="AL252" s="112" t="n"/>
      <c r="AM252" s="111">
        <f>(O252-AG252)+AJ252</f>
        <v/>
      </c>
      <c r="AN252" s="112">
        <f>(P252-AH252)+AK252</f>
        <v/>
      </c>
      <c r="AO252" s="112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13" t="n"/>
      <c r="D253" s="114" t="n"/>
      <c r="E253" s="114" t="n"/>
      <c r="F253" s="113" t="n"/>
      <c r="G253" s="114" t="n"/>
      <c r="H253" s="114" t="n"/>
      <c r="I253" s="113" t="n"/>
      <c r="J253" s="114" t="n"/>
      <c r="K253" s="114" t="n"/>
      <c r="L253" s="113" t="n"/>
      <c r="M253" s="114" t="n"/>
      <c r="N253" s="114" t="n"/>
      <c r="O253" s="113">
        <f>L253+I253+F253+C253</f>
        <v/>
      </c>
      <c r="P253" s="114">
        <f>M253+J253+G253+D253</f>
        <v/>
      </c>
      <c r="Q253" s="114">
        <f>N253+K253+H253+E253</f>
        <v/>
      </c>
      <c r="R253" s="113">
        <f>SUMIFS('PO Log'!$E:$E,'PO Log'!$D:$D,'Category Table'!R$2,'PO Log'!$C:$C,'Category Table'!$A253)</f>
        <v/>
      </c>
      <c r="S253" s="114">
        <f>SUMIFS('PO Log'!$E:$E,'PO Log'!$D:$D,'Category Table'!S$2,'PO Log'!$C:$C,'Category Table'!$A253)</f>
        <v/>
      </c>
      <c r="T253" s="114">
        <f>SUMIFS('PO Log'!$E:$E,'PO Log'!$D:$D,'Category Table'!T$2,'PO Log'!$C:$C,'Category Table'!$A253)</f>
        <v/>
      </c>
      <c r="U253" s="113">
        <f>SUMIFS('Committments Dump'!$Q:$Q,'Committments Dump'!$C:$C,'Category Table'!U$2,'Committments Dump'!$B:$B,'Category Table'!$A253)</f>
        <v/>
      </c>
      <c r="V253" s="114">
        <f>SUMIFS('Committments Dump'!$Q:$Q,'Committments Dump'!$C:$C,'Category Table'!V$2,'Committments Dump'!$B:$B,'Category Table'!$A253)</f>
        <v/>
      </c>
      <c r="W253" s="114">
        <f>SUMIFS('Committments Dump'!$Q:$Q,'Committments Dump'!$C:$C,'Category Table'!W$2,'Committments Dump'!$B:$B,'Category Table'!$A253)</f>
        <v/>
      </c>
      <c r="X253" s="113">
        <f>SUMIFS('Committments Dump'!$R:$R,'Committments Dump'!$C:$C,'Category Table'!X$2,'Committments Dump'!$B:$B,'Category Table'!$A253)</f>
        <v/>
      </c>
      <c r="Y253" s="114">
        <f>SUMIFS('Committments Dump'!$R:$R,'Committments Dump'!$C:$C,'Category Table'!Y$2,'Committments Dump'!$B:$B,'Category Table'!$A253)</f>
        <v/>
      </c>
      <c r="Z253" s="114">
        <f>SUMIFS('Committments Dump'!$R:$R,'Committments Dump'!$C:$C,'Category Table'!Z$2,'Committments Dump'!$B:$B,'Category Table'!$A253)</f>
        <v/>
      </c>
      <c r="AA253" s="113">
        <f>SUMIFS('Committments Dump'!$S:$S,'Committments Dump'!$C:$C,'Category Table'!AA$2,'Committments Dump'!$B:$B,'Category Table'!$A253)</f>
        <v/>
      </c>
      <c r="AB253" s="114">
        <f>SUMIFS('Committments Dump'!$S:$S,'Committments Dump'!$C:$C,'Category Table'!AB$2,'Committments Dump'!$B:$B,'Category Table'!$A253)</f>
        <v/>
      </c>
      <c r="AC253" s="114">
        <f>SUMIFS('Committments Dump'!$S:$S,'Committments Dump'!$C:$C,'Category Table'!AC$2,'Committments Dump'!$B:$B,'Category Table'!$A253)</f>
        <v/>
      </c>
      <c r="AD253" s="113">
        <f>U253+X253+AA253</f>
        <v/>
      </c>
      <c r="AE253" s="114">
        <f>V253+Y253+AB253</f>
        <v/>
      </c>
      <c r="AF253" s="114">
        <f>W253+Z253+AC253</f>
        <v/>
      </c>
      <c r="AG253" s="113">
        <f>R253+AD253</f>
        <v/>
      </c>
      <c r="AH253" s="114">
        <f>S253+AE253</f>
        <v/>
      </c>
      <c r="AI253" s="114">
        <f>T253+AF253</f>
        <v/>
      </c>
      <c r="AJ253" s="113" t="n"/>
      <c r="AK253" s="114" t="n"/>
      <c r="AL253" s="114" t="n"/>
      <c r="AM253" s="113">
        <f>(O253-AG253)+AJ253</f>
        <v/>
      </c>
      <c r="AN253" s="114">
        <f>(P253-AH253)+AK253</f>
        <v/>
      </c>
      <c r="AO253" s="114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11" t="n"/>
      <c r="D254" s="112" t="n"/>
      <c r="E254" s="112" t="n"/>
      <c r="F254" s="111" t="n"/>
      <c r="G254" s="112" t="n"/>
      <c r="H254" s="112" t="n"/>
      <c r="I254" s="111" t="n"/>
      <c r="J254" s="112" t="n"/>
      <c r="K254" s="112" t="n"/>
      <c r="L254" s="111" t="n"/>
      <c r="M254" s="112" t="n"/>
      <c r="N254" s="112" t="n"/>
      <c r="O254" s="111">
        <f>L254+I254+F254+C254</f>
        <v/>
      </c>
      <c r="P254" s="112">
        <f>M254+J254+G254+D254</f>
        <v/>
      </c>
      <c r="Q254" s="112">
        <f>N254+K254+H254+E254</f>
        <v/>
      </c>
      <c r="R254" s="111">
        <f>SUMIFS('PO Log'!$E:$E,'PO Log'!$D:$D,'Category Table'!R$2,'PO Log'!$C:$C,'Category Table'!$A254)</f>
        <v/>
      </c>
      <c r="S254" s="112">
        <f>SUMIFS('PO Log'!$E:$E,'PO Log'!$D:$D,'Category Table'!S$2,'PO Log'!$C:$C,'Category Table'!$A254)</f>
        <v/>
      </c>
      <c r="T254" s="112">
        <f>SUMIFS('PO Log'!$E:$E,'PO Log'!$D:$D,'Category Table'!T$2,'PO Log'!$C:$C,'Category Table'!$A254)</f>
        <v/>
      </c>
      <c r="U254" s="111">
        <f>SUMIFS('Committments Dump'!$Q:$Q,'Committments Dump'!$C:$C,'Category Table'!U$2,'Committments Dump'!$B:$B,'Category Table'!$A254)</f>
        <v/>
      </c>
      <c r="V254" s="112">
        <f>SUMIFS('Committments Dump'!$Q:$Q,'Committments Dump'!$C:$C,'Category Table'!V$2,'Committments Dump'!$B:$B,'Category Table'!$A254)</f>
        <v/>
      </c>
      <c r="W254" s="112">
        <f>SUMIFS('Committments Dump'!$Q:$Q,'Committments Dump'!$C:$C,'Category Table'!W$2,'Committments Dump'!$B:$B,'Category Table'!$A254)</f>
        <v/>
      </c>
      <c r="X254" s="111">
        <f>SUMIFS('Committments Dump'!$R:$R,'Committments Dump'!$C:$C,'Category Table'!X$2,'Committments Dump'!$B:$B,'Category Table'!$A254)</f>
        <v/>
      </c>
      <c r="Y254" s="112">
        <f>SUMIFS('Committments Dump'!$R:$R,'Committments Dump'!$C:$C,'Category Table'!Y$2,'Committments Dump'!$B:$B,'Category Table'!$A254)</f>
        <v/>
      </c>
      <c r="Z254" s="112">
        <f>SUMIFS('Committments Dump'!$R:$R,'Committments Dump'!$C:$C,'Category Table'!Z$2,'Committments Dump'!$B:$B,'Category Table'!$A254)</f>
        <v/>
      </c>
      <c r="AA254" s="111">
        <f>SUMIFS('Committments Dump'!$S:$S,'Committments Dump'!$C:$C,'Category Table'!AA$2,'Committments Dump'!$B:$B,'Category Table'!$A254)</f>
        <v/>
      </c>
      <c r="AB254" s="112">
        <f>SUMIFS('Committments Dump'!$S:$S,'Committments Dump'!$C:$C,'Category Table'!AB$2,'Committments Dump'!$B:$B,'Category Table'!$A254)</f>
        <v/>
      </c>
      <c r="AC254" s="112">
        <f>SUMIFS('Committments Dump'!$S:$S,'Committments Dump'!$C:$C,'Category Table'!AC$2,'Committments Dump'!$B:$B,'Category Table'!$A254)</f>
        <v/>
      </c>
      <c r="AD254" s="111">
        <f>U254+X254+AA254</f>
        <v/>
      </c>
      <c r="AE254" s="112">
        <f>V254+Y254+AB254</f>
        <v/>
      </c>
      <c r="AF254" s="112">
        <f>W254+Z254+AC254</f>
        <v/>
      </c>
      <c r="AG254" s="111">
        <f>R254+AD254</f>
        <v/>
      </c>
      <c r="AH254" s="112">
        <f>S254+AE254</f>
        <v/>
      </c>
      <c r="AI254" s="112">
        <f>T254+AF254</f>
        <v/>
      </c>
      <c r="AJ254" s="111" t="n"/>
      <c r="AK254" s="112" t="n"/>
      <c r="AL254" s="112" t="n"/>
      <c r="AM254" s="111">
        <f>(O254-AG254)+AJ254</f>
        <v/>
      </c>
      <c r="AN254" s="112">
        <f>(P254-AH254)+AK254</f>
        <v/>
      </c>
      <c r="AO254" s="112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13" t="n"/>
      <c r="D255" s="114" t="n"/>
      <c r="E255" s="114" t="n"/>
      <c r="F255" s="113" t="n"/>
      <c r="G255" s="114" t="n"/>
      <c r="H255" s="114" t="n"/>
      <c r="I255" s="113" t="n"/>
      <c r="J255" s="114" t="n"/>
      <c r="K255" s="114" t="n"/>
      <c r="L255" s="113" t="n"/>
      <c r="M255" s="114" t="n"/>
      <c r="N255" s="114" t="n"/>
      <c r="O255" s="113">
        <f>L255+I255+F255+C255</f>
        <v/>
      </c>
      <c r="P255" s="114">
        <f>M255+J255+G255+D255</f>
        <v/>
      </c>
      <c r="Q255" s="114">
        <f>N255+K255+H255+E255</f>
        <v/>
      </c>
      <c r="R255" s="113">
        <f>SUMIFS('PO Log'!$E:$E,'PO Log'!$D:$D,'Category Table'!R$2,'PO Log'!$C:$C,'Category Table'!$A255)</f>
        <v/>
      </c>
      <c r="S255" s="114">
        <f>SUMIFS('PO Log'!$E:$E,'PO Log'!$D:$D,'Category Table'!S$2,'PO Log'!$C:$C,'Category Table'!$A255)</f>
        <v/>
      </c>
      <c r="T255" s="114">
        <f>SUMIFS('PO Log'!$E:$E,'PO Log'!$D:$D,'Category Table'!T$2,'PO Log'!$C:$C,'Category Table'!$A255)</f>
        <v/>
      </c>
      <c r="U255" s="113">
        <f>SUMIFS('Committments Dump'!$Q:$Q,'Committments Dump'!$C:$C,'Category Table'!U$2,'Committments Dump'!$B:$B,'Category Table'!$A255)</f>
        <v/>
      </c>
      <c r="V255" s="114">
        <f>SUMIFS('Committments Dump'!$Q:$Q,'Committments Dump'!$C:$C,'Category Table'!V$2,'Committments Dump'!$B:$B,'Category Table'!$A255)</f>
        <v/>
      </c>
      <c r="W255" s="114">
        <f>SUMIFS('Committments Dump'!$Q:$Q,'Committments Dump'!$C:$C,'Category Table'!W$2,'Committments Dump'!$B:$B,'Category Table'!$A255)</f>
        <v/>
      </c>
      <c r="X255" s="113">
        <f>SUMIFS('Committments Dump'!$R:$R,'Committments Dump'!$C:$C,'Category Table'!X$2,'Committments Dump'!$B:$B,'Category Table'!$A255)</f>
        <v/>
      </c>
      <c r="Y255" s="114">
        <f>SUMIFS('Committments Dump'!$R:$R,'Committments Dump'!$C:$C,'Category Table'!Y$2,'Committments Dump'!$B:$B,'Category Table'!$A255)</f>
        <v/>
      </c>
      <c r="Z255" s="114">
        <f>SUMIFS('Committments Dump'!$R:$R,'Committments Dump'!$C:$C,'Category Table'!Z$2,'Committments Dump'!$B:$B,'Category Table'!$A255)</f>
        <v/>
      </c>
      <c r="AA255" s="113">
        <f>SUMIFS('Committments Dump'!$S:$S,'Committments Dump'!$C:$C,'Category Table'!AA$2,'Committments Dump'!$B:$B,'Category Table'!$A255)</f>
        <v/>
      </c>
      <c r="AB255" s="114">
        <f>SUMIFS('Committments Dump'!$S:$S,'Committments Dump'!$C:$C,'Category Table'!AB$2,'Committments Dump'!$B:$B,'Category Table'!$A255)</f>
        <v/>
      </c>
      <c r="AC255" s="114">
        <f>SUMIFS('Committments Dump'!$S:$S,'Committments Dump'!$C:$C,'Category Table'!AC$2,'Committments Dump'!$B:$B,'Category Table'!$A255)</f>
        <v/>
      </c>
      <c r="AD255" s="113">
        <f>U255+X255+AA255</f>
        <v/>
      </c>
      <c r="AE255" s="114">
        <f>V255+Y255+AB255</f>
        <v/>
      </c>
      <c r="AF255" s="114">
        <f>W255+Z255+AC255</f>
        <v/>
      </c>
      <c r="AG255" s="113">
        <f>R255+AD255</f>
        <v/>
      </c>
      <c r="AH255" s="114">
        <f>S255+AE255</f>
        <v/>
      </c>
      <c r="AI255" s="114">
        <f>T255+AF255</f>
        <v/>
      </c>
      <c r="AJ255" s="113" t="n"/>
      <c r="AK255" s="114" t="n"/>
      <c r="AL255" s="114" t="n"/>
      <c r="AM255" s="113">
        <f>(O255-AG255)+AJ255</f>
        <v/>
      </c>
      <c r="AN255" s="114">
        <f>(P255-AH255)+AK255</f>
        <v/>
      </c>
      <c r="AO255" s="114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11" t="n"/>
      <c r="D256" s="112" t="n"/>
      <c r="E256" s="112" t="n"/>
      <c r="F256" s="111" t="n"/>
      <c r="G256" s="112" t="n"/>
      <c r="H256" s="112" t="n"/>
      <c r="I256" s="111" t="n"/>
      <c r="J256" s="112" t="n"/>
      <c r="K256" s="112" t="n"/>
      <c r="L256" s="111" t="n"/>
      <c r="M256" s="112" t="n"/>
      <c r="N256" s="112" t="n"/>
      <c r="O256" s="111">
        <f>L256+I256+F256+C256</f>
        <v/>
      </c>
      <c r="P256" s="112">
        <f>M256+J256+G256+D256</f>
        <v/>
      </c>
      <c r="Q256" s="112">
        <f>N256+K256+H256+E256</f>
        <v/>
      </c>
      <c r="R256" s="111">
        <f>SUMIFS('PO Log'!$E:$E,'PO Log'!$D:$D,'Category Table'!R$2,'PO Log'!$C:$C,'Category Table'!$A256)</f>
        <v/>
      </c>
      <c r="S256" s="112">
        <f>SUMIFS('PO Log'!$E:$E,'PO Log'!$D:$D,'Category Table'!S$2,'PO Log'!$C:$C,'Category Table'!$A256)</f>
        <v/>
      </c>
      <c r="T256" s="112">
        <f>SUMIFS('PO Log'!$E:$E,'PO Log'!$D:$D,'Category Table'!T$2,'PO Log'!$C:$C,'Category Table'!$A256)</f>
        <v/>
      </c>
      <c r="U256" s="111">
        <f>SUMIFS('Committments Dump'!$Q:$Q,'Committments Dump'!$C:$C,'Category Table'!U$2,'Committments Dump'!$B:$B,'Category Table'!$A256)</f>
        <v/>
      </c>
      <c r="V256" s="112">
        <f>SUMIFS('Committments Dump'!$Q:$Q,'Committments Dump'!$C:$C,'Category Table'!V$2,'Committments Dump'!$B:$B,'Category Table'!$A256)</f>
        <v/>
      </c>
      <c r="W256" s="112">
        <f>SUMIFS('Committments Dump'!$Q:$Q,'Committments Dump'!$C:$C,'Category Table'!W$2,'Committments Dump'!$B:$B,'Category Table'!$A256)</f>
        <v/>
      </c>
      <c r="X256" s="111">
        <f>SUMIFS('Committments Dump'!$R:$R,'Committments Dump'!$C:$C,'Category Table'!X$2,'Committments Dump'!$B:$B,'Category Table'!$A256)</f>
        <v/>
      </c>
      <c r="Y256" s="112">
        <f>SUMIFS('Committments Dump'!$R:$R,'Committments Dump'!$C:$C,'Category Table'!Y$2,'Committments Dump'!$B:$B,'Category Table'!$A256)</f>
        <v/>
      </c>
      <c r="Z256" s="112">
        <f>SUMIFS('Committments Dump'!$R:$R,'Committments Dump'!$C:$C,'Category Table'!Z$2,'Committments Dump'!$B:$B,'Category Table'!$A256)</f>
        <v/>
      </c>
      <c r="AA256" s="111">
        <f>SUMIFS('Committments Dump'!$S:$S,'Committments Dump'!$C:$C,'Category Table'!AA$2,'Committments Dump'!$B:$B,'Category Table'!$A256)</f>
        <v/>
      </c>
      <c r="AB256" s="112">
        <f>SUMIFS('Committments Dump'!$S:$S,'Committments Dump'!$C:$C,'Category Table'!AB$2,'Committments Dump'!$B:$B,'Category Table'!$A256)</f>
        <v/>
      </c>
      <c r="AC256" s="112">
        <f>SUMIFS('Committments Dump'!$S:$S,'Committments Dump'!$C:$C,'Category Table'!AC$2,'Committments Dump'!$B:$B,'Category Table'!$A256)</f>
        <v/>
      </c>
      <c r="AD256" s="111">
        <f>U256+X256+AA256</f>
        <v/>
      </c>
      <c r="AE256" s="112">
        <f>V256+Y256+AB256</f>
        <v/>
      </c>
      <c r="AF256" s="112">
        <f>W256+Z256+AC256</f>
        <v/>
      </c>
      <c r="AG256" s="111">
        <f>R256+AD256</f>
        <v/>
      </c>
      <c r="AH256" s="112">
        <f>S256+AE256</f>
        <v/>
      </c>
      <c r="AI256" s="112">
        <f>T256+AF256</f>
        <v/>
      </c>
      <c r="AJ256" s="111" t="n"/>
      <c r="AK256" s="112" t="n"/>
      <c r="AL256" s="112" t="n"/>
      <c r="AM256" s="111">
        <f>(O256-AG256)+AJ256</f>
        <v/>
      </c>
      <c r="AN256" s="112">
        <f>(P256-AH256)+AK256</f>
        <v/>
      </c>
      <c r="AO256" s="112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13" t="n"/>
      <c r="D257" s="114" t="n"/>
      <c r="E257" s="114" t="n"/>
      <c r="F257" s="113" t="n"/>
      <c r="G257" s="114" t="n"/>
      <c r="H257" s="114" t="n"/>
      <c r="I257" s="113" t="n"/>
      <c r="J257" s="114" t="n"/>
      <c r="K257" s="114" t="n"/>
      <c r="L257" s="113" t="n"/>
      <c r="M257" s="114" t="n"/>
      <c r="N257" s="114" t="n"/>
      <c r="O257" s="113">
        <f>L257+I257+F257+C257</f>
        <v/>
      </c>
      <c r="P257" s="114">
        <f>M257+J257+G257+D257</f>
        <v/>
      </c>
      <c r="Q257" s="114">
        <f>N257+K257+H257+E257</f>
        <v/>
      </c>
      <c r="R257" s="113">
        <f>SUMIFS('PO Log'!$E:$E,'PO Log'!$D:$D,'Category Table'!R$2,'PO Log'!$C:$C,'Category Table'!$A257)</f>
        <v/>
      </c>
      <c r="S257" s="114">
        <f>SUMIFS('PO Log'!$E:$E,'PO Log'!$D:$D,'Category Table'!S$2,'PO Log'!$C:$C,'Category Table'!$A257)</f>
        <v/>
      </c>
      <c r="T257" s="114">
        <f>SUMIFS('PO Log'!$E:$E,'PO Log'!$D:$D,'Category Table'!T$2,'PO Log'!$C:$C,'Category Table'!$A257)</f>
        <v/>
      </c>
      <c r="U257" s="113">
        <f>SUMIFS('Committments Dump'!$Q:$Q,'Committments Dump'!$C:$C,'Category Table'!U$2,'Committments Dump'!$B:$B,'Category Table'!$A257)</f>
        <v/>
      </c>
      <c r="V257" s="114">
        <f>SUMIFS('Committments Dump'!$Q:$Q,'Committments Dump'!$C:$C,'Category Table'!V$2,'Committments Dump'!$B:$B,'Category Table'!$A257)</f>
        <v/>
      </c>
      <c r="W257" s="114">
        <f>SUMIFS('Committments Dump'!$Q:$Q,'Committments Dump'!$C:$C,'Category Table'!W$2,'Committments Dump'!$B:$B,'Category Table'!$A257)</f>
        <v/>
      </c>
      <c r="X257" s="113">
        <f>SUMIFS('Committments Dump'!$R:$R,'Committments Dump'!$C:$C,'Category Table'!X$2,'Committments Dump'!$B:$B,'Category Table'!$A257)</f>
        <v/>
      </c>
      <c r="Y257" s="114">
        <f>SUMIFS('Committments Dump'!$R:$R,'Committments Dump'!$C:$C,'Category Table'!Y$2,'Committments Dump'!$B:$B,'Category Table'!$A257)</f>
        <v/>
      </c>
      <c r="Z257" s="114">
        <f>SUMIFS('Committments Dump'!$R:$R,'Committments Dump'!$C:$C,'Category Table'!Z$2,'Committments Dump'!$B:$B,'Category Table'!$A257)</f>
        <v/>
      </c>
      <c r="AA257" s="113">
        <f>SUMIFS('Committments Dump'!$S:$S,'Committments Dump'!$C:$C,'Category Table'!AA$2,'Committments Dump'!$B:$B,'Category Table'!$A257)</f>
        <v/>
      </c>
      <c r="AB257" s="114">
        <f>SUMIFS('Committments Dump'!$S:$S,'Committments Dump'!$C:$C,'Category Table'!AB$2,'Committments Dump'!$B:$B,'Category Table'!$A257)</f>
        <v/>
      </c>
      <c r="AC257" s="114">
        <f>SUMIFS('Committments Dump'!$S:$S,'Committments Dump'!$C:$C,'Category Table'!AC$2,'Committments Dump'!$B:$B,'Category Table'!$A257)</f>
        <v/>
      </c>
      <c r="AD257" s="113">
        <f>U257+X257+AA257</f>
        <v/>
      </c>
      <c r="AE257" s="114">
        <f>V257+Y257+AB257</f>
        <v/>
      </c>
      <c r="AF257" s="114">
        <f>W257+Z257+AC257</f>
        <v/>
      </c>
      <c r="AG257" s="113">
        <f>R257+AD257</f>
        <v/>
      </c>
      <c r="AH257" s="114">
        <f>S257+AE257</f>
        <v/>
      </c>
      <c r="AI257" s="114">
        <f>T257+AF257</f>
        <v/>
      </c>
      <c r="AJ257" s="113" t="n"/>
      <c r="AK257" s="114" t="n"/>
      <c r="AL257" s="114" t="n"/>
      <c r="AM257" s="113">
        <f>(O257-AG257)+AJ257</f>
        <v/>
      </c>
      <c r="AN257" s="114">
        <f>(P257-AH257)+AK257</f>
        <v/>
      </c>
      <c r="AO257" s="114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11" t="n"/>
      <c r="D258" s="112" t="n"/>
      <c r="E258" s="112" t="n"/>
      <c r="F258" s="111" t="n"/>
      <c r="G258" s="112" t="n"/>
      <c r="H258" s="112" t="n"/>
      <c r="I258" s="111" t="n"/>
      <c r="J258" s="112" t="n"/>
      <c r="K258" s="112" t="n"/>
      <c r="L258" s="111" t="n"/>
      <c r="M258" s="112" t="n"/>
      <c r="N258" s="112" t="n"/>
      <c r="O258" s="111">
        <f>L258+I258+F258+C258</f>
        <v/>
      </c>
      <c r="P258" s="112">
        <f>M258+J258+G258+D258</f>
        <v/>
      </c>
      <c r="Q258" s="112">
        <f>N258+K258+H258+E258</f>
        <v/>
      </c>
      <c r="R258" s="111">
        <f>SUMIFS('PO Log'!$E:$E,'PO Log'!$D:$D,'Category Table'!R$2,'PO Log'!$C:$C,'Category Table'!$A258)</f>
        <v/>
      </c>
      <c r="S258" s="112">
        <f>SUMIFS('PO Log'!$E:$E,'PO Log'!$D:$D,'Category Table'!S$2,'PO Log'!$C:$C,'Category Table'!$A258)</f>
        <v/>
      </c>
      <c r="T258" s="112">
        <f>SUMIFS('PO Log'!$E:$E,'PO Log'!$D:$D,'Category Table'!T$2,'PO Log'!$C:$C,'Category Table'!$A258)</f>
        <v/>
      </c>
      <c r="U258" s="111">
        <f>SUMIFS('Committments Dump'!$Q:$Q,'Committments Dump'!$C:$C,'Category Table'!U$2,'Committments Dump'!$B:$B,'Category Table'!$A258)</f>
        <v/>
      </c>
      <c r="V258" s="112">
        <f>SUMIFS('Committments Dump'!$Q:$Q,'Committments Dump'!$C:$C,'Category Table'!V$2,'Committments Dump'!$B:$B,'Category Table'!$A258)</f>
        <v/>
      </c>
      <c r="W258" s="112">
        <f>SUMIFS('Committments Dump'!$Q:$Q,'Committments Dump'!$C:$C,'Category Table'!W$2,'Committments Dump'!$B:$B,'Category Table'!$A258)</f>
        <v/>
      </c>
      <c r="X258" s="111">
        <f>SUMIFS('Committments Dump'!$R:$R,'Committments Dump'!$C:$C,'Category Table'!X$2,'Committments Dump'!$B:$B,'Category Table'!$A258)</f>
        <v/>
      </c>
      <c r="Y258" s="112">
        <f>SUMIFS('Committments Dump'!$R:$R,'Committments Dump'!$C:$C,'Category Table'!Y$2,'Committments Dump'!$B:$B,'Category Table'!$A258)</f>
        <v/>
      </c>
      <c r="Z258" s="112">
        <f>SUMIFS('Committments Dump'!$R:$R,'Committments Dump'!$C:$C,'Category Table'!Z$2,'Committments Dump'!$B:$B,'Category Table'!$A258)</f>
        <v/>
      </c>
      <c r="AA258" s="111">
        <f>SUMIFS('Committments Dump'!$S:$S,'Committments Dump'!$C:$C,'Category Table'!AA$2,'Committments Dump'!$B:$B,'Category Table'!$A258)</f>
        <v/>
      </c>
      <c r="AB258" s="112">
        <f>SUMIFS('Committments Dump'!$S:$S,'Committments Dump'!$C:$C,'Category Table'!AB$2,'Committments Dump'!$B:$B,'Category Table'!$A258)</f>
        <v/>
      </c>
      <c r="AC258" s="112">
        <f>SUMIFS('Committments Dump'!$S:$S,'Committments Dump'!$C:$C,'Category Table'!AC$2,'Committments Dump'!$B:$B,'Category Table'!$A258)</f>
        <v/>
      </c>
      <c r="AD258" s="111">
        <f>U258+X258+AA258</f>
        <v/>
      </c>
      <c r="AE258" s="112">
        <f>V258+Y258+AB258</f>
        <v/>
      </c>
      <c r="AF258" s="112">
        <f>W258+Z258+AC258</f>
        <v/>
      </c>
      <c r="AG258" s="111">
        <f>R258+AD258</f>
        <v/>
      </c>
      <c r="AH258" s="112">
        <f>S258+AE258</f>
        <v/>
      </c>
      <c r="AI258" s="112">
        <f>T258+AF258</f>
        <v/>
      </c>
      <c r="AJ258" s="111" t="n"/>
      <c r="AK258" s="112" t="n"/>
      <c r="AL258" s="112" t="n"/>
      <c r="AM258" s="111">
        <f>(O258-AG258)+AJ258</f>
        <v/>
      </c>
      <c r="AN258" s="112">
        <f>(P258-AH258)+AK258</f>
        <v/>
      </c>
      <c r="AO258" s="112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13" t="n"/>
      <c r="D259" s="114" t="n"/>
      <c r="E259" s="114" t="n"/>
      <c r="F259" s="113" t="n"/>
      <c r="G259" s="114" t="n"/>
      <c r="H259" s="114" t="n"/>
      <c r="I259" s="113" t="n"/>
      <c r="J259" s="114" t="n"/>
      <c r="K259" s="114" t="n"/>
      <c r="L259" s="113" t="n"/>
      <c r="M259" s="114" t="n"/>
      <c r="N259" s="114" t="n"/>
      <c r="O259" s="113">
        <f>L259+I259+F259+C259</f>
        <v/>
      </c>
      <c r="P259" s="114">
        <f>M259+J259+G259+D259</f>
        <v/>
      </c>
      <c r="Q259" s="114">
        <f>N259+K259+H259+E259</f>
        <v/>
      </c>
      <c r="R259" s="113">
        <f>SUMIFS('PO Log'!$E:$E,'PO Log'!$D:$D,'Category Table'!R$2,'PO Log'!$C:$C,'Category Table'!$A259)</f>
        <v/>
      </c>
      <c r="S259" s="114">
        <f>SUMIFS('PO Log'!$E:$E,'PO Log'!$D:$D,'Category Table'!S$2,'PO Log'!$C:$C,'Category Table'!$A259)</f>
        <v/>
      </c>
      <c r="T259" s="114">
        <f>SUMIFS('PO Log'!$E:$E,'PO Log'!$D:$D,'Category Table'!T$2,'PO Log'!$C:$C,'Category Table'!$A259)</f>
        <v/>
      </c>
      <c r="U259" s="113">
        <f>SUMIFS('Committments Dump'!$Q:$Q,'Committments Dump'!$C:$C,'Category Table'!U$2,'Committments Dump'!$B:$B,'Category Table'!$A259)</f>
        <v/>
      </c>
      <c r="V259" s="114">
        <f>SUMIFS('Committments Dump'!$Q:$Q,'Committments Dump'!$C:$C,'Category Table'!V$2,'Committments Dump'!$B:$B,'Category Table'!$A259)</f>
        <v/>
      </c>
      <c r="W259" s="114">
        <f>SUMIFS('Committments Dump'!$Q:$Q,'Committments Dump'!$C:$C,'Category Table'!W$2,'Committments Dump'!$B:$B,'Category Table'!$A259)</f>
        <v/>
      </c>
      <c r="X259" s="113">
        <f>SUMIFS('Committments Dump'!$R:$R,'Committments Dump'!$C:$C,'Category Table'!X$2,'Committments Dump'!$B:$B,'Category Table'!$A259)</f>
        <v/>
      </c>
      <c r="Y259" s="114">
        <f>SUMIFS('Committments Dump'!$R:$R,'Committments Dump'!$C:$C,'Category Table'!Y$2,'Committments Dump'!$B:$B,'Category Table'!$A259)</f>
        <v/>
      </c>
      <c r="Z259" s="114">
        <f>SUMIFS('Committments Dump'!$R:$R,'Committments Dump'!$C:$C,'Category Table'!Z$2,'Committments Dump'!$B:$B,'Category Table'!$A259)</f>
        <v/>
      </c>
      <c r="AA259" s="113">
        <f>SUMIFS('Committments Dump'!$S:$S,'Committments Dump'!$C:$C,'Category Table'!AA$2,'Committments Dump'!$B:$B,'Category Table'!$A259)</f>
        <v/>
      </c>
      <c r="AB259" s="114">
        <f>SUMIFS('Committments Dump'!$S:$S,'Committments Dump'!$C:$C,'Category Table'!AB$2,'Committments Dump'!$B:$B,'Category Table'!$A259)</f>
        <v/>
      </c>
      <c r="AC259" s="114">
        <f>SUMIFS('Committments Dump'!$S:$S,'Committments Dump'!$C:$C,'Category Table'!AC$2,'Committments Dump'!$B:$B,'Category Table'!$A259)</f>
        <v/>
      </c>
      <c r="AD259" s="113">
        <f>U259+X259+AA259</f>
        <v/>
      </c>
      <c r="AE259" s="114">
        <f>V259+Y259+AB259</f>
        <v/>
      </c>
      <c r="AF259" s="114">
        <f>W259+Z259+AC259</f>
        <v/>
      </c>
      <c r="AG259" s="113">
        <f>R259+AD259</f>
        <v/>
      </c>
      <c r="AH259" s="114">
        <f>S259+AE259</f>
        <v/>
      </c>
      <c r="AI259" s="114">
        <f>T259+AF259</f>
        <v/>
      </c>
      <c r="AJ259" s="113" t="n"/>
      <c r="AK259" s="114" t="n"/>
      <c r="AL259" s="114" t="n"/>
      <c r="AM259" s="113">
        <f>(O259-AG259)+AJ259</f>
        <v/>
      </c>
      <c r="AN259" s="114">
        <f>(P259-AH259)+AK259</f>
        <v/>
      </c>
      <c r="AO259" s="114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11" t="n"/>
      <c r="D260" s="112" t="n"/>
      <c r="E260" s="112" t="n"/>
      <c r="F260" s="111" t="n"/>
      <c r="G260" s="112" t="n"/>
      <c r="H260" s="112" t="n"/>
      <c r="I260" s="111" t="n"/>
      <c r="J260" s="112" t="n"/>
      <c r="K260" s="112" t="n"/>
      <c r="L260" s="111" t="n"/>
      <c r="M260" s="112" t="n"/>
      <c r="N260" s="112" t="n"/>
      <c r="O260" s="111">
        <f>L260+I260+F260+C260</f>
        <v/>
      </c>
      <c r="P260" s="112">
        <f>M260+J260+G260+D260</f>
        <v/>
      </c>
      <c r="Q260" s="112">
        <f>N260+K260+H260+E260</f>
        <v/>
      </c>
      <c r="R260" s="111">
        <f>SUMIFS('PO Log'!$E:$E,'PO Log'!$D:$D,'Category Table'!R$2,'PO Log'!$C:$C,'Category Table'!$A260)</f>
        <v/>
      </c>
      <c r="S260" s="112">
        <f>SUMIFS('PO Log'!$E:$E,'PO Log'!$D:$D,'Category Table'!S$2,'PO Log'!$C:$C,'Category Table'!$A260)</f>
        <v/>
      </c>
      <c r="T260" s="112">
        <f>SUMIFS('PO Log'!$E:$E,'PO Log'!$D:$D,'Category Table'!T$2,'PO Log'!$C:$C,'Category Table'!$A260)</f>
        <v/>
      </c>
      <c r="U260" s="111">
        <f>SUMIFS('Committments Dump'!$Q:$Q,'Committments Dump'!$C:$C,'Category Table'!U$2,'Committments Dump'!$B:$B,'Category Table'!$A260)</f>
        <v/>
      </c>
      <c r="V260" s="112">
        <f>SUMIFS('Committments Dump'!$Q:$Q,'Committments Dump'!$C:$C,'Category Table'!V$2,'Committments Dump'!$B:$B,'Category Table'!$A260)</f>
        <v/>
      </c>
      <c r="W260" s="112">
        <f>SUMIFS('Committments Dump'!$Q:$Q,'Committments Dump'!$C:$C,'Category Table'!W$2,'Committments Dump'!$B:$B,'Category Table'!$A260)</f>
        <v/>
      </c>
      <c r="X260" s="111">
        <f>SUMIFS('Committments Dump'!$R:$R,'Committments Dump'!$C:$C,'Category Table'!X$2,'Committments Dump'!$B:$B,'Category Table'!$A260)</f>
        <v/>
      </c>
      <c r="Y260" s="112">
        <f>SUMIFS('Committments Dump'!$R:$R,'Committments Dump'!$C:$C,'Category Table'!Y$2,'Committments Dump'!$B:$B,'Category Table'!$A260)</f>
        <v/>
      </c>
      <c r="Z260" s="112">
        <f>SUMIFS('Committments Dump'!$R:$R,'Committments Dump'!$C:$C,'Category Table'!Z$2,'Committments Dump'!$B:$B,'Category Table'!$A260)</f>
        <v/>
      </c>
      <c r="AA260" s="111">
        <f>SUMIFS('Committments Dump'!$S:$S,'Committments Dump'!$C:$C,'Category Table'!AA$2,'Committments Dump'!$B:$B,'Category Table'!$A260)</f>
        <v/>
      </c>
      <c r="AB260" s="112">
        <f>SUMIFS('Committments Dump'!$S:$S,'Committments Dump'!$C:$C,'Category Table'!AB$2,'Committments Dump'!$B:$B,'Category Table'!$A260)</f>
        <v/>
      </c>
      <c r="AC260" s="112">
        <f>SUMIFS('Committments Dump'!$S:$S,'Committments Dump'!$C:$C,'Category Table'!AC$2,'Committments Dump'!$B:$B,'Category Table'!$A260)</f>
        <v/>
      </c>
      <c r="AD260" s="111">
        <f>U260+X260+AA260</f>
        <v/>
      </c>
      <c r="AE260" s="112">
        <f>V260+Y260+AB260</f>
        <v/>
      </c>
      <c r="AF260" s="112">
        <f>W260+Z260+AC260</f>
        <v/>
      </c>
      <c r="AG260" s="111">
        <f>R260+AD260</f>
        <v/>
      </c>
      <c r="AH260" s="112">
        <f>S260+AE260</f>
        <v/>
      </c>
      <c r="AI260" s="112">
        <f>T260+AF260</f>
        <v/>
      </c>
      <c r="AJ260" s="111" t="n"/>
      <c r="AK260" s="112" t="n"/>
      <c r="AL260" s="112" t="n"/>
      <c r="AM260" s="111">
        <f>(O260-AG260)+AJ260</f>
        <v/>
      </c>
      <c r="AN260" s="112">
        <f>(P260-AH260)+AK260</f>
        <v/>
      </c>
      <c r="AO260" s="112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13" t="n"/>
      <c r="D261" s="114" t="n"/>
      <c r="E261" s="114" t="n"/>
      <c r="F261" s="113" t="n"/>
      <c r="G261" s="114" t="n"/>
      <c r="H261" s="114" t="n"/>
      <c r="I261" s="113" t="n"/>
      <c r="J261" s="114" t="n"/>
      <c r="K261" s="114" t="n"/>
      <c r="L261" s="113" t="n"/>
      <c r="M261" s="114" t="n"/>
      <c r="N261" s="114" t="n"/>
      <c r="O261" s="113">
        <f>L261+I261+F261+C261</f>
        <v/>
      </c>
      <c r="P261" s="114">
        <f>M261+J261+G261+D261</f>
        <v/>
      </c>
      <c r="Q261" s="114">
        <f>N261+K261+H261+E261</f>
        <v/>
      </c>
      <c r="R261" s="113">
        <f>SUMIFS('PO Log'!$E:$E,'PO Log'!$D:$D,'Category Table'!R$2,'PO Log'!$C:$C,'Category Table'!$A261)</f>
        <v/>
      </c>
      <c r="S261" s="114">
        <f>SUMIFS('PO Log'!$E:$E,'PO Log'!$D:$D,'Category Table'!S$2,'PO Log'!$C:$C,'Category Table'!$A261)</f>
        <v/>
      </c>
      <c r="T261" s="114">
        <f>SUMIFS('PO Log'!$E:$E,'PO Log'!$D:$D,'Category Table'!T$2,'PO Log'!$C:$C,'Category Table'!$A261)</f>
        <v/>
      </c>
      <c r="U261" s="113">
        <f>SUMIFS('Committments Dump'!$Q:$Q,'Committments Dump'!$C:$C,'Category Table'!U$2,'Committments Dump'!$B:$B,'Category Table'!$A261)</f>
        <v/>
      </c>
      <c r="V261" s="114">
        <f>SUMIFS('Committments Dump'!$Q:$Q,'Committments Dump'!$C:$C,'Category Table'!V$2,'Committments Dump'!$B:$B,'Category Table'!$A261)</f>
        <v/>
      </c>
      <c r="W261" s="114">
        <f>SUMIFS('Committments Dump'!$Q:$Q,'Committments Dump'!$C:$C,'Category Table'!W$2,'Committments Dump'!$B:$B,'Category Table'!$A261)</f>
        <v/>
      </c>
      <c r="X261" s="113">
        <f>SUMIFS('Committments Dump'!$R:$R,'Committments Dump'!$C:$C,'Category Table'!X$2,'Committments Dump'!$B:$B,'Category Table'!$A261)</f>
        <v/>
      </c>
      <c r="Y261" s="114">
        <f>SUMIFS('Committments Dump'!$R:$R,'Committments Dump'!$C:$C,'Category Table'!Y$2,'Committments Dump'!$B:$B,'Category Table'!$A261)</f>
        <v/>
      </c>
      <c r="Z261" s="114">
        <f>SUMIFS('Committments Dump'!$R:$R,'Committments Dump'!$C:$C,'Category Table'!Z$2,'Committments Dump'!$B:$B,'Category Table'!$A261)</f>
        <v/>
      </c>
      <c r="AA261" s="113">
        <f>SUMIFS('Committments Dump'!$S:$S,'Committments Dump'!$C:$C,'Category Table'!AA$2,'Committments Dump'!$B:$B,'Category Table'!$A261)</f>
        <v/>
      </c>
      <c r="AB261" s="114">
        <f>SUMIFS('Committments Dump'!$S:$S,'Committments Dump'!$C:$C,'Category Table'!AB$2,'Committments Dump'!$B:$B,'Category Table'!$A261)</f>
        <v/>
      </c>
      <c r="AC261" s="114">
        <f>SUMIFS('Committments Dump'!$S:$S,'Committments Dump'!$C:$C,'Category Table'!AC$2,'Committments Dump'!$B:$B,'Category Table'!$A261)</f>
        <v/>
      </c>
      <c r="AD261" s="113">
        <f>U261+X261+AA261</f>
        <v/>
      </c>
      <c r="AE261" s="114">
        <f>V261+Y261+AB261</f>
        <v/>
      </c>
      <c r="AF261" s="114">
        <f>W261+Z261+AC261</f>
        <v/>
      </c>
      <c r="AG261" s="113">
        <f>R261+AD261</f>
        <v/>
      </c>
      <c r="AH261" s="114">
        <f>S261+AE261</f>
        <v/>
      </c>
      <c r="AI261" s="114">
        <f>T261+AF261</f>
        <v/>
      </c>
      <c r="AJ261" s="113" t="n"/>
      <c r="AK261" s="114" t="n"/>
      <c r="AL261" s="114" t="n"/>
      <c r="AM261" s="113">
        <f>(O261-AG261)+AJ261</f>
        <v/>
      </c>
      <c r="AN261" s="114">
        <f>(P261-AH261)+AK261</f>
        <v/>
      </c>
      <c r="AO261" s="114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11" t="n"/>
      <c r="D262" s="112" t="n"/>
      <c r="E262" s="112" t="n"/>
      <c r="F262" s="111" t="n"/>
      <c r="G262" s="112" t="n"/>
      <c r="H262" s="112" t="n"/>
      <c r="I262" s="111" t="n"/>
      <c r="J262" s="112" t="n"/>
      <c r="K262" s="112" t="n"/>
      <c r="L262" s="111" t="n"/>
      <c r="M262" s="112" t="n"/>
      <c r="N262" s="112" t="n"/>
      <c r="O262" s="111">
        <f>L262+I262+F262+C262</f>
        <v/>
      </c>
      <c r="P262" s="112">
        <f>M262+J262+G262+D262</f>
        <v/>
      </c>
      <c r="Q262" s="112">
        <f>N262+K262+H262+E262</f>
        <v/>
      </c>
      <c r="R262" s="111">
        <f>SUMIFS('PO Log'!$E:$E,'PO Log'!$D:$D,'Category Table'!R$2,'PO Log'!$C:$C,'Category Table'!$A262)</f>
        <v/>
      </c>
      <c r="S262" s="112">
        <f>SUMIFS('PO Log'!$E:$E,'PO Log'!$D:$D,'Category Table'!S$2,'PO Log'!$C:$C,'Category Table'!$A262)</f>
        <v/>
      </c>
      <c r="T262" s="112">
        <f>SUMIFS('PO Log'!$E:$E,'PO Log'!$D:$D,'Category Table'!T$2,'PO Log'!$C:$C,'Category Table'!$A262)</f>
        <v/>
      </c>
      <c r="U262" s="111">
        <f>SUMIFS('Committments Dump'!$Q:$Q,'Committments Dump'!$C:$C,'Category Table'!U$2,'Committments Dump'!$B:$B,'Category Table'!$A262)</f>
        <v/>
      </c>
      <c r="V262" s="112">
        <f>SUMIFS('Committments Dump'!$Q:$Q,'Committments Dump'!$C:$C,'Category Table'!V$2,'Committments Dump'!$B:$B,'Category Table'!$A262)</f>
        <v/>
      </c>
      <c r="W262" s="112">
        <f>SUMIFS('Committments Dump'!$Q:$Q,'Committments Dump'!$C:$C,'Category Table'!W$2,'Committments Dump'!$B:$B,'Category Table'!$A262)</f>
        <v/>
      </c>
      <c r="X262" s="111">
        <f>SUMIFS('Committments Dump'!$R:$R,'Committments Dump'!$C:$C,'Category Table'!X$2,'Committments Dump'!$B:$B,'Category Table'!$A262)</f>
        <v/>
      </c>
      <c r="Y262" s="112">
        <f>SUMIFS('Committments Dump'!$R:$R,'Committments Dump'!$C:$C,'Category Table'!Y$2,'Committments Dump'!$B:$B,'Category Table'!$A262)</f>
        <v/>
      </c>
      <c r="Z262" s="112">
        <f>SUMIFS('Committments Dump'!$R:$R,'Committments Dump'!$C:$C,'Category Table'!Z$2,'Committments Dump'!$B:$B,'Category Table'!$A262)</f>
        <v/>
      </c>
      <c r="AA262" s="111">
        <f>SUMIFS('Committments Dump'!$S:$S,'Committments Dump'!$C:$C,'Category Table'!AA$2,'Committments Dump'!$B:$B,'Category Table'!$A262)</f>
        <v/>
      </c>
      <c r="AB262" s="112">
        <f>SUMIFS('Committments Dump'!$S:$S,'Committments Dump'!$C:$C,'Category Table'!AB$2,'Committments Dump'!$B:$B,'Category Table'!$A262)</f>
        <v/>
      </c>
      <c r="AC262" s="112">
        <f>SUMIFS('Committments Dump'!$S:$S,'Committments Dump'!$C:$C,'Category Table'!AC$2,'Committments Dump'!$B:$B,'Category Table'!$A262)</f>
        <v/>
      </c>
      <c r="AD262" s="111">
        <f>U262+X262+AA262</f>
        <v/>
      </c>
      <c r="AE262" s="112">
        <f>V262+Y262+AB262</f>
        <v/>
      </c>
      <c r="AF262" s="112">
        <f>W262+Z262+AC262</f>
        <v/>
      </c>
      <c r="AG262" s="111">
        <f>R262+AD262</f>
        <v/>
      </c>
      <c r="AH262" s="112">
        <f>S262+AE262</f>
        <v/>
      </c>
      <c r="AI262" s="112">
        <f>T262+AF262</f>
        <v/>
      </c>
      <c r="AJ262" s="111" t="n"/>
      <c r="AK262" s="112" t="n"/>
      <c r="AL262" s="112" t="n"/>
      <c r="AM262" s="111">
        <f>(O262-AG262)+AJ262</f>
        <v/>
      </c>
      <c r="AN262" s="112">
        <f>(P262-AH262)+AK262</f>
        <v/>
      </c>
      <c r="AO262" s="112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13" t="n"/>
      <c r="D263" s="114" t="n"/>
      <c r="E263" s="114" t="n"/>
      <c r="F263" s="113" t="n"/>
      <c r="G263" s="114" t="n"/>
      <c r="H263" s="114" t="n"/>
      <c r="I263" s="113" t="n"/>
      <c r="J263" s="114" t="n"/>
      <c r="K263" s="114" t="n"/>
      <c r="L263" s="113" t="n"/>
      <c r="M263" s="114" t="n"/>
      <c r="N263" s="114" t="n"/>
      <c r="O263" s="113">
        <f>L263+I263+F263+C263</f>
        <v/>
      </c>
      <c r="P263" s="114">
        <f>M263+J263+G263+D263</f>
        <v/>
      </c>
      <c r="Q263" s="114">
        <f>N263+K263+H263+E263</f>
        <v/>
      </c>
      <c r="R263" s="113">
        <f>SUMIFS('PO Log'!$E:$E,'PO Log'!$D:$D,'Category Table'!R$2,'PO Log'!$C:$C,'Category Table'!$A263)</f>
        <v/>
      </c>
      <c r="S263" s="114">
        <f>SUMIFS('PO Log'!$E:$E,'PO Log'!$D:$D,'Category Table'!S$2,'PO Log'!$C:$C,'Category Table'!$A263)</f>
        <v/>
      </c>
      <c r="T263" s="114">
        <f>SUMIFS('PO Log'!$E:$E,'PO Log'!$D:$D,'Category Table'!T$2,'PO Log'!$C:$C,'Category Table'!$A263)</f>
        <v/>
      </c>
      <c r="U263" s="113">
        <f>SUMIFS('Committments Dump'!$Q:$Q,'Committments Dump'!$C:$C,'Category Table'!U$2,'Committments Dump'!$B:$B,'Category Table'!$A263)</f>
        <v/>
      </c>
      <c r="V263" s="114">
        <f>SUMIFS('Committments Dump'!$Q:$Q,'Committments Dump'!$C:$C,'Category Table'!V$2,'Committments Dump'!$B:$B,'Category Table'!$A263)</f>
        <v/>
      </c>
      <c r="W263" s="114">
        <f>SUMIFS('Committments Dump'!$Q:$Q,'Committments Dump'!$C:$C,'Category Table'!W$2,'Committments Dump'!$B:$B,'Category Table'!$A263)</f>
        <v/>
      </c>
      <c r="X263" s="113">
        <f>SUMIFS('Committments Dump'!$R:$R,'Committments Dump'!$C:$C,'Category Table'!X$2,'Committments Dump'!$B:$B,'Category Table'!$A263)</f>
        <v/>
      </c>
      <c r="Y263" s="114">
        <f>SUMIFS('Committments Dump'!$R:$R,'Committments Dump'!$C:$C,'Category Table'!Y$2,'Committments Dump'!$B:$B,'Category Table'!$A263)</f>
        <v/>
      </c>
      <c r="Z263" s="114">
        <f>SUMIFS('Committments Dump'!$R:$R,'Committments Dump'!$C:$C,'Category Table'!Z$2,'Committments Dump'!$B:$B,'Category Table'!$A263)</f>
        <v/>
      </c>
      <c r="AA263" s="113">
        <f>SUMIFS('Committments Dump'!$S:$S,'Committments Dump'!$C:$C,'Category Table'!AA$2,'Committments Dump'!$B:$B,'Category Table'!$A263)</f>
        <v/>
      </c>
      <c r="AB263" s="114">
        <f>SUMIFS('Committments Dump'!$S:$S,'Committments Dump'!$C:$C,'Category Table'!AB$2,'Committments Dump'!$B:$B,'Category Table'!$A263)</f>
        <v/>
      </c>
      <c r="AC263" s="114">
        <f>SUMIFS('Committments Dump'!$S:$S,'Committments Dump'!$C:$C,'Category Table'!AC$2,'Committments Dump'!$B:$B,'Category Table'!$A263)</f>
        <v/>
      </c>
      <c r="AD263" s="113">
        <f>U263+X263+AA263</f>
        <v/>
      </c>
      <c r="AE263" s="114">
        <f>V263+Y263+AB263</f>
        <v/>
      </c>
      <c r="AF263" s="114">
        <f>W263+Z263+AC263</f>
        <v/>
      </c>
      <c r="AG263" s="113">
        <f>R263+AD263</f>
        <v/>
      </c>
      <c r="AH263" s="114">
        <f>S263+AE263</f>
        <v/>
      </c>
      <c r="AI263" s="114">
        <f>T263+AF263</f>
        <v/>
      </c>
      <c r="AJ263" s="113" t="n"/>
      <c r="AK263" s="114" t="n"/>
      <c r="AL263" s="114" t="n"/>
      <c r="AM263" s="113">
        <f>(O263-AG263)+AJ263</f>
        <v/>
      </c>
      <c r="AN263" s="114">
        <f>(P263-AH263)+AK263</f>
        <v/>
      </c>
      <c r="AO263" s="114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11" t="n"/>
      <c r="D264" s="112" t="n"/>
      <c r="E264" s="112" t="n"/>
      <c r="F264" s="111" t="n"/>
      <c r="G264" s="112" t="n"/>
      <c r="H264" s="112" t="n"/>
      <c r="I264" s="111" t="n"/>
      <c r="J264" s="112" t="n"/>
      <c r="K264" s="112" t="n"/>
      <c r="L264" s="111" t="n"/>
      <c r="M264" s="112" t="n"/>
      <c r="N264" s="112" t="n"/>
      <c r="O264" s="111">
        <f>L264+I264+F264+C264</f>
        <v/>
      </c>
      <c r="P264" s="112">
        <f>M264+J264+G264+D264</f>
        <v/>
      </c>
      <c r="Q264" s="112">
        <f>N264+K264+H264+E264</f>
        <v/>
      </c>
      <c r="R264" s="111">
        <f>SUMIFS('PO Log'!$E:$E,'PO Log'!$D:$D,'Category Table'!R$2,'PO Log'!$C:$C,'Category Table'!$A264)</f>
        <v/>
      </c>
      <c r="S264" s="112">
        <f>SUMIFS('PO Log'!$E:$E,'PO Log'!$D:$D,'Category Table'!S$2,'PO Log'!$C:$C,'Category Table'!$A264)</f>
        <v/>
      </c>
      <c r="T264" s="112">
        <f>SUMIFS('PO Log'!$E:$E,'PO Log'!$D:$D,'Category Table'!T$2,'PO Log'!$C:$C,'Category Table'!$A264)</f>
        <v/>
      </c>
      <c r="U264" s="111">
        <f>SUMIFS('Committments Dump'!$Q:$Q,'Committments Dump'!$C:$C,'Category Table'!U$2,'Committments Dump'!$B:$B,'Category Table'!$A264)</f>
        <v/>
      </c>
      <c r="V264" s="112">
        <f>SUMIFS('Committments Dump'!$Q:$Q,'Committments Dump'!$C:$C,'Category Table'!V$2,'Committments Dump'!$B:$B,'Category Table'!$A264)</f>
        <v/>
      </c>
      <c r="W264" s="112">
        <f>SUMIFS('Committments Dump'!$Q:$Q,'Committments Dump'!$C:$C,'Category Table'!W$2,'Committments Dump'!$B:$B,'Category Table'!$A264)</f>
        <v/>
      </c>
      <c r="X264" s="111">
        <f>SUMIFS('Committments Dump'!$R:$R,'Committments Dump'!$C:$C,'Category Table'!X$2,'Committments Dump'!$B:$B,'Category Table'!$A264)</f>
        <v/>
      </c>
      <c r="Y264" s="112">
        <f>SUMIFS('Committments Dump'!$R:$R,'Committments Dump'!$C:$C,'Category Table'!Y$2,'Committments Dump'!$B:$B,'Category Table'!$A264)</f>
        <v/>
      </c>
      <c r="Z264" s="112">
        <f>SUMIFS('Committments Dump'!$R:$R,'Committments Dump'!$C:$C,'Category Table'!Z$2,'Committments Dump'!$B:$B,'Category Table'!$A264)</f>
        <v/>
      </c>
      <c r="AA264" s="111">
        <f>SUMIFS('Committments Dump'!$S:$S,'Committments Dump'!$C:$C,'Category Table'!AA$2,'Committments Dump'!$B:$B,'Category Table'!$A264)</f>
        <v/>
      </c>
      <c r="AB264" s="112">
        <f>SUMIFS('Committments Dump'!$S:$S,'Committments Dump'!$C:$C,'Category Table'!AB$2,'Committments Dump'!$B:$B,'Category Table'!$A264)</f>
        <v/>
      </c>
      <c r="AC264" s="112">
        <f>SUMIFS('Committments Dump'!$S:$S,'Committments Dump'!$C:$C,'Category Table'!AC$2,'Committments Dump'!$B:$B,'Category Table'!$A264)</f>
        <v/>
      </c>
      <c r="AD264" s="111">
        <f>U264+X264+AA264</f>
        <v/>
      </c>
      <c r="AE264" s="112">
        <f>V264+Y264+AB264</f>
        <v/>
      </c>
      <c r="AF264" s="112">
        <f>W264+Z264+AC264</f>
        <v/>
      </c>
      <c r="AG264" s="111">
        <f>R264+AD264</f>
        <v/>
      </c>
      <c r="AH264" s="112">
        <f>S264+AE264</f>
        <v/>
      </c>
      <c r="AI264" s="112">
        <f>T264+AF264</f>
        <v/>
      </c>
      <c r="AJ264" s="111" t="n"/>
      <c r="AK264" s="112" t="n"/>
      <c r="AL264" s="112" t="n"/>
      <c r="AM264" s="111">
        <f>(O264-AG264)+AJ264</f>
        <v/>
      </c>
      <c r="AN264" s="112">
        <f>(P264-AH264)+AK264</f>
        <v/>
      </c>
      <c r="AO264" s="112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13" t="n"/>
      <c r="D265" s="114" t="n"/>
      <c r="E265" s="114" t="n"/>
      <c r="F265" s="113" t="n"/>
      <c r="G265" s="114" t="n"/>
      <c r="H265" s="114" t="n"/>
      <c r="I265" s="113" t="n"/>
      <c r="J265" s="114" t="n"/>
      <c r="K265" s="114" t="n"/>
      <c r="L265" s="113" t="n"/>
      <c r="M265" s="114" t="n"/>
      <c r="N265" s="114" t="n"/>
      <c r="O265" s="113">
        <f>L265+I265+F265+C265</f>
        <v/>
      </c>
      <c r="P265" s="114">
        <f>M265+J265+G265+D265</f>
        <v/>
      </c>
      <c r="Q265" s="114">
        <f>N265+K265+H265+E265</f>
        <v/>
      </c>
      <c r="R265" s="113">
        <f>SUMIFS('PO Log'!$E:$E,'PO Log'!$D:$D,'Category Table'!R$2,'PO Log'!$C:$C,'Category Table'!$A265)</f>
        <v/>
      </c>
      <c r="S265" s="114">
        <f>SUMIFS('PO Log'!$E:$E,'PO Log'!$D:$D,'Category Table'!S$2,'PO Log'!$C:$C,'Category Table'!$A265)</f>
        <v/>
      </c>
      <c r="T265" s="114">
        <f>SUMIFS('PO Log'!$E:$E,'PO Log'!$D:$D,'Category Table'!T$2,'PO Log'!$C:$C,'Category Table'!$A265)</f>
        <v/>
      </c>
      <c r="U265" s="113">
        <f>SUMIFS('Committments Dump'!$Q:$Q,'Committments Dump'!$C:$C,'Category Table'!U$2,'Committments Dump'!$B:$B,'Category Table'!$A265)</f>
        <v/>
      </c>
      <c r="V265" s="114">
        <f>SUMIFS('Committments Dump'!$Q:$Q,'Committments Dump'!$C:$C,'Category Table'!V$2,'Committments Dump'!$B:$B,'Category Table'!$A265)</f>
        <v/>
      </c>
      <c r="W265" s="114">
        <f>SUMIFS('Committments Dump'!$Q:$Q,'Committments Dump'!$C:$C,'Category Table'!W$2,'Committments Dump'!$B:$B,'Category Table'!$A265)</f>
        <v/>
      </c>
      <c r="X265" s="113">
        <f>SUMIFS('Committments Dump'!$R:$R,'Committments Dump'!$C:$C,'Category Table'!X$2,'Committments Dump'!$B:$B,'Category Table'!$A265)</f>
        <v/>
      </c>
      <c r="Y265" s="114">
        <f>SUMIFS('Committments Dump'!$R:$R,'Committments Dump'!$C:$C,'Category Table'!Y$2,'Committments Dump'!$B:$B,'Category Table'!$A265)</f>
        <v/>
      </c>
      <c r="Z265" s="114">
        <f>SUMIFS('Committments Dump'!$R:$R,'Committments Dump'!$C:$C,'Category Table'!Z$2,'Committments Dump'!$B:$B,'Category Table'!$A265)</f>
        <v/>
      </c>
      <c r="AA265" s="113">
        <f>SUMIFS('Committments Dump'!$S:$S,'Committments Dump'!$C:$C,'Category Table'!AA$2,'Committments Dump'!$B:$B,'Category Table'!$A265)</f>
        <v/>
      </c>
      <c r="AB265" s="114">
        <f>SUMIFS('Committments Dump'!$S:$S,'Committments Dump'!$C:$C,'Category Table'!AB$2,'Committments Dump'!$B:$B,'Category Table'!$A265)</f>
        <v/>
      </c>
      <c r="AC265" s="114">
        <f>SUMIFS('Committments Dump'!$S:$S,'Committments Dump'!$C:$C,'Category Table'!AC$2,'Committments Dump'!$B:$B,'Category Table'!$A265)</f>
        <v/>
      </c>
      <c r="AD265" s="113">
        <f>U265+X265+AA265</f>
        <v/>
      </c>
      <c r="AE265" s="114">
        <f>V265+Y265+AB265</f>
        <v/>
      </c>
      <c r="AF265" s="114">
        <f>W265+Z265+AC265</f>
        <v/>
      </c>
      <c r="AG265" s="113">
        <f>R265+AD265</f>
        <v/>
      </c>
      <c r="AH265" s="114">
        <f>S265+AE265</f>
        <v/>
      </c>
      <c r="AI265" s="114">
        <f>T265+AF265</f>
        <v/>
      </c>
      <c r="AJ265" s="113" t="n"/>
      <c r="AK265" s="114" t="n"/>
      <c r="AL265" s="114" t="n"/>
      <c r="AM265" s="113">
        <f>(O265-AG265)+AJ265</f>
        <v/>
      </c>
      <c r="AN265" s="114">
        <f>(P265-AH265)+AK265</f>
        <v/>
      </c>
      <c r="AO265" s="114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11" t="n"/>
      <c r="D266" s="112" t="n"/>
      <c r="E266" s="112" t="n"/>
      <c r="F266" s="111" t="n"/>
      <c r="G266" s="112" t="n"/>
      <c r="H266" s="112" t="n"/>
      <c r="I266" s="111" t="n"/>
      <c r="J266" s="112" t="n"/>
      <c r="K266" s="112" t="n"/>
      <c r="L266" s="111" t="n"/>
      <c r="M266" s="112" t="n"/>
      <c r="N266" s="112" t="n"/>
      <c r="O266" s="111">
        <f>L266+I266+F266+C266</f>
        <v/>
      </c>
      <c r="P266" s="112">
        <f>M266+J266+G266+D266</f>
        <v/>
      </c>
      <c r="Q266" s="112">
        <f>N266+K266+H266+E266</f>
        <v/>
      </c>
      <c r="R266" s="111">
        <f>SUMIFS('PO Log'!$E:$E,'PO Log'!$D:$D,'Category Table'!R$2,'PO Log'!$C:$C,'Category Table'!$A266)</f>
        <v/>
      </c>
      <c r="S266" s="112">
        <f>SUMIFS('PO Log'!$E:$E,'PO Log'!$D:$D,'Category Table'!S$2,'PO Log'!$C:$C,'Category Table'!$A266)</f>
        <v/>
      </c>
      <c r="T266" s="112">
        <f>SUMIFS('PO Log'!$E:$E,'PO Log'!$D:$D,'Category Table'!T$2,'PO Log'!$C:$C,'Category Table'!$A266)</f>
        <v/>
      </c>
      <c r="U266" s="111">
        <f>SUMIFS('Committments Dump'!$Q:$Q,'Committments Dump'!$C:$C,'Category Table'!U$2,'Committments Dump'!$B:$B,'Category Table'!$A266)</f>
        <v/>
      </c>
      <c r="V266" s="112">
        <f>SUMIFS('Committments Dump'!$Q:$Q,'Committments Dump'!$C:$C,'Category Table'!V$2,'Committments Dump'!$B:$B,'Category Table'!$A266)</f>
        <v/>
      </c>
      <c r="W266" s="112">
        <f>SUMIFS('Committments Dump'!$Q:$Q,'Committments Dump'!$C:$C,'Category Table'!W$2,'Committments Dump'!$B:$B,'Category Table'!$A266)</f>
        <v/>
      </c>
      <c r="X266" s="111">
        <f>SUMIFS('Committments Dump'!$R:$R,'Committments Dump'!$C:$C,'Category Table'!X$2,'Committments Dump'!$B:$B,'Category Table'!$A266)</f>
        <v/>
      </c>
      <c r="Y266" s="112">
        <f>SUMIFS('Committments Dump'!$R:$R,'Committments Dump'!$C:$C,'Category Table'!Y$2,'Committments Dump'!$B:$B,'Category Table'!$A266)</f>
        <v/>
      </c>
      <c r="Z266" s="112">
        <f>SUMIFS('Committments Dump'!$R:$R,'Committments Dump'!$C:$C,'Category Table'!Z$2,'Committments Dump'!$B:$B,'Category Table'!$A266)</f>
        <v/>
      </c>
      <c r="AA266" s="111">
        <f>SUMIFS('Committments Dump'!$S:$S,'Committments Dump'!$C:$C,'Category Table'!AA$2,'Committments Dump'!$B:$B,'Category Table'!$A266)</f>
        <v/>
      </c>
      <c r="AB266" s="112">
        <f>SUMIFS('Committments Dump'!$S:$S,'Committments Dump'!$C:$C,'Category Table'!AB$2,'Committments Dump'!$B:$B,'Category Table'!$A266)</f>
        <v/>
      </c>
      <c r="AC266" s="112">
        <f>SUMIFS('Committments Dump'!$S:$S,'Committments Dump'!$C:$C,'Category Table'!AC$2,'Committments Dump'!$B:$B,'Category Table'!$A266)</f>
        <v/>
      </c>
      <c r="AD266" s="111">
        <f>U266+X266+AA266</f>
        <v/>
      </c>
      <c r="AE266" s="112">
        <f>V266+Y266+AB266</f>
        <v/>
      </c>
      <c r="AF266" s="112">
        <f>W266+Z266+AC266</f>
        <v/>
      </c>
      <c r="AG266" s="111">
        <f>R266+AD266</f>
        <v/>
      </c>
      <c r="AH266" s="112">
        <f>S266+AE266</f>
        <v/>
      </c>
      <c r="AI266" s="112">
        <f>T266+AF266</f>
        <v/>
      </c>
      <c r="AJ266" s="111" t="n"/>
      <c r="AK266" s="112" t="n"/>
      <c r="AL266" s="112" t="n"/>
      <c r="AM266" s="111">
        <f>(O266-AG266)+AJ266</f>
        <v/>
      </c>
      <c r="AN266" s="112">
        <f>(P266-AH266)+AK266</f>
        <v/>
      </c>
      <c r="AO266" s="112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13" t="n"/>
      <c r="D267" s="114" t="n"/>
      <c r="E267" s="114" t="n"/>
      <c r="F267" s="113" t="n"/>
      <c r="G267" s="114" t="n"/>
      <c r="H267" s="114" t="n"/>
      <c r="I267" s="113" t="n"/>
      <c r="J267" s="114" t="n"/>
      <c r="K267" s="114" t="n"/>
      <c r="L267" s="113" t="n"/>
      <c r="M267" s="114" t="n"/>
      <c r="N267" s="114" t="n"/>
      <c r="O267" s="113">
        <f>L267+I267+F267+C267</f>
        <v/>
      </c>
      <c r="P267" s="114">
        <f>M267+J267+G267+D267</f>
        <v/>
      </c>
      <c r="Q267" s="114">
        <f>N267+K267+H267+E267</f>
        <v/>
      </c>
      <c r="R267" s="113">
        <f>SUMIFS('PO Log'!$E:$E,'PO Log'!$D:$D,'Category Table'!R$2,'PO Log'!$C:$C,'Category Table'!$A267)</f>
        <v/>
      </c>
      <c r="S267" s="114">
        <f>SUMIFS('PO Log'!$E:$E,'PO Log'!$D:$D,'Category Table'!S$2,'PO Log'!$C:$C,'Category Table'!$A267)</f>
        <v/>
      </c>
      <c r="T267" s="114">
        <f>SUMIFS('PO Log'!$E:$E,'PO Log'!$D:$D,'Category Table'!T$2,'PO Log'!$C:$C,'Category Table'!$A267)</f>
        <v/>
      </c>
      <c r="U267" s="113">
        <f>SUMIFS('Committments Dump'!$Q:$Q,'Committments Dump'!$C:$C,'Category Table'!U$2,'Committments Dump'!$B:$B,'Category Table'!$A267)</f>
        <v/>
      </c>
      <c r="V267" s="114">
        <f>SUMIFS('Committments Dump'!$Q:$Q,'Committments Dump'!$C:$C,'Category Table'!V$2,'Committments Dump'!$B:$B,'Category Table'!$A267)</f>
        <v/>
      </c>
      <c r="W267" s="114">
        <f>SUMIFS('Committments Dump'!$Q:$Q,'Committments Dump'!$C:$C,'Category Table'!W$2,'Committments Dump'!$B:$B,'Category Table'!$A267)</f>
        <v/>
      </c>
      <c r="X267" s="113">
        <f>SUMIFS('Committments Dump'!$R:$R,'Committments Dump'!$C:$C,'Category Table'!X$2,'Committments Dump'!$B:$B,'Category Table'!$A267)</f>
        <v/>
      </c>
      <c r="Y267" s="114">
        <f>SUMIFS('Committments Dump'!$R:$R,'Committments Dump'!$C:$C,'Category Table'!Y$2,'Committments Dump'!$B:$B,'Category Table'!$A267)</f>
        <v/>
      </c>
      <c r="Z267" s="114">
        <f>SUMIFS('Committments Dump'!$R:$R,'Committments Dump'!$C:$C,'Category Table'!Z$2,'Committments Dump'!$B:$B,'Category Table'!$A267)</f>
        <v/>
      </c>
      <c r="AA267" s="113">
        <f>SUMIFS('Committments Dump'!$S:$S,'Committments Dump'!$C:$C,'Category Table'!AA$2,'Committments Dump'!$B:$B,'Category Table'!$A267)</f>
        <v/>
      </c>
      <c r="AB267" s="114">
        <f>SUMIFS('Committments Dump'!$S:$S,'Committments Dump'!$C:$C,'Category Table'!AB$2,'Committments Dump'!$B:$B,'Category Table'!$A267)</f>
        <v/>
      </c>
      <c r="AC267" s="114">
        <f>SUMIFS('Committments Dump'!$S:$S,'Committments Dump'!$C:$C,'Category Table'!AC$2,'Committments Dump'!$B:$B,'Category Table'!$A267)</f>
        <v/>
      </c>
      <c r="AD267" s="113">
        <f>U267+X267+AA267</f>
        <v/>
      </c>
      <c r="AE267" s="114">
        <f>V267+Y267+AB267</f>
        <v/>
      </c>
      <c r="AF267" s="114">
        <f>W267+Z267+AC267</f>
        <v/>
      </c>
      <c r="AG267" s="113">
        <f>R267+AD267</f>
        <v/>
      </c>
      <c r="AH267" s="114">
        <f>S267+AE267</f>
        <v/>
      </c>
      <c r="AI267" s="114">
        <f>T267+AF267</f>
        <v/>
      </c>
      <c r="AJ267" s="113" t="n"/>
      <c r="AK267" s="114" t="n"/>
      <c r="AL267" s="114" t="n"/>
      <c r="AM267" s="113">
        <f>(O267-AG267)+AJ267</f>
        <v/>
      </c>
      <c r="AN267" s="114">
        <f>(P267-AH267)+AK267</f>
        <v/>
      </c>
      <c r="AO267" s="114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11" t="n"/>
      <c r="D268" s="112" t="n"/>
      <c r="E268" s="112" t="n"/>
      <c r="F268" s="111" t="n"/>
      <c r="G268" s="112" t="n"/>
      <c r="H268" s="112" t="n"/>
      <c r="I268" s="111" t="n"/>
      <c r="J268" s="112" t="n"/>
      <c r="K268" s="112" t="n"/>
      <c r="L268" s="111" t="n"/>
      <c r="M268" s="112" t="n"/>
      <c r="N268" s="112" t="n"/>
      <c r="O268" s="111">
        <f>L268+I268+F268+C268</f>
        <v/>
      </c>
      <c r="P268" s="112">
        <f>M268+J268+G268+D268</f>
        <v/>
      </c>
      <c r="Q268" s="112">
        <f>N268+K268+H268+E268</f>
        <v/>
      </c>
      <c r="R268" s="111">
        <f>SUMIFS('PO Log'!$E:$E,'PO Log'!$D:$D,'Category Table'!R$2,'PO Log'!$C:$C,'Category Table'!$A268)</f>
        <v/>
      </c>
      <c r="S268" s="112">
        <f>SUMIFS('PO Log'!$E:$E,'PO Log'!$D:$D,'Category Table'!S$2,'PO Log'!$C:$C,'Category Table'!$A268)</f>
        <v/>
      </c>
      <c r="T268" s="112">
        <f>SUMIFS('PO Log'!$E:$E,'PO Log'!$D:$D,'Category Table'!T$2,'PO Log'!$C:$C,'Category Table'!$A268)</f>
        <v/>
      </c>
      <c r="U268" s="111">
        <f>SUMIFS('Committments Dump'!$Q:$Q,'Committments Dump'!$C:$C,'Category Table'!U$2,'Committments Dump'!$B:$B,'Category Table'!$A268)</f>
        <v/>
      </c>
      <c r="V268" s="112">
        <f>SUMIFS('Committments Dump'!$Q:$Q,'Committments Dump'!$C:$C,'Category Table'!V$2,'Committments Dump'!$B:$B,'Category Table'!$A268)</f>
        <v/>
      </c>
      <c r="W268" s="112">
        <f>SUMIFS('Committments Dump'!$Q:$Q,'Committments Dump'!$C:$C,'Category Table'!W$2,'Committments Dump'!$B:$B,'Category Table'!$A268)</f>
        <v/>
      </c>
      <c r="X268" s="111">
        <f>SUMIFS('Committments Dump'!$R:$R,'Committments Dump'!$C:$C,'Category Table'!X$2,'Committments Dump'!$B:$B,'Category Table'!$A268)</f>
        <v/>
      </c>
      <c r="Y268" s="112">
        <f>SUMIFS('Committments Dump'!$R:$R,'Committments Dump'!$C:$C,'Category Table'!Y$2,'Committments Dump'!$B:$B,'Category Table'!$A268)</f>
        <v/>
      </c>
      <c r="Z268" s="112">
        <f>SUMIFS('Committments Dump'!$R:$R,'Committments Dump'!$C:$C,'Category Table'!Z$2,'Committments Dump'!$B:$B,'Category Table'!$A268)</f>
        <v/>
      </c>
      <c r="AA268" s="111">
        <f>SUMIFS('Committments Dump'!$S:$S,'Committments Dump'!$C:$C,'Category Table'!AA$2,'Committments Dump'!$B:$B,'Category Table'!$A268)</f>
        <v/>
      </c>
      <c r="AB268" s="112">
        <f>SUMIFS('Committments Dump'!$S:$S,'Committments Dump'!$C:$C,'Category Table'!AB$2,'Committments Dump'!$B:$B,'Category Table'!$A268)</f>
        <v/>
      </c>
      <c r="AC268" s="112">
        <f>SUMIFS('Committments Dump'!$S:$S,'Committments Dump'!$C:$C,'Category Table'!AC$2,'Committments Dump'!$B:$B,'Category Table'!$A268)</f>
        <v/>
      </c>
      <c r="AD268" s="111">
        <f>U268+X268+AA268</f>
        <v/>
      </c>
      <c r="AE268" s="112">
        <f>V268+Y268+AB268</f>
        <v/>
      </c>
      <c r="AF268" s="112">
        <f>W268+Z268+AC268</f>
        <v/>
      </c>
      <c r="AG268" s="111">
        <f>R268+AD268</f>
        <v/>
      </c>
      <c r="AH268" s="112">
        <f>S268+AE268</f>
        <v/>
      </c>
      <c r="AI268" s="112">
        <f>T268+AF268</f>
        <v/>
      </c>
      <c r="AJ268" s="111" t="n"/>
      <c r="AK268" s="112" t="n"/>
      <c r="AL268" s="112" t="n"/>
      <c r="AM268" s="111">
        <f>(O268-AG268)+AJ268</f>
        <v/>
      </c>
      <c r="AN268" s="112">
        <f>(P268-AH268)+AK268</f>
        <v/>
      </c>
      <c r="AO268" s="112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13" t="n"/>
      <c r="D269" s="114" t="n"/>
      <c r="E269" s="114" t="n"/>
      <c r="F269" s="113" t="n"/>
      <c r="G269" s="114" t="n"/>
      <c r="H269" s="114" t="n"/>
      <c r="I269" s="113" t="n"/>
      <c r="J269" s="114" t="n"/>
      <c r="K269" s="114" t="n"/>
      <c r="L269" s="113" t="n"/>
      <c r="M269" s="114" t="n"/>
      <c r="N269" s="114" t="n"/>
      <c r="O269" s="113">
        <f>L269+I269+F269+C269</f>
        <v/>
      </c>
      <c r="P269" s="114">
        <f>M269+J269+G269+D269</f>
        <v/>
      </c>
      <c r="Q269" s="114">
        <f>N269+K269+H269+E269</f>
        <v/>
      </c>
      <c r="R269" s="113">
        <f>SUMIFS('PO Log'!$E:$E,'PO Log'!$D:$D,'Category Table'!R$2,'PO Log'!$C:$C,'Category Table'!$A269)</f>
        <v/>
      </c>
      <c r="S269" s="114">
        <f>SUMIFS('PO Log'!$E:$E,'PO Log'!$D:$D,'Category Table'!S$2,'PO Log'!$C:$C,'Category Table'!$A269)</f>
        <v/>
      </c>
      <c r="T269" s="114">
        <f>SUMIFS('PO Log'!$E:$E,'PO Log'!$D:$D,'Category Table'!T$2,'PO Log'!$C:$C,'Category Table'!$A269)</f>
        <v/>
      </c>
      <c r="U269" s="113">
        <f>SUMIFS('Committments Dump'!$Q:$Q,'Committments Dump'!$C:$C,'Category Table'!U$2,'Committments Dump'!$B:$B,'Category Table'!$A269)</f>
        <v/>
      </c>
      <c r="V269" s="114">
        <f>SUMIFS('Committments Dump'!$Q:$Q,'Committments Dump'!$C:$C,'Category Table'!V$2,'Committments Dump'!$B:$B,'Category Table'!$A269)</f>
        <v/>
      </c>
      <c r="W269" s="114">
        <f>SUMIFS('Committments Dump'!$Q:$Q,'Committments Dump'!$C:$C,'Category Table'!W$2,'Committments Dump'!$B:$B,'Category Table'!$A269)</f>
        <v/>
      </c>
      <c r="X269" s="113">
        <f>SUMIFS('Committments Dump'!$R:$R,'Committments Dump'!$C:$C,'Category Table'!X$2,'Committments Dump'!$B:$B,'Category Table'!$A269)</f>
        <v/>
      </c>
      <c r="Y269" s="114">
        <f>SUMIFS('Committments Dump'!$R:$R,'Committments Dump'!$C:$C,'Category Table'!Y$2,'Committments Dump'!$B:$B,'Category Table'!$A269)</f>
        <v/>
      </c>
      <c r="Z269" s="114">
        <f>SUMIFS('Committments Dump'!$R:$R,'Committments Dump'!$C:$C,'Category Table'!Z$2,'Committments Dump'!$B:$B,'Category Table'!$A269)</f>
        <v/>
      </c>
      <c r="AA269" s="113">
        <f>SUMIFS('Committments Dump'!$S:$S,'Committments Dump'!$C:$C,'Category Table'!AA$2,'Committments Dump'!$B:$B,'Category Table'!$A269)</f>
        <v/>
      </c>
      <c r="AB269" s="114">
        <f>SUMIFS('Committments Dump'!$S:$S,'Committments Dump'!$C:$C,'Category Table'!AB$2,'Committments Dump'!$B:$B,'Category Table'!$A269)</f>
        <v/>
      </c>
      <c r="AC269" s="114">
        <f>SUMIFS('Committments Dump'!$S:$S,'Committments Dump'!$C:$C,'Category Table'!AC$2,'Committments Dump'!$B:$B,'Category Table'!$A269)</f>
        <v/>
      </c>
      <c r="AD269" s="113">
        <f>U269+X269+AA269</f>
        <v/>
      </c>
      <c r="AE269" s="114">
        <f>V269+Y269+AB269</f>
        <v/>
      </c>
      <c r="AF269" s="114">
        <f>W269+Z269+AC269</f>
        <v/>
      </c>
      <c r="AG269" s="113">
        <f>R269+AD269</f>
        <v/>
      </c>
      <c r="AH269" s="114">
        <f>S269+AE269</f>
        <v/>
      </c>
      <c r="AI269" s="114">
        <f>T269+AF269</f>
        <v/>
      </c>
      <c r="AJ269" s="113" t="n"/>
      <c r="AK269" s="114" t="n"/>
      <c r="AL269" s="114" t="n"/>
      <c r="AM269" s="113">
        <f>(O269-AG269)+AJ269</f>
        <v/>
      </c>
      <c r="AN269" s="114">
        <f>(P269-AH269)+AK269</f>
        <v/>
      </c>
      <c r="AO269" s="114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11" t="n"/>
      <c r="D270" s="112" t="n"/>
      <c r="E270" s="112" t="n"/>
      <c r="F270" s="111" t="n"/>
      <c r="G270" s="112" t="n"/>
      <c r="H270" s="112" t="n"/>
      <c r="I270" s="111" t="n"/>
      <c r="J270" s="112" t="n"/>
      <c r="K270" s="112" t="n"/>
      <c r="L270" s="111" t="n"/>
      <c r="M270" s="112" t="n"/>
      <c r="N270" s="112" t="n"/>
      <c r="O270" s="111">
        <f>L270+I270+F270+C270</f>
        <v/>
      </c>
      <c r="P270" s="112">
        <f>M270+J270+G270+D270</f>
        <v/>
      </c>
      <c r="Q270" s="112">
        <f>N270+K270+H270+E270</f>
        <v/>
      </c>
      <c r="R270" s="111">
        <f>SUMIFS('PO Log'!$E:$E,'PO Log'!$D:$D,'Category Table'!R$2,'PO Log'!$C:$C,'Category Table'!$A270)</f>
        <v/>
      </c>
      <c r="S270" s="112">
        <f>SUMIFS('PO Log'!$E:$E,'PO Log'!$D:$D,'Category Table'!S$2,'PO Log'!$C:$C,'Category Table'!$A270)</f>
        <v/>
      </c>
      <c r="T270" s="112">
        <f>SUMIFS('PO Log'!$E:$E,'PO Log'!$D:$D,'Category Table'!T$2,'PO Log'!$C:$C,'Category Table'!$A270)</f>
        <v/>
      </c>
      <c r="U270" s="111">
        <f>SUMIFS('Committments Dump'!$Q:$Q,'Committments Dump'!$C:$C,'Category Table'!U$2,'Committments Dump'!$B:$B,'Category Table'!$A270)</f>
        <v/>
      </c>
      <c r="V270" s="112">
        <f>SUMIFS('Committments Dump'!$Q:$Q,'Committments Dump'!$C:$C,'Category Table'!V$2,'Committments Dump'!$B:$B,'Category Table'!$A270)</f>
        <v/>
      </c>
      <c r="W270" s="112">
        <f>SUMIFS('Committments Dump'!$Q:$Q,'Committments Dump'!$C:$C,'Category Table'!W$2,'Committments Dump'!$B:$B,'Category Table'!$A270)</f>
        <v/>
      </c>
      <c r="X270" s="111">
        <f>SUMIFS('Committments Dump'!$R:$R,'Committments Dump'!$C:$C,'Category Table'!X$2,'Committments Dump'!$B:$B,'Category Table'!$A270)</f>
        <v/>
      </c>
      <c r="Y270" s="112">
        <f>SUMIFS('Committments Dump'!$R:$R,'Committments Dump'!$C:$C,'Category Table'!Y$2,'Committments Dump'!$B:$B,'Category Table'!$A270)</f>
        <v/>
      </c>
      <c r="Z270" s="112">
        <f>SUMIFS('Committments Dump'!$R:$R,'Committments Dump'!$C:$C,'Category Table'!Z$2,'Committments Dump'!$B:$B,'Category Table'!$A270)</f>
        <v/>
      </c>
      <c r="AA270" s="111">
        <f>SUMIFS('Committments Dump'!$S:$S,'Committments Dump'!$C:$C,'Category Table'!AA$2,'Committments Dump'!$B:$B,'Category Table'!$A270)</f>
        <v/>
      </c>
      <c r="AB270" s="112">
        <f>SUMIFS('Committments Dump'!$S:$S,'Committments Dump'!$C:$C,'Category Table'!AB$2,'Committments Dump'!$B:$B,'Category Table'!$A270)</f>
        <v/>
      </c>
      <c r="AC270" s="112">
        <f>SUMIFS('Committments Dump'!$S:$S,'Committments Dump'!$C:$C,'Category Table'!AC$2,'Committments Dump'!$B:$B,'Category Table'!$A270)</f>
        <v/>
      </c>
      <c r="AD270" s="111">
        <f>U270+X270+AA270</f>
        <v/>
      </c>
      <c r="AE270" s="112">
        <f>V270+Y270+AB270</f>
        <v/>
      </c>
      <c r="AF270" s="112">
        <f>W270+Z270+AC270</f>
        <v/>
      </c>
      <c r="AG270" s="111">
        <f>R270+AD270</f>
        <v/>
      </c>
      <c r="AH270" s="112">
        <f>S270+AE270</f>
        <v/>
      </c>
      <c r="AI270" s="112">
        <f>T270+AF270</f>
        <v/>
      </c>
      <c r="AJ270" s="111" t="n"/>
      <c r="AK270" s="112" t="n"/>
      <c r="AL270" s="112" t="n"/>
      <c r="AM270" s="111">
        <f>(O270-AG270)+AJ270</f>
        <v/>
      </c>
      <c r="AN270" s="112">
        <f>(P270-AH270)+AK270</f>
        <v/>
      </c>
      <c r="AO270" s="112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13" t="n"/>
      <c r="D271" s="114" t="n"/>
      <c r="E271" s="114" t="n"/>
      <c r="F271" s="113" t="n"/>
      <c r="G271" s="114" t="n"/>
      <c r="H271" s="114" t="n"/>
      <c r="I271" s="113" t="n"/>
      <c r="J271" s="114" t="n"/>
      <c r="K271" s="114" t="n"/>
      <c r="L271" s="113" t="n"/>
      <c r="M271" s="114" t="n"/>
      <c r="N271" s="114" t="n"/>
      <c r="O271" s="113">
        <f>L271+I271+F271+C271</f>
        <v/>
      </c>
      <c r="P271" s="114">
        <f>M271+J271+G271+D271</f>
        <v/>
      </c>
      <c r="Q271" s="114">
        <f>N271+K271+H271+E271</f>
        <v/>
      </c>
      <c r="R271" s="113">
        <f>SUMIFS('PO Log'!$E:$E,'PO Log'!$D:$D,'Category Table'!R$2,'PO Log'!$C:$C,'Category Table'!$A271)</f>
        <v/>
      </c>
      <c r="S271" s="114">
        <f>SUMIFS('PO Log'!$E:$E,'PO Log'!$D:$D,'Category Table'!S$2,'PO Log'!$C:$C,'Category Table'!$A271)</f>
        <v/>
      </c>
      <c r="T271" s="114">
        <f>SUMIFS('PO Log'!$E:$E,'PO Log'!$D:$D,'Category Table'!T$2,'PO Log'!$C:$C,'Category Table'!$A271)</f>
        <v/>
      </c>
      <c r="U271" s="113">
        <f>SUMIFS('Committments Dump'!$Q:$Q,'Committments Dump'!$C:$C,'Category Table'!U$2,'Committments Dump'!$B:$B,'Category Table'!$A271)</f>
        <v/>
      </c>
      <c r="V271" s="114">
        <f>SUMIFS('Committments Dump'!$Q:$Q,'Committments Dump'!$C:$C,'Category Table'!V$2,'Committments Dump'!$B:$B,'Category Table'!$A271)</f>
        <v/>
      </c>
      <c r="W271" s="114">
        <f>SUMIFS('Committments Dump'!$Q:$Q,'Committments Dump'!$C:$C,'Category Table'!W$2,'Committments Dump'!$B:$B,'Category Table'!$A271)</f>
        <v/>
      </c>
      <c r="X271" s="113">
        <f>SUMIFS('Committments Dump'!$R:$R,'Committments Dump'!$C:$C,'Category Table'!X$2,'Committments Dump'!$B:$B,'Category Table'!$A271)</f>
        <v/>
      </c>
      <c r="Y271" s="114">
        <f>SUMIFS('Committments Dump'!$R:$R,'Committments Dump'!$C:$C,'Category Table'!Y$2,'Committments Dump'!$B:$B,'Category Table'!$A271)</f>
        <v/>
      </c>
      <c r="Z271" s="114">
        <f>SUMIFS('Committments Dump'!$R:$R,'Committments Dump'!$C:$C,'Category Table'!Z$2,'Committments Dump'!$B:$B,'Category Table'!$A271)</f>
        <v/>
      </c>
      <c r="AA271" s="113">
        <f>SUMIFS('Committments Dump'!$S:$S,'Committments Dump'!$C:$C,'Category Table'!AA$2,'Committments Dump'!$B:$B,'Category Table'!$A271)</f>
        <v/>
      </c>
      <c r="AB271" s="114">
        <f>SUMIFS('Committments Dump'!$S:$S,'Committments Dump'!$C:$C,'Category Table'!AB$2,'Committments Dump'!$B:$B,'Category Table'!$A271)</f>
        <v/>
      </c>
      <c r="AC271" s="114">
        <f>SUMIFS('Committments Dump'!$S:$S,'Committments Dump'!$C:$C,'Category Table'!AC$2,'Committments Dump'!$B:$B,'Category Table'!$A271)</f>
        <v/>
      </c>
      <c r="AD271" s="113">
        <f>U271+X271+AA271</f>
        <v/>
      </c>
      <c r="AE271" s="114">
        <f>V271+Y271+AB271</f>
        <v/>
      </c>
      <c r="AF271" s="114">
        <f>W271+Z271+AC271</f>
        <v/>
      </c>
      <c r="AG271" s="113">
        <f>R271+AD271</f>
        <v/>
      </c>
      <c r="AH271" s="114">
        <f>S271+AE271</f>
        <v/>
      </c>
      <c r="AI271" s="114">
        <f>T271+AF271</f>
        <v/>
      </c>
      <c r="AJ271" s="113" t="n"/>
      <c r="AK271" s="114" t="n"/>
      <c r="AL271" s="114" t="n"/>
      <c r="AM271" s="113">
        <f>(O271-AG271)+AJ271</f>
        <v/>
      </c>
      <c r="AN271" s="114">
        <f>(P271-AH271)+AK271</f>
        <v/>
      </c>
      <c r="AO271" s="114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11" t="n"/>
      <c r="D272" s="112" t="n"/>
      <c r="E272" s="112" t="n"/>
      <c r="F272" s="111" t="n"/>
      <c r="G272" s="112" t="n"/>
      <c r="H272" s="112" t="n"/>
      <c r="I272" s="111" t="n"/>
      <c r="J272" s="112" t="n"/>
      <c r="K272" s="112" t="n"/>
      <c r="L272" s="111" t="n"/>
      <c r="M272" s="112" t="n"/>
      <c r="N272" s="112" t="n"/>
      <c r="O272" s="111">
        <f>L272+I272+F272+C272</f>
        <v/>
      </c>
      <c r="P272" s="112">
        <f>M272+J272+G272+D272</f>
        <v/>
      </c>
      <c r="Q272" s="112">
        <f>N272+K272+H272+E272</f>
        <v/>
      </c>
      <c r="R272" s="111">
        <f>SUMIFS('PO Log'!$E:$E,'PO Log'!$D:$D,'Category Table'!R$2,'PO Log'!$C:$C,'Category Table'!$A272)</f>
        <v/>
      </c>
      <c r="S272" s="112">
        <f>SUMIFS('PO Log'!$E:$E,'PO Log'!$D:$D,'Category Table'!S$2,'PO Log'!$C:$C,'Category Table'!$A272)</f>
        <v/>
      </c>
      <c r="T272" s="112">
        <f>SUMIFS('PO Log'!$E:$E,'PO Log'!$D:$D,'Category Table'!T$2,'PO Log'!$C:$C,'Category Table'!$A272)</f>
        <v/>
      </c>
      <c r="U272" s="111">
        <f>SUMIFS('Committments Dump'!$Q:$Q,'Committments Dump'!$C:$C,'Category Table'!U$2,'Committments Dump'!$B:$B,'Category Table'!$A272)</f>
        <v/>
      </c>
      <c r="V272" s="112">
        <f>SUMIFS('Committments Dump'!$Q:$Q,'Committments Dump'!$C:$C,'Category Table'!V$2,'Committments Dump'!$B:$B,'Category Table'!$A272)</f>
        <v/>
      </c>
      <c r="W272" s="112">
        <f>SUMIFS('Committments Dump'!$Q:$Q,'Committments Dump'!$C:$C,'Category Table'!W$2,'Committments Dump'!$B:$B,'Category Table'!$A272)</f>
        <v/>
      </c>
      <c r="X272" s="111">
        <f>SUMIFS('Committments Dump'!$R:$R,'Committments Dump'!$C:$C,'Category Table'!X$2,'Committments Dump'!$B:$B,'Category Table'!$A272)</f>
        <v/>
      </c>
      <c r="Y272" s="112">
        <f>SUMIFS('Committments Dump'!$R:$R,'Committments Dump'!$C:$C,'Category Table'!Y$2,'Committments Dump'!$B:$B,'Category Table'!$A272)</f>
        <v/>
      </c>
      <c r="Z272" s="112">
        <f>SUMIFS('Committments Dump'!$R:$R,'Committments Dump'!$C:$C,'Category Table'!Z$2,'Committments Dump'!$B:$B,'Category Table'!$A272)</f>
        <v/>
      </c>
      <c r="AA272" s="111">
        <f>SUMIFS('Committments Dump'!$S:$S,'Committments Dump'!$C:$C,'Category Table'!AA$2,'Committments Dump'!$B:$B,'Category Table'!$A272)</f>
        <v/>
      </c>
      <c r="AB272" s="112">
        <f>SUMIFS('Committments Dump'!$S:$S,'Committments Dump'!$C:$C,'Category Table'!AB$2,'Committments Dump'!$B:$B,'Category Table'!$A272)</f>
        <v/>
      </c>
      <c r="AC272" s="112">
        <f>SUMIFS('Committments Dump'!$S:$S,'Committments Dump'!$C:$C,'Category Table'!AC$2,'Committments Dump'!$B:$B,'Category Table'!$A272)</f>
        <v/>
      </c>
      <c r="AD272" s="111">
        <f>U272+X272+AA272</f>
        <v/>
      </c>
      <c r="AE272" s="112">
        <f>V272+Y272+AB272</f>
        <v/>
      </c>
      <c r="AF272" s="112">
        <f>W272+Z272+AC272</f>
        <v/>
      </c>
      <c r="AG272" s="111">
        <f>R272+AD272</f>
        <v/>
      </c>
      <c r="AH272" s="112">
        <f>S272+AE272</f>
        <v/>
      </c>
      <c r="AI272" s="112">
        <f>T272+AF272</f>
        <v/>
      </c>
      <c r="AJ272" s="111" t="n"/>
      <c r="AK272" s="112" t="n"/>
      <c r="AL272" s="112" t="n"/>
      <c r="AM272" s="111">
        <f>(O272-AG272)+AJ272</f>
        <v/>
      </c>
      <c r="AN272" s="112">
        <f>(P272-AH272)+AK272</f>
        <v/>
      </c>
      <c r="AO272" s="112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13" t="n"/>
      <c r="D273" s="114" t="n"/>
      <c r="E273" s="114" t="n"/>
      <c r="F273" s="113" t="n"/>
      <c r="G273" s="114" t="n"/>
      <c r="H273" s="114" t="n"/>
      <c r="I273" s="113" t="n"/>
      <c r="J273" s="114" t="n"/>
      <c r="K273" s="114" t="n"/>
      <c r="L273" s="113" t="n"/>
      <c r="M273" s="114" t="n"/>
      <c r="N273" s="114" t="n"/>
      <c r="O273" s="113">
        <f>L273+I273+F273+C273</f>
        <v/>
      </c>
      <c r="P273" s="114">
        <f>M273+J273+G273+D273</f>
        <v/>
      </c>
      <c r="Q273" s="114">
        <f>N273+K273+H273+E273</f>
        <v/>
      </c>
      <c r="R273" s="113">
        <f>SUMIFS('PO Log'!$E:$E,'PO Log'!$D:$D,'Category Table'!R$2,'PO Log'!$C:$C,'Category Table'!$A273)</f>
        <v/>
      </c>
      <c r="S273" s="114">
        <f>SUMIFS('PO Log'!$E:$E,'PO Log'!$D:$D,'Category Table'!S$2,'PO Log'!$C:$C,'Category Table'!$A273)</f>
        <v/>
      </c>
      <c r="T273" s="114">
        <f>SUMIFS('PO Log'!$E:$E,'PO Log'!$D:$D,'Category Table'!T$2,'PO Log'!$C:$C,'Category Table'!$A273)</f>
        <v/>
      </c>
      <c r="U273" s="113">
        <f>SUMIFS('Committments Dump'!$Q:$Q,'Committments Dump'!$C:$C,'Category Table'!U$2,'Committments Dump'!$B:$B,'Category Table'!$A273)</f>
        <v/>
      </c>
      <c r="V273" s="114">
        <f>SUMIFS('Committments Dump'!$Q:$Q,'Committments Dump'!$C:$C,'Category Table'!V$2,'Committments Dump'!$B:$B,'Category Table'!$A273)</f>
        <v/>
      </c>
      <c r="W273" s="114">
        <f>SUMIFS('Committments Dump'!$Q:$Q,'Committments Dump'!$C:$C,'Category Table'!W$2,'Committments Dump'!$B:$B,'Category Table'!$A273)</f>
        <v/>
      </c>
      <c r="X273" s="113">
        <f>SUMIFS('Committments Dump'!$R:$R,'Committments Dump'!$C:$C,'Category Table'!X$2,'Committments Dump'!$B:$B,'Category Table'!$A273)</f>
        <v/>
      </c>
      <c r="Y273" s="114">
        <f>SUMIFS('Committments Dump'!$R:$R,'Committments Dump'!$C:$C,'Category Table'!Y$2,'Committments Dump'!$B:$B,'Category Table'!$A273)</f>
        <v/>
      </c>
      <c r="Z273" s="114">
        <f>SUMIFS('Committments Dump'!$R:$R,'Committments Dump'!$C:$C,'Category Table'!Z$2,'Committments Dump'!$B:$B,'Category Table'!$A273)</f>
        <v/>
      </c>
      <c r="AA273" s="113">
        <f>SUMIFS('Committments Dump'!$S:$S,'Committments Dump'!$C:$C,'Category Table'!AA$2,'Committments Dump'!$B:$B,'Category Table'!$A273)</f>
        <v/>
      </c>
      <c r="AB273" s="114">
        <f>SUMIFS('Committments Dump'!$S:$S,'Committments Dump'!$C:$C,'Category Table'!AB$2,'Committments Dump'!$B:$B,'Category Table'!$A273)</f>
        <v/>
      </c>
      <c r="AC273" s="114">
        <f>SUMIFS('Committments Dump'!$S:$S,'Committments Dump'!$C:$C,'Category Table'!AC$2,'Committments Dump'!$B:$B,'Category Table'!$A273)</f>
        <v/>
      </c>
      <c r="AD273" s="113">
        <f>U273+X273+AA273</f>
        <v/>
      </c>
      <c r="AE273" s="114">
        <f>V273+Y273+AB273</f>
        <v/>
      </c>
      <c r="AF273" s="114">
        <f>W273+Z273+AC273</f>
        <v/>
      </c>
      <c r="AG273" s="113">
        <f>R273+AD273</f>
        <v/>
      </c>
      <c r="AH273" s="114">
        <f>S273+AE273</f>
        <v/>
      </c>
      <c r="AI273" s="114">
        <f>T273+AF273</f>
        <v/>
      </c>
      <c r="AJ273" s="113" t="n"/>
      <c r="AK273" s="114" t="n"/>
      <c r="AL273" s="114" t="n"/>
      <c r="AM273" s="113">
        <f>(O273-AG273)+AJ273</f>
        <v/>
      </c>
      <c r="AN273" s="114">
        <f>(P273-AH273)+AK273</f>
        <v/>
      </c>
      <c r="AO273" s="114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11" t="n"/>
      <c r="D274" s="112" t="n"/>
      <c r="E274" s="112" t="n"/>
      <c r="F274" s="111" t="n"/>
      <c r="G274" s="112" t="n"/>
      <c r="H274" s="112" t="n"/>
      <c r="I274" s="111" t="n"/>
      <c r="J274" s="112" t="n"/>
      <c r="K274" s="112" t="n"/>
      <c r="L274" s="111" t="n"/>
      <c r="M274" s="112" t="n"/>
      <c r="N274" s="112" t="n"/>
      <c r="O274" s="111">
        <f>L274+I274+F274+C274</f>
        <v/>
      </c>
      <c r="P274" s="112">
        <f>M274+J274+G274+D274</f>
        <v/>
      </c>
      <c r="Q274" s="112">
        <f>N274+K274+H274+E274</f>
        <v/>
      </c>
      <c r="R274" s="111">
        <f>SUMIFS('PO Log'!$E:$E,'PO Log'!$D:$D,'Category Table'!R$2,'PO Log'!$C:$C,'Category Table'!$A274)</f>
        <v/>
      </c>
      <c r="S274" s="112">
        <f>SUMIFS('PO Log'!$E:$E,'PO Log'!$D:$D,'Category Table'!S$2,'PO Log'!$C:$C,'Category Table'!$A274)</f>
        <v/>
      </c>
      <c r="T274" s="112">
        <f>SUMIFS('PO Log'!$E:$E,'PO Log'!$D:$D,'Category Table'!T$2,'PO Log'!$C:$C,'Category Table'!$A274)</f>
        <v/>
      </c>
      <c r="U274" s="111">
        <f>SUMIFS('Committments Dump'!$Q:$Q,'Committments Dump'!$C:$C,'Category Table'!U$2,'Committments Dump'!$B:$B,'Category Table'!$A274)</f>
        <v/>
      </c>
      <c r="V274" s="112">
        <f>SUMIFS('Committments Dump'!$Q:$Q,'Committments Dump'!$C:$C,'Category Table'!V$2,'Committments Dump'!$B:$B,'Category Table'!$A274)</f>
        <v/>
      </c>
      <c r="W274" s="112">
        <f>SUMIFS('Committments Dump'!$Q:$Q,'Committments Dump'!$C:$C,'Category Table'!W$2,'Committments Dump'!$B:$B,'Category Table'!$A274)</f>
        <v/>
      </c>
      <c r="X274" s="111">
        <f>SUMIFS('Committments Dump'!$R:$R,'Committments Dump'!$C:$C,'Category Table'!X$2,'Committments Dump'!$B:$B,'Category Table'!$A274)</f>
        <v/>
      </c>
      <c r="Y274" s="112">
        <f>SUMIFS('Committments Dump'!$R:$R,'Committments Dump'!$C:$C,'Category Table'!Y$2,'Committments Dump'!$B:$B,'Category Table'!$A274)</f>
        <v/>
      </c>
      <c r="Z274" s="112">
        <f>SUMIFS('Committments Dump'!$R:$R,'Committments Dump'!$C:$C,'Category Table'!Z$2,'Committments Dump'!$B:$B,'Category Table'!$A274)</f>
        <v/>
      </c>
      <c r="AA274" s="111">
        <f>SUMIFS('Committments Dump'!$S:$S,'Committments Dump'!$C:$C,'Category Table'!AA$2,'Committments Dump'!$B:$B,'Category Table'!$A274)</f>
        <v/>
      </c>
      <c r="AB274" s="112">
        <f>SUMIFS('Committments Dump'!$S:$S,'Committments Dump'!$C:$C,'Category Table'!AB$2,'Committments Dump'!$B:$B,'Category Table'!$A274)</f>
        <v/>
      </c>
      <c r="AC274" s="112">
        <f>SUMIFS('Committments Dump'!$S:$S,'Committments Dump'!$C:$C,'Category Table'!AC$2,'Committments Dump'!$B:$B,'Category Table'!$A274)</f>
        <v/>
      </c>
      <c r="AD274" s="111">
        <f>U274+X274+AA274</f>
        <v/>
      </c>
      <c r="AE274" s="112">
        <f>V274+Y274+AB274</f>
        <v/>
      </c>
      <c r="AF274" s="112">
        <f>W274+Z274+AC274</f>
        <v/>
      </c>
      <c r="AG274" s="111">
        <f>R274+AD274</f>
        <v/>
      </c>
      <c r="AH274" s="112">
        <f>S274+AE274</f>
        <v/>
      </c>
      <c r="AI274" s="112">
        <f>T274+AF274</f>
        <v/>
      </c>
      <c r="AJ274" s="111" t="n"/>
      <c r="AK274" s="112" t="n"/>
      <c r="AL274" s="112" t="n"/>
      <c r="AM274" s="111">
        <f>(O274-AG274)+AJ274</f>
        <v/>
      </c>
      <c r="AN274" s="112">
        <f>(P274-AH274)+AK274</f>
        <v/>
      </c>
      <c r="AO274" s="112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13" t="n"/>
      <c r="D275" s="114" t="n"/>
      <c r="E275" s="114" t="n"/>
      <c r="F275" s="113" t="n"/>
      <c r="G275" s="114" t="n"/>
      <c r="H275" s="114" t="n"/>
      <c r="I275" s="113" t="n"/>
      <c r="J275" s="114" t="n"/>
      <c r="K275" s="114" t="n"/>
      <c r="L275" s="113" t="n"/>
      <c r="M275" s="114" t="n"/>
      <c r="N275" s="114" t="n"/>
      <c r="O275" s="113">
        <f>L275+I275+F275+C275</f>
        <v/>
      </c>
      <c r="P275" s="114">
        <f>M275+J275+G275+D275</f>
        <v/>
      </c>
      <c r="Q275" s="114">
        <f>N275+K275+H275+E275</f>
        <v/>
      </c>
      <c r="R275" s="113">
        <f>SUMIFS('PO Log'!$E:$E,'PO Log'!$D:$D,'Category Table'!R$2,'PO Log'!$C:$C,'Category Table'!$A275)</f>
        <v/>
      </c>
      <c r="S275" s="114">
        <f>SUMIFS('PO Log'!$E:$E,'PO Log'!$D:$D,'Category Table'!S$2,'PO Log'!$C:$C,'Category Table'!$A275)</f>
        <v/>
      </c>
      <c r="T275" s="114">
        <f>SUMIFS('PO Log'!$E:$E,'PO Log'!$D:$D,'Category Table'!T$2,'PO Log'!$C:$C,'Category Table'!$A275)</f>
        <v/>
      </c>
      <c r="U275" s="113">
        <f>SUMIFS('Committments Dump'!$Q:$Q,'Committments Dump'!$C:$C,'Category Table'!U$2,'Committments Dump'!$B:$B,'Category Table'!$A275)</f>
        <v/>
      </c>
      <c r="V275" s="114">
        <f>SUMIFS('Committments Dump'!$Q:$Q,'Committments Dump'!$C:$C,'Category Table'!V$2,'Committments Dump'!$B:$B,'Category Table'!$A275)</f>
        <v/>
      </c>
      <c r="W275" s="114">
        <f>SUMIFS('Committments Dump'!$Q:$Q,'Committments Dump'!$C:$C,'Category Table'!W$2,'Committments Dump'!$B:$B,'Category Table'!$A275)</f>
        <v/>
      </c>
      <c r="X275" s="113">
        <f>SUMIFS('Committments Dump'!$R:$R,'Committments Dump'!$C:$C,'Category Table'!X$2,'Committments Dump'!$B:$B,'Category Table'!$A275)</f>
        <v/>
      </c>
      <c r="Y275" s="114">
        <f>SUMIFS('Committments Dump'!$R:$R,'Committments Dump'!$C:$C,'Category Table'!Y$2,'Committments Dump'!$B:$B,'Category Table'!$A275)</f>
        <v/>
      </c>
      <c r="Z275" s="114">
        <f>SUMIFS('Committments Dump'!$R:$R,'Committments Dump'!$C:$C,'Category Table'!Z$2,'Committments Dump'!$B:$B,'Category Table'!$A275)</f>
        <v/>
      </c>
      <c r="AA275" s="113">
        <f>SUMIFS('Committments Dump'!$S:$S,'Committments Dump'!$C:$C,'Category Table'!AA$2,'Committments Dump'!$B:$B,'Category Table'!$A275)</f>
        <v/>
      </c>
      <c r="AB275" s="114">
        <f>SUMIFS('Committments Dump'!$S:$S,'Committments Dump'!$C:$C,'Category Table'!AB$2,'Committments Dump'!$B:$B,'Category Table'!$A275)</f>
        <v/>
      </c>
      <c r="AC275" s="114">
        <f>SUMIFS('Committments Dump'!$S:$S,'Committments Dump'!$C:$C,'Category Table'!AC$2,'Committments Dump'!$B:$B,'Category Table'!$A275)</f>
        <v/>
      </c>
      <c r="AD275" s="113">
        <f>U275+X275+AA275</f>
        <v/>
      </c>
      <c r="AE275" s="114">
        <f>V275+Y275+AB275</f>
        <v/>
      </c>
      <c r="AF275" s="114">
        <f>W275+Z275+AC275</f>
        <v/>
      </c>
      <c r="AG275" s="113">
        <f>R275+AD275</f>
        <v/>
      </c>
      <c r="AH275" s="114">
        <f>S275+AE275</f>
        <v/>
      </c>
      <c r="AI275" s="114">
        <f>T275+AF275</f>
        <v/>
      </c>
      <c r="AJ275" s="113" t="n"/>
      <c r="AK275" s="114" t="n"/>
      <c r="AL275" s="114" t="n"/>
      <c r="AM275" s="113">
        <f>(O275-AG275)+AJ275</f>
        <v/>
      </c>
      <c r="AN275" s="114">
        <f>(P275-AH275)+AK275</f>
        <v/>
      </c>
      <c r="AO275" s="114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11" t="n"/>
      <c r="D276" s="112" t="n"/>
      <c r="E276" s="112" t="n"/>
      <c r="F276" s="111" t="n"/>
      <c r="G276" s="112" t="n"/>
      <c r="H276" s="112" t="n"/>
      <c r="I276" s="111" t="n"/>
      <c r="J276" s="112" t="n"/>
      <c r="K276" s="112" t="n"/>
      <c r="L276" s="111" t="n"/>
      <c r="M276" s="112" t="n"/>
      <c r="N276" s="112" t="n"/>
      <c r="O276" s="111">
        <f>L276+I276+F276+C276</f>
        <v/>
      </c>
      <c r="P276" s="112">
        <f>M276+J276+G276+D276</f>
        <v/>
      </c>
      <c r="Q276" s="112">
        <f>N276+K276+H276+E276</f>
        <v/>
      </c>
      <c r="R276" s="111">
        <f>SUMIFS('PO Log'!$E:$E,'PO Log'!$D:$D,'Category Table'!R$2,'PO Log'!$C:$C,'Category Table'!$A276)</f>
        <v/>
      </c>
      <c r="S276" s="112">
        <f>SUMIFS('PO Log'!$E:$E,'PO Log'!$D:$D,'Category Table'!S$2,'PO Log'!$C:$C,'Category Table'!$A276)</f>
        <v/>
      </c>
      <c r="T276" s="112">
        <f>SUMIFS('PO Log'!$E:$E,'PO Log'!$D:$D,'Category Table'!T$2,'PO Log'!$C:$C,'Category Table'!$A276)</f>
        <v/>
      </c>
      <c r="U276" s="111">
        <f>SUMIFS('Committments Dump'!$Q:$Q,'Committments Dump'!$C:$C,'Category Table'!U$2,'Committments Dump'!$B:$B,'Category Table'!$A276)</f>
        <v/>
      </c>
      <c r="V276" s="112">
        <f>SUMIFS('Committments Dump'!$Q:$Q,'Committments Dump'!$C:$C,'Category Table'!V$2,'Committments Dump'!$B:$B,'Category Table'!$A276)</f>
        <v/>
      </c>
      <c r="W276" s="112">
        <f>SUMIFS('Committments Dump'!$Q:$Q,'Committments Dump'!$C:$C,'Category Table'!W$2,'Committments Dump'!$B:$B,'Category Table'!$A276)</f>
        <v/>
      </c>
      <c r="X276" s="111">
        <f>SUMIFS('Committments Dump'!$R:$R,'Committments Dump'!$C:$C,'Category Table'!X$2,'Committments Dump'!$B:$B,'Category Table'!$A276)</f>
        <v/>
      </c>
      <c r="Y276" s="112">
        <f>SUMIFS('Committments Dump'!$R:$R,'Committments Dump'!$C:$C,'Category Table'!Y$2,'Committments Dump'!$B:$B,'Category Table'!$A276)</f>
        <v/>
      </c>
      <c r="Z276" s="112">
        <f>SUMIFS('Committments Dump'!$R:$R,'Committments Dump'!$C:$C,'Category Table'!Z$2,'Committments Dump'!$B:$B,'Category Table'!$A276)</f>
        <v/>
      </c>
      <c r="AA276" s="111">
        <f>SUMIFS('Committments Dump'!$S:$S,'Committments Dump'!$C:$C,'Category Table'!AA$2,'Committments Dump'!$B:$B,'Category Table'!$A276)</f>
        <v/>
      </c>
      <c r="AB276" s="112">
        <f>SUMIFS('Committments Dump'!$S:$S,'Committments Dump'!$C:$C,'Category Table'!AB$2,'Committments Dump'!$B:$B,'Category Table'!$A276)</f>
        <v/>
      </c>
      <c r="AC276" s="112">
        <f>SUMIFS('Committments Dump'!$S:$S,'Committments Dump'!$C:$C,'Category Table'!AC$2,'Committments Dump'!$B:$B,'Category Table'!$A276)</f>
        <v/>
      </c>
      <c r="AD276" s="111">
        <f>U276+X276+AA276</f>
        <v/>
      </c>
      <c r="AE276" s="112">
        <f>V276+Y276+AB276</f>
        <v/>
      </c>
      <c r="AF276" s="112">
        <f>W276+Z276+AC276</f>
        <v/>
      </c>
      <c r="AG276" s="111">
        <f>R276+AD276</f>
        <v/>
      </c>
      <c r="AH276" s="112">
        <f>S276+AE276</f>
        <v/>
      </c>
      <c r="AI276" s="112">
        <f>T276+AF276</f>
        <v/>
      </c>
      <c r="AJ276" s="111" t="n"/>
      <c r="AK276" s="112" t="n"/>
      <c r="AL276" s="112" t="n"/>
      <c r="AM276" s="111">
        <f>(O276-AG276)+AJ276</f>
        <v/>
      </c>
      <c r="AN276" s="112">
        <f>(P276-AH276)+AK276</f>
        <v/>
      </c>
      <c r="AO276" s="112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13" t="n"/>
      <c r="D277" s="114" t="n"/>
      <c r="E277" s="114" t="n"/>
      <c r="F277" s="113" t="n"/>
      <c r="G277" s="114" t="n"/>
      <c r="H277" s="114" t="n"/>
      <c r="I277" s="113" t="n"/>
      <c r="J277" s="114" t="n"/>
      <c r="K277" s="114" t="n"/>
      <c r="L277" s="113" t="n"/>
      <c r="M277" s="114" t="n"/>
      <c r="N277" s="114" t="n"/>
      <c r="O277" s="113">
        <f>L277+I277+F277+C277</f>
        <v/>
      </c>
      <c r="P277" s="114">
        <f>M277+J277+G277+D277</f>
        <v/>
      </c>
      <c r="Q277" s="114">
        <f>N277+K277+H277+E277</f>
        <v/>
      </c>
      <c r="R277" s="113">
        <f>SUMIFS('PO Log'!$E:$E,'PO Log'!$D:$D,'Category Table'!R$2,'PO Log'!$C:$C,'Category Table'!$A277)</f>
        <v/>
      </c>
      <c r="S277" s="114">
        <f>SUMIFS('PO Log'!$E:$E,'PO Log'!$D:$D,'Category Table'!S$2,'PO Log'!$C:$C,'Category Table'!$A277)</f>
        <v/>
      </c>
      <c r="T277" s="114">
        <f>SUMIFS('PO Log'!$E:$E,'PO Log'!$D:$D,'Category Table'!T$2,'PO Log'!$C:$C,'Category Table'!$A277)</f>
        <v/>
      </c>
      <c r="U277" s="113">
        <f>SUMIFS('Committments Dump'!$Q:$Q,'Committments Dump'!$C:$C,'Category Table'!U$2,'Committments Dump'!$B:$B,'Category Table'!$A277)</f>
        <v/>
      </c>
      <c r="V277" s="114">
        <f>SUMIFS('Committments Dump'!$Q:$Q,'Committments Dump'!$C:$C,'Category Table'!V$2,'Committments Dump'!$B:$B,'Category Table'!$A277)</f>
        <v/>
      </c>
      <c r="W277" s="114">
        <f>SUMIFS('Committments Dump'!$Q:$Q,'Committments Dump'!$C:$C,'Category Table'!W$2,'Committments Dump'!$B:$B,'Category Table'!$A277)</f>
        <v/>
      </c>
      <c r="X277" s="113">
        <f>SUMIFS('Committments Dump'!$R:$R,'Committments Dump'!$C:$C,'Category Table'!X$2,'Committments Dump'!$B:$B,'Category Table'!$A277)</f>
        <v/>
      </c>
      <c r="Y277" s="114">
        <f>SUMIFS('Committments Dump'!$R:$R,'Committments Dump'!$C:$C,'Category Table'!Y$2,'Committments Dump'!$B:$B,'Category Table'!$A277)</f>
        <v/>
      </c>
      <c r="Z277" s="114">
        <f>SUMIFS('Committments Dump'!$R:$R,'Committments Dump'!$C:$C,'Category Table'!Z$2,'Committments Dump'!$B:$B,'Category Table'!$A277)</f>
        <v/>
      </c>
      <c r="AA277" s="113">
        <f>SUMIFS('Committments Dump'!$S:$S,'Committments Dump'!$C:$C,'Category Table'!AA$2,'Committments Dump'!$B:$B,'Category Table'!$A277)</f>
        <v/>
      </c>
      <c r="AB277" s="114">
        <f>SUMIFS('Committments Dump'!$S:$S,'Committments Dump'!$C:$C,'Category Table'!AB$2,'Committments Dump'!$B:$B,'Category Table'!$A277)</f>
        <v/>
      </c>
      <c r="AC277" s="114">
        <f>SUMIFS('Committments Dump'!$S:$S,'Committments Dump'!$C:$C,'Category Table'!AC$2,'Committments Dump'!$B:$B,'Category Table'!$A277)</f>
        <v/>
      </c>
      <c r="AD277" s="113">
        <f>U277+X277+AA277</f>
        <v/>
      </c>
      <c r="AE277" s="114">
        <f>V277+Y277+AB277</f>
        <v/>
      </c>
      <c r="AF277" s="114">
        <f>W277+Z277+AC277</f>
        <v/>
      </c>
      <c r="AG277" s="113">
        <f>R277+AD277</f>
        <v/>
      </c>
      <c r="AH277" s="114">
        <f>S277+AE277</f>
        <v/>
      </c>
      <c r="AI277" s="114">
        <f>T277+AF277</f>
        <v/>
      </c>
      <c r="AJ277" s="113" t="n"/>
      <c r="AK277" s="114" t="n"/>
      <c r="AL277" s="114" t="n"/>
      <c r="AM277" s="113">
        <f>(O277-AG277)+AJ277</f>
        <v/>
      </c>
      <c r="AN277" s="114">
        <f>(P277-AH277)+AK277</f>
        <v/>
      </c>
      <c r="AO277" s="114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11" t="n"/>
      <c r="D278" s="112" t="n"/>
      <c r="E278" s="112" t="n"/>
      <c r="F278" s="111" t="n"/>
      <c r="G278" s="112" t="n"/>
      <c r="H278" s="112" t="n"/>
      <c r="I278" s="111" t="n"/>
      <c r="J278" s="112" t="n"/>
      <c r="K278" s="112" t="n"/>
      <c r="L278" s="111" t="n"/>
      <c r="M278" s="112" t="n"/>
      <c r="N278" s="112" t="n"/>
      <c r="O278" s="111">
        <f>L278+I278+F278+C278</f>
        <v/>
      </c>
      <c r="P278" s="112">
        <f>M278+J278+G278+D278</f>
        <v/>
      </c>
      <c r="Q278" s="112">
        <f>N278+K278+H278+E278</f>
        <v/>
      </c>
      <c r="R278" s="111">
        <f>SUMIFS('PO Log'!$E:$E,'PO Log'!$D:$D,'Category Table'!R$2,'PO Log'!$C:$C,'Category Table'!$A278)</f>
        <v/>
      </c>
      <c r="S278" s="112">
        <f>SUMIFS('PO Log'!$E:$E,'PO Log'!$D:$D,'Category Table'!S$2,'PO Log'!$C:$C,'Category Table'!$A278)</f>
        <v/>
      </c>
      <c r="T278" s="112">
        <f>SUMIFS('PO Log'!$E:$E,'PO Log'!$D:$D,'Category Table'!T$2,'PO Log'!$C:$C,'Category Table'!$A278)</f>
        <v/>
      </c>
      <c r="U278" s="111">
        <f>SUMIFS('Committments Dump'!$Q:$Q,'Committments Dump'!$C:$C,'Category Table'!U$2,'Committments Dump'!$B:$B,'Category Table'!$A278)</f>
        <v/>
      </c>
      <c r="V278" s="112">
        <f>SUMIFS('Committments Dump'!$Q:$Q,'Committments Dump'!$C:$C,'Category Table'!V$2,'Committments Dump'!$B:$B,'Category Table'!$A278)</f>
        <v/>
      </c>
      <c r="W278" s="112">
        <f>SUMIFS('Committments Dump'!$Q:$Q,'Committments Dump'!$C:$C,'Category Table'!W$2,'Committments Dump'!$B:$B,'Category Table'!$A278)</f>
        <v/>
      </c>
      <c r="X278" s="111">
        <f>SUMIFS('Committments Dump'!$R:$R,'Committments Dump'!$C:$C,'Category Table'!X$2,'Committments Dump'!$B:$B,'Category Table'!$A278)</f>
        <v/>
      </c>
      <c r="Y278" s="112">
        <f>SUMIFS('Committments Dump'!$R:$R,'Committments Dump'!$C:$C,'Category Table'!Y$2,'Committments Dump'!$B:$B,'Category Table'!$A278)</f>
        <v/>
      </c>
      <c r="Z278" s="112">
        <f>SUMIFS('Committments Dump'!$R:$R,'Committments Dump'!$C:$C,'Category Table'!Z$2,'Committments Dump'!$B:$B,'Category Table'!$A278)</f>
        <v/>
      </c>
      <c r="AA278" s="111">
        <f>SUMIFS('Committments Dump'!$S:$S,'Committments Dump'!$C:$C,'Category Table'!AA$2,'Committments Dump'!$B:$B,'Category Table'!$A278)</f>
        <v/>
      </c>
      <c r="AB278" s="112">
        <f>SUMIFS('Committments Dump'!$S:$S,'Committments Dump'!$C:$C,'Category Table'!AB$2,'Committments Dump'!$B:$B,'Category Table'!$A278)</f>
        <v/>
      </c>
      <c r="AC278" s="112">
        <f>SUMIFS('Committments Dump'!$S:$S,'Committments Dump'!$C:$C,'Category Table'!AC$2,'Committments Dump'!$B:$B,'Category Table'!$A278)</f>
        <v/>
      </c>
      <c r="AD278" s="111">
        <f>U278+X278+AA278</f>
        <v/>
      </c>
      <c r="AE278" s="112">
        <f>V278+Y278+AB278</f>
        <v/>
      </c>
      <c r="AF278" s="112">
        <f>W278+Z278+AC278</f>
        <v/>
      </c>
      <c r="AG278" s="111">
        <f>R278+AD278</f>
        <v/>
      </c>
      <c r="AH278" s="112">
        <f>S278+AE278</f>
        <v/>
      </c>
      <c r="AI278" s="112">
        <f>T278+AF278</f>
        <v/>
      </c>
      <c r="AJ278" s="111" t="n"/>
      <c r="AK278" s="112" t="n"/>
      <c r="AL278" s="112" t="n"/>
      <c r="AM278" s="111">
        <f>(O278-AG278)+AJ278</f>
        <v/>
      </c>
      <c r="AN278" s="112">
        <f>(P278-AH278)+AK278</f>
        <v/>
      </c>
      <c r="AO278" s="112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13" t="n"/>
      <c r="D279" s="114" t="n"/>
      <c r="E279" s="114" t="n"/>
      <c r="F279" s="113" t="n"/>
      <c r="G279" s="114" t="n"/>
      <c r="H279" s="114" t="n"/>
      <c r="I279" s="113" t="n"/>
      <c r="J279" s="114" t="n"/>
      <c r="K279" s="114" t="n"/>
      <c r="L279" s="113" t="n"/>
      <c r="M279" s="114" t="n"/>
      <c r="N279" s="114" t="n"/>
      <c r="O279" s="113">
        <f>L279+I279+F279+C279</f>
        <v/>
      </c>
      <c r="P279" s="114">
        <f>M279+J279+G279+D279</f>
        <v/>
      </c>
      <c r="Q279" s="114">
        <f>N279+K279+H279+E279</f>
        <v/>
      </c>
      <c r="R279" s="113">
        <f>SUMIFS('PO Log'!$E:$E,'PO Log'!$D:$D,'Category Table'!R$2,'PO Log'!$C:$C,'Category Table'!$A279)</f>
        <v/>
      </c>
      <c r="S279" s="114">
        <f>SUMIFS('PO Log'!$E:$E,'PO Log'!$D:$D,'Category Table'!S$2,'PO Log'!$C:$C,'Category Table'!$A279)</f>
        <v/>
      </c>
      <c r="T279" s="114">
        <f>SUMIFS('PO Log'!$E:$E,'PO Log'!$D:$D,'Category Table'!T$2,'PO Log'!$C:$C,'Category Table'!$A279)</f>
        <v/>
      </c>
      <c r="U279" s="113">
        <f>SUMIFS('Committments Dump'!$Q:$Q,'Committments Dump'!$C:$C,'Category Table'!U$2,'Committments Dump'!$B:$B,'Category Table'!$A279)</f>
        <v/>
      </c>
      <c r="V279" s="114">
        <f>SUMIFS('Committments Dump'!$Q:$Q,'Committments Dump'!$C:$C,'Category Table'!V$2,'Committments Dump'!$B:$B,'Category Table'!$A279)</f>
        <v/>
      </c>
      <c r="W279" s="114">
        <f>SUMIFS('Committments Dump'!$Q:$Q,'Committments Dump'!$C:$C,'Category Table'!W$2,'Committments Dump'!$B:$B,'Category Table'!$A279)</f>
        <v/>
      </c>
      <c r="X279" s="113">
        <f>SUMIFS('Committments Dump'!$R:$R,'Committments Dump'!$C:$C,'Category Table'!X$2,'Committments Dump'!$B:$B,'Category Table'!$A279)</f>
        <v/>
      </c>
      <c r="Y279" s="114">
        <f>SUMIFS('Committments Dump'!$R:$R,'Committments Dump'!$C:$C,'Category Table'!Y$2,'Committments Dump'!$B:$B,'Category Table'!$A279)</f>
        <v/>
      </c>
      <c r="Z279" s="114">
        <f>SUMIFS('Committments Dump'!$R:$R,'Committments Dump'!$C:$C,'Category Table'!Z$2,'Committments Dump'!$B:$B,'Category Table'!$A279)</f>
        <v/>
      </c>
      <c r="AA279" s="113">
        <f>SUMIFS('Committments Dump'!$S:$S,'Committments Dump'!$C:$C,'Category Table'!AA$2,'Committments Dump'!$B:$B,'Category Table'!$A279)</f>
        <v/>
      </c>
      <c r="AB279" s="114">
        <f>SUMIFS('Committments Dump'!$S:$S,'Committments Dump'!$C:$C,'Category Table'!AB$2,'Committments Dump'!$B:$B,'Category Table'!$A279)</f>
        <v/>
      </c>
      <c r="AC279" s="114">
        <f>SUMIFS('Committments Dump'!$S:$S,'Committments Dump'!$C:$C,'Category Table'!AC$2,'Committments Dump'!$B:$B,'Category Table'!$A279)</f>
        <v/>
      </c>
      <c r="AD279" s="113">
        <f>U279+X279+AA279</f>
        <v/>
      </c>
      <c r="AE279" s="114">
        <f>V279+Y279+AB279</f>
        <v/>
      </c>
      <c r="AF279" s="114">
        <f>W279+Z279+AC279</f>
        <v/>
      </c>
      <c r="AG279" s="113">
        <f>R279+AD279</f>
        <v/>
      </c>
      <c r="AH279" s="114">
        <f>S279+AE279</f>
        <v/>
      </c>
      <c r="AI279" s="114">
        <f>T279+AF279</f>
        <v/>
      </c>
      <c r="AJ279" s="113" t="n"/>
      <c r="AK279" s="114" t="n"/>
      <c r="AL279" s="114" t="n"/>
      <c r="AM279" s="113">
        <f>(O279-AG279)+AJ279</f>
        <v/>
      </c>
      <c r="AN279" s="114">
        <f>(P279-AH279)+AK279</f>
        <v/>
      </c>
      <c r="AO279" s="114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11" t="n"/>
      <c r="D280" s="112" t="n"/>
      <c r="E280" s="112" t="n"/>
      <c r="F280" s="111" t="n"/>
      <c r="G280" s="112" t="n"/>
      <c r="H280" s="112" t="n"/>
      <c r="I280" s="111" t="n"/>
      <c r="J280" s="112" t="n"/>
      <c r="K280" s="112" t="n"/>
      <c r="L280" s="111" t="n"/>
      <c r="M280" s="112" t="n"/>
      <c r="N280" s="112" t="n"/>
      <c r="O280" s="111">
        <f>L280+I280+F280+C280</f>
        <v/>
      </c>
      <c r="P280" s="112">
        <f>M280+J280+G280+D280</f>
        <v/>
      </c>
      <c r="Q280" s="112">
        <f>N280+K280+H280+E280</f>
        <v/>
      </c>
      <c r="R280" s="111">
        <f>SUMIFS('PO Log'!$E:$E,'PO Log'!$D:$D,'Category Table'!R$2,'PO Log'!$C:$C,'Category Table'!$A280)</f>
        <v/>
      </c>
      <c r="S280" s="112">
        <f>SUMIFS('PO Log'!$E:$E,'PO Log'!$D:$D,'Category Table'!S$2,'PO Log'!$C:$C,'Category Table'!$A280)</f>
        <v/>
      </c>
      <c r="T280" s="112">
        <f>SUMIFS('PO Log'!$E:$E,'PO Log'!$D:$D,'Category Table'!T$2,'PO Log'!$C:$C,'Category Table'!$A280)</f>
        <v/>
      </c>
      <c r="U280" s="111">
        <f>SUMIFS('Committments Dump'!$Q:$Q,'Committments Dump'!$C:$C,'Category Table'!U$2,'Committments Dump'!$B:$B,'Category Table'!$A280)</f>
        <v/>
      </c>
      <c r="V280" s="112">
        <f>SUMIFS('Committments Dump'!$Q:$Q,'Committments Dump'!$C:$C,'Category Table'!V$2,'Committments Dump'!$B:$B,'Category Table'!$A280)</f>
        <v/>
      </c>
      <c r="W280" s="112">
        <f>SUMIFS('Committments Dump'!$Q:$Q,'Committments Dump'!$C:$C,'Category Table'!W$2,'Committments Dump'!$B:$B,'Category Table'!$A280)</f>
        <v/>
      </c>
      <c r="X280" s="111">
        <f>SUMIFS('Committments Dump'!$R:$R,'Committments Dump'!$C:$C,'Category Table'!X$2,'Committments Dump'!$B:$B,'Category Table'!$A280)</f>
        <v/>
      </c>
      <c r="Y280" s="112">
        <f>SUMIFS('Committments Dump'!$R:$R,'Committments Dump'!$C:$C,'Category Table'!Y$2,'Committments Dump'!$B:$B,'Category Table'!$A280)</f>
        <v/>
      </c>
      <c r="Z280" s="112">
        <f>SUMIFS('Committments Dump'!$R:$R,'Committments Dump'!$C:$C,'Category Table'!Z$2,'Committments Dump'!$B:$B,'Category Table'!$A280)</f>
        <v/>
      </c>
      <c r="AA280" s="111">
        <f>SUMIFS('Committments Dump'!$S:$S,'Committments Dump'!$C:$C,'Category Table'!AA$2,'Committments Dump'!$B:$B,'Category Table'!$A280)</f>
        <v/>
      </c>
      <c r="AB280" s="112">
        <f>SUMIFS('Committments Dump'!$S:$S,'Committments Dump'!$C:$C,'Category Table'!AB$2,'Committments Dump'!$B:$B,'Category Table'!$A280)</f>
        <v/>
      </c>
      <c r="AC280" s="112">
        <f>SUMIFS('Committments Dump'!$S:$S,'Committments Dump'!$C:$C,'Category Table'!AC$2,'Committments Dump'!$B:$B,'Category Table'!$A280)</f>
        <v/>
      </c>
      <c r="AD280" s="111">
        <f>U280+X280+AA280</f>
        <v/>
      </c>
      <c r="AE280" s="112">
        <f>V280+Y280+AB280</f>
        <v/>
      </c>
      <c r="AF280" s="112">
        <f>W280+Z280+AC280</f>
        <v/>
      </c>
      <c r="AG280" s="111">
        <f>R280+AD280</f>
        <v/>
      </c>
      <c r="AH280" s="112">
        <f>S280+AE280</f>
        <v/>
      </c>
      <c r="AI280" s="112">
        <f>T280+AF280</f>
        <v/>
      </c>
      <c r="AJ280" s="111" t="n"/>
      <c r="AK280" s="112" t="n"/>
      <c r="AL280" s="112" t="n"/>
      <c r="AM280" s="111">
        <f>(O280-AG280)+AJ280</f>
        <v/>
      </c>
      <c r="AN280" s="112">
        <f>(P280-AH280)+AK280</f>
        <v/>
      </c>
      <c r="AO280" s="112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13" t="n"/>
      <c r="D281" s="114" t="n"/>
      <c r="E281" s="114" t="n"/>
      <c r="F281" s="113" t="n"/>
      <c r="G281" s="114" t="n"/>
      <c r="H281" s="114" t="n"/>
      <c r="I281" s="113" t="n"/>
      <c r="J281" s="114" t="n"/>
      <c r="K281" s="114" t="n"/>
      <c r="L281" s="113" t="n"/>
      <c r="M281" s="114" t="n"/>
      <c r="N281" s="114" t="n"/>
      <c r="O281" s="113">
        <f>L281+I281+F281+C281</f>
        <v/>
      </c>
      <c r="P281" s="114">
        <f>M281+J281+G281+D281</f>
        <v/>
      </c>
      <c r="Q281" s="114">
        <f>N281+K281+H281+E281</f>
        <v/>
      </c>
      <c r="R281" s="113">
        <f>SUMIFS('PO Log'!$E:$E,'PO Log'!$D:$D,'Category Table'!R$2,'PO Log'!$C:$C,'Category Table'!$A281)</f>
        <v/>
      </c>
      <c r="S281" s="114">
        <f>SUMIFS('PO Log'!$E:$E,'PO Log'!$D:$D,'Category Table'!S$2,'PO Log'!$C:$C,'Category Table'!$A281)</f>
        <v/>
      </c>
      <c r="T281" s="114">
        <f>SUMIFS('PO Log'!$E:$E,'PO Log'!$D:$D,'Category Table'!T$2,'PO Log'!$C:$C,'Category Table'!$A281)</f>
        <v/>
      </c>
      <c r="U281" s="113">
        <f>SUMIFS('Committments Dump'!$Q:$Q,'Committments Dump'!$C:$C,'Category Table'!U$2,'Committments Dump'!$B:$B,'Category Table'!$A281)</f>
        <v/>
      </c>
      <c r="V281" s="114">
        <f>SUMIFS('Committments Dump'!$Q:$Q,'Committments Dump'!$C:$C,'Category Table'!V$2,'Committments Dump'!$B:$B,'Category Table'!$A281)</f>
        <v/>
      </c>
      <c r="W281" s="114">
        <f>SUMIFS('Committments Dump'!$Q:$Q,'Committments Dump'!$C:$C,'Category Table'!W$2,'Committments Dump'!$B:$B,'Category Table'!$A281)</f>
        <v/>
      </c>
      <c r="X281" s="113">
        <f>SUMIFS('Committments Dump'!$R:$R,'Committments Dump'!$C:$C,'Category Table'!X$2,'Committments Dump'!$B:$B,'Category Table'!$A281)</f>
        <v/>
      </c>
      <c r="Y281" s="114">
        <f>SUMIFS('Committments Dump'!$R:$R,'Committments Dump'!$C:$C,'Category Table'!Y$2,'Committments Dump'!$B:$B,'Category Table'!$A281)</f>
        <v/>
      </c>
      <c r="Z281" s="114">
        <f>SUMIFS('Committments Dump'!$R:$R,'Committments Dump'!$C:$C,'Category Table'!Z$2,'Committments Dump'!$B:$B,'Category Table'!$A281)</f>
        <v/>
      </c>
      <c r="AA281" s="113">
        <f>SUMIFS('Committments Dump'!$S:$S,'Committments Dump'!$C:$C,'Category Table'!AA$2,'Committments Dump'!$B:$B,'Category Table'!$A281)</f>
        <v/>
      </c>
      <c r="AB281" s="114">
        <f>SUMIFS('Committments Dump'!$S:$S,'Committments Dump'!$C:$C,'Category Table'!AB$2,'Committments Dump'!$B:$B,'Category Table'!$A281)</f>
        <v/>
      </c>
      <c r="AC281" s="114">
        <f>SUMIFS('Committments Dump'!$S:$S,'Committments Dump'!$C:$C,'Category Table'!AC$2,'Committments Dump'!$B:$B,'Category Table'!$A281)</f>
        <v/>
      </c>
      <c r="AD281" s="113">
        <f>U281+X281+AA281</f>
        <v/>
      </c>
      <c r="AE281" s="114">
        <f>V281+Y281+AB281</f>
        <v/>
      </c>
      <c r="AF281" s="114">
        <f>W281+Z281+AC281</f>
        <v/>
      </c>
      <c r="AG281" s="113">
        <f>R281+AD281</f>
        <v/>
      </c>
      <c r="AH281" s="114">
        <f>S281+AE281</f>
        <v/>
      </c>
      <c r="AI281" s="114">
        <f>T281+AF281</f>
        <v/>
      </c>
      <c r="AJ281" s="113" t="n"/>
      <c r="AK281" s="114" t="n"/>
      <c r="AL281" s="114" t="n"/>
      <c r="AM281" s="113">
        <f>(O281-AG281)+AJ281</f>
        <v/>
      </c>
      <c r="AN281" s="114">
        <f>(P281-AH281)+AK281</f>
        <v/>
      </c>
      <c r="AO281" s="114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11" t="n"/>
      <c r="D282" s="112" t="n"/>
      <c r="E282" s="112" t="n"/>
      <c r="F282" s="111" t="n"/>
      <c r="G282" s="112" t="n"/>
      <c r="H282" s="112" t="n"/>
      <c r="I282" s="111" t="n"/>
      <c r="J282" s="112" t="n"/>
      <c r="K282" s="112" t="n"/>
      <c r="L282" s="111" t="n"/>
      <c r="M282" s="112" t="n"/>
      <c r="N282" s="112" t="n"/>
      <c r="O282" s="111">
        <f>L282+I282+F282+C282</f>
        <v/>
      </c>
      <c r="P282" s="112">
        <f>M282+J282+G282+D282</f>
        <v/>
      </c>
      <c r="Q282" s="112">
        <f>N282+K282+H282+E282</f>
        <v/>
      </c>
      <c r="R282" s="111">
        <f>SUMIFS('PO Log'!$E:$E,'PO Log'!$D:$D,'Category Table'!R$2,'PO Log'!$C:$C,'Category Table'!$A282)</f>
        <v/>
      </c>
      <c r="S282" s="112">
        <f>SUMIFS('PO Log'!$E:$E,'PO Log'!$D:$D,'Category Table'!S$2,'PO Log'!$C:$C,'Category Table'!$A282)</f>
        <v/>
      </c>
      <c r="T282" s="112">
        <f>SUMIFS('PO Log'!$E:$E,'PO Log'!$D:$D,'Category Table'!T$2,'PO Log'!$C:$C,'Category Table'!$A282)</f>
        <v/>
      </c>
      <c r="U282" s="111">
        <f>SUMIFS('Committments Dump'!$Q:$Q,'Committments Dump'!$C:$C,'Category Table'!U$2,'Committments Dump'!$B:$B,'Category Table'!$A282)</f>
        <v/>
      </c>
      <c r="V282" s="112">
        <f>SUMIFS('Committments Dump'!$Q:$Q,'Committments Dump'!$C:$C,'Category Table'!V$2,'Committments Dump'!$B:$B,'Category Table'!$A282)</f>
        <v/>
      </c>
      <c r="W282" s="112">
        <f>SUMIFS('Committments Dump'!$Q:$Q,'Committments Dump'!$C:$C,'Category Table'!W$2,'Committments Dump'!$B:$B,'Category Table'!$A282)</f>
        <v/>
      </c>
      <c r="X282" s="111">
        <f>SUMIFS('Committments Dump'!$R:$R,'Committments Dump'!$C:$C,'Category Table'!X$2,'Committments Dump'!$B:$B,'Category Table'!$A282)</f>
        <v/>
      </c>
      <c r="Y282" s="112">
        <f>SUMIFS('Committments Dump'!$R:$R,'Committments Dump'!$C:$C,'Category Table'!Y$2,'Committments Dump'!$B:$B,'Category Table'!$A282)</f>
        <v/>
      </c>
      <c r="Z282" s="112">
        <f>SUMIFS('Committments Dump'!$R:$R,'Committments Dump'!$C:$C,'Category Table'!Z$2,'Committments Dump'!$B:$B,'Category Table'!$A282)</f>
        <v/>
      </c>
      <c r="AA282" s="111">
        <f>SUMIFS('Committments Dump'!$S:$S,'Committments Dump'!$C:$C,'Category Table'!AA$2,'Committments Dump'!$B:$B,'Category Table'!$A282)</f>
        <v/>
      </c>
      <c r="AB282" s="112">
        <f>SUMIFS('Committments Dump'!$S:$S,'Committments Dump'!$C:$C,'Category Table'!AB$2,'Committments Dump'!$B:$B,'Category Table'!$A282)</f>
        <v/>
      </c>
      <c r="AC282" s="112">
        <f>SUMIFS('Committments Dump'!$S:$S,'Committments Dump'!$C:$C,'Category Table'!AC$2,'Committments Dump'!$B:$B,'Category Table'!$A282)</f>
        <v/>
      </c>
      <c r="AD282" s="111">
        <f>U282+X282+AA282</f>
        <v/>
      </c>
      <c r="AE282" s="112">
        <f>V282+Y282+AB282</f>
        <v/>
      </c>
      <c r="AF282" s="112">
        <f>W282+Z282+AC282</f>
        <v/>
      </c>
      <c r="AG282" s="111">
        <f>R282+AD282</f>
        <v/>
      </c>
      <c r="AH282" s="112">
        <f>S282+AE282</f>
        <v/>
      </c>
      <c r="AI282" s="112">
        <f>T282+AF282</f>
        <v/>
      </c>
      <c r="AJ282" s="111" t="n"/>
      <c r="AK282" s="112" t="n"/>
      <c r="AL282" s="112" t="n"/>
      <c r="AM282" s="111">
        <f>(O282-AG282)+AJ282</f>
        <v/>
      </c>
      <c r="AN282" s="112">
        <f>(P282-AH282)+AK282</f>
        <v/>
      </c>
      <c r="AO282" s="112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13" t="n"/>
      <c r="D283" s="114" t="n"/>
      <c r="E283" s="114" t="n"/>
      <c r="F283" s="113" t="n"/>
      <c r="G283" s="114" t="n"/>
      <c r="H283" s="114" t="n"/>
      <c r="I283" s="113" t="n"/>
      <c r="J283" s="114" t="n"/>
      <c r="K283" s="114" t="n"/>
      <c r="L283" s="113" t="n"/>
      <c r="M283" s="114" t="n"/>
      <c r="N283" s="114" t="n"/>
      <c r="O283" s="113">
        <f>L283+I283+F283+C283</f>
        <v/>
      </c>
      <c r="P283" s="114">
        <f>M283+J283+G283+D283</f>
        <v/>
      </c>
      <c r="Q283" s="114">
        <f>N283+K283+H283+E283</f>
        <v/>
      </c>
      <c r="R283" s="113">
        <f>SUMIFS('PO Log'!$E:$E,'PO Log'!$D:$D,'Category Table'!R$2,'PO Log'!$C:$C,'Category Table'!$A283)</f>
        <v/>
      </c>
      <c r="S283" s="114">
        <f>SUMIFS('PO Log'!$E:$E,'PO Log'!$D:$D,'Category Table'!S$2,'PO Log'!$C:$C,'Category Table'!$A283)</f>
        <v/>
      </c>
      <c r="T283" s="114">
        <f>SUMIFS('PO Log'!$E:$E,'PO Log'!$D:$D,'Category Table'!T$2,'PO Log'!$C:$C,'Category Table'!$A283)</f>
        <v/>
      </c>
      <c r="U283" s="113">
        <f>SUMIFS('Committments Dump'!$Q:$Q,'Committments Dump'!$C:$C,'Category Table'!U$2,'Committments Dump'!$B:$B,'Category Table'!$A283)</f>
        <v/>
      </c>
      <c r="V283" s="114">
        <f>SUMIFS('Committments Dump'!$Q:$Q,'Committments Dump'!$C:$C,'Category Table'!V$2,'Committments Dump'!$B:$B,'Category Table'!$A283)</f>
        <v/>
      </c>
      <c r="W283" s="114">
        <f>SUMIFS('Committments Dump'!$Q:$Q,'Committments Dump'!$C:$C,'Category Table'!W$2,'Committments Dump'!$B:$B,'Category Table'!$A283)</f>
        <v/>
      </c>
      <c r="X283" s="113">
        <f>SUMIFS('Committments Dump'!$R:$R,'Committments Dump'!$C:$C,'Category Table'!X$2,'Committments Dump'!$B:$B,'Category Table'!$A283)</f>
        <v/>
      </c>
      <c r="Y283" s="114">
        <f>SUMIFS('Committments Dump'!$R:$R,'Committments Dump'!$C:$C,'Category Table'!Y$2,'Committments Dump'!$B:$B,'Category Table'!$A283)</f>
        <v/>
      </c>
      <c r="Z283" s="114">
        <f>SUMIFS('Committments Dump'!$R:$R,'Committments Dump'!$C:$C,'Category Table'!Z$2,'Committments Dump'!$B:$B,'Category Table'!$A283)</f>
        <v/>
      </c>
      <c r="AA283" s="113">
        <f>SUMIFS('Committments Dump'!$S:$S,'Committments Dump'!$C:$C,'Category Table'!AA$2,'Committments Dump'!$B:$B,'Category Table'!$A283)</f>
        <v/>
      </c>
      <c r="AB283" s="114">
        <f>SUMIFS('Committments Dump'!$S:$S,'Committments Dump'!$C:$C,'Category Table'!AB$2,'Committments Dump'!$B:$B,'Category Table'!$A283)</f>
        <v/>
      </c>
      <c r="AC283" s="114">
        <f>SUMIFS('Committments Dump'!$S:$S,'Committments Dump'!$C:$C,'Category Table'!AC$2,'Committments Dump'!$B:$B,'Category Table'!$A283)</f>
        <v/>
      </c>
      <c r="AD283" s="113">
        <f>U283+X283+AA283</f>
        <v/>
      </c>
      <c r="AE283" s="114">
        <f>V283+Y283+AB283</f>
        <v/>
      </c>
      <c r="AF283" s="114">
        <f>W283+Z283+AC283</f>
        <v/>
      </c>
      <c r="AG283" s="113">
        <f>R283+AD283</f>
        <v/>
      </c>
      <c r="AH283" s="114">
        <f>S283+AE283</f>
        <v/>
      </c>
      <c r="AI283" s="114">
        <f>T283+AF283</f>
        <v/>
      </c>
      <c r="AJ283" s="113" t="n"/>
      <c r="AK283" s="114" t="n"/>
      <c r="AL283" s="114" t="n"/>
      <c r="AM283" s="113">
        <f>(O283-AG283)+AJ283</f>
        <v/>
      </c>
      <c r="AN283" s="114">
        <f>(P283-AH283)+AK283</f>
        <v/>
      </c>
      <c r="AO283" s="114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11" t="n"/>
      <c r="D284" s="112" t="n"/>
      <c r="E284" s="112" t="n"/>
      <c r="F284" s="111" t="n"/>
      <c r="G284" s="112" t="n"/>
      <c r="H284" s="112" t="n"/>
      <c r="I284" s="111" t="n"/>
      <c r="J284" s="112" t="n"/>
      <c r="K284" s="112" t="n"/>
      <c r="L284" s="111" t="n"/>
      <c r="M284" s="112" t="n"/>
      <c r="N284" s="112" t="n"/>
      <c r="O284" s="111">
        <f>L284+I284+F284+C284</f>
        <v/>
      </c>
      <c r="P284" s="112">
        <f>M284+J284+G284+D284</f>
        <v/>
      </c>
      <c r="Q284" s="112">
        <f>N284+K284+H284+E284</f>
        <v/>
      </c>
      <c r="R284" s="111">
        <f>SUMIFS('PO Log'!$E:$E,'PO Log'!$D:$D,'Category Table'!R$2,'PO Log'!$C:$C,'Category Table'!$A284)</f>
        <v/>
      </c>
      <c r="S284" s="112">
        <f>SUMIFS('PO Log'!$E:$E,'PO Log'!$D:$D,'Category Table'!S$2,'PO Log'!$C:$C,'Category Table'!$A284)</f>
        <v/>
      </c>
      <c r="T284" s="112">
        <f>SUMIFS('PO Log'!$E:$E,'PO Log'!$D:$D,'Category Table'!T$2,'PO Log'!$C:$C,'Category Table'!$A284)</f>
        <v/>
      </c>
      <c r="U284" s="111">
        <f>SUMIFS('Committments Dump'!$Q:$Q,'Committments Dump'!$C:$C,'Category Table'!U$2,'Committments Dump'!$B:$B,'Category Table'!$A284)</f>
        <v/>
      </c>
      <c r="V284" s="112">
        <f>SUMIFS('Committments Dump'!$Q:$Q,'Committments Dump'!$C:$C,'Category Table'!V$2,'Committments Dump'!$B:$B,'Category Table'!$A284)</f>
        <v/>
      </c>
      <c r="W284" s="112">
        <f>SUMIFS('Committments Dump'!$Q:$Q,'Committments Dump'!$C:$C,'Category Table'!W$2,'Committments Dump'!$B:$B,'Category Table'!$A284)</f>
        <v/>
      </c>
      <c r="X284" s="111">
        <f>SUMIFS('Committments Dump'!$R:$R,'Committments Dump'!$C:$C,'Category Table'!X$2,'Committments Dump'!$B:$B,'Category Table'!$A284)</f>
        <v/>
      </c>
      <c r="Y284" s="112">
        <f>SUMIFS('Committments Dump'!$R:$R,'Committments Dump'!$C:$C,'Category Table'!Y$2,'Committments Dump'!$B:$B,'Category Table'!$A284)</f>
        <v/>
      </c>
      <c r="Z284" s="112">
        <f>SUMIFS('Committments Dump'!$R:$R,'Committments Dump'!$C:$C,'Category Table'!Z$2,'Committments Dump'!$B:$B,'Category Table'!$A284)</f>
        <v/>
      </c>
      <c r="AA284" s="111">
        <f>SUMIFS('Committments Dump'!$S:$S,'Committments Dump'!$C:$C,'Category Table'!AA$2,'Committments Dump'!$B:$B,'Category Table'!$A284)</f>
        <v/>
      </c>
      <c r="AB284" s="112">
        <f>SUMIFS('Committments Dump'!$S:$S,'Committments Dump'!$C:$C,'Category Table'!AB$2,'Committments Dump'!$B:$B,'Category Table'!$A284)</f>
        <v/>
      </c>
      <c r="AC284" s="112">
        <f>SUMIFS('Committments Dump'!$S:$S,'Committments Dump'!$C:$C,'Category Table'!AC$2,'Committments Dump'!$B:$B,'Category Table'!$A284)</f>
        <v/>
      </c>
      <c r="AD284" s="111">
        <f>U284+X284+AA284</f>
        <v/>
      </c>
      <c r="AE284" s="112">
        <f>V284+Y284+AB284</f>
        <v/>
      </c>
      <c r="AF284" s="112">
        <f>W284+Z284+AC284</f>
        <v/>
      </c>
      <c r="AG284" s="111">
        <f>R284+AD284</f>
        <v/>
      </c>
      <c r="AH284" s="112">
        <f>S284+AE284</f>
        <v/>
      </c>
      <c r="AI284" s="112">
        <f>T284+AF284</f>
        <v/>
      </c>
      <c r="AJ284" s="111" t="n"/>
      <c r="AK284" s="112" t="n"/>
      <c r="AL284" s="112" t="n"/>
      <c r="AM284" s="111">
        <f>(O284-AG284)+AJ284</f>
        <v/>
      </c>
      <c r="AN284" s="112">
        <f>(P284-AH284)+AK284</f>
        <v/>
      </c>
      <c r="AO284" s="112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13" t="n"/>
      <c r="D285" s="114" t="n"/>
      <c r="E285" s="114" t="n"/>
      <c r="F285" s="113" t="n"/>
      <c r="G285" s="114" t="n"/>
      <c r="H285" s="114" t="n"/>
      <c r="I285" s="113" t="n"/>
      <c r="J285" s="114" t="n"/>
      <c r="K285" s="114" t="n"/>
      <c r="L285" s="113" t="n"/>
      <c r="M285" s="114" t="n"/>
      <c r="N285" s="114" t="n"/>
      <c r="O285" s="113">
        <f>L285+I285+F285+C285</f>
        <v/>
      </c>
      <c r="P285" s="114">
        <f>M285+J285+G285+D285</f>
        <v/>
      </c>
      <c r="Q285" s="114">
        <f>N285+K285+H285+E285</f>
        <v/>
      </c>
      <c r="R285" s="113">
        <f>SUMIFS('PO Log'!$E:$E,'PO Log'!$D:$D,'Category Table'!R$2,'PO Log'!$C:$C,'Category Table'!$A285)</f>
        <v/>
      </c>
      <c r="S285" s="114">
        <f>SUMIFS('PO Log'!$E:$E,'PO Log'!$D:$D,'Category Table'!S$2,'PO Log'!$C:$C,'Category Table'!$A285)</f>
        <v/>
      </c>
      <c r="T285" s="114">
        <f>SUMIFS('PO Log'!$E:$E,'PO Log'!$D:$D,'Category Table'!T$2,'PO Log'!$C:$C,'Category Table'!$A285)</f>
        <v/>
      </c>
      <c r="U285" s="113">
        <f>SUMIFS('Committments Dump'!$Q:$Q,'Committments Dump'!$C:$C,'Category Table'!U$2,'Committments Dump'!$B:$B,'Category Table'!$A285)</f>
        <v/>
      </c>
      <c r="V285" s="114">
        <f>SUMIFS('Committments Dump'!$Q:$Q,'Committments Dump'!$C:$C,'Category Table'!V$2,'Committments Dump'!$B:$B,'Category Table'!$A285)</f>
        <v/>
      </c>
      <c r="W285" s="114">
        <f>SUMIFS('Committments Dump'!$Q:$Q,'Committments Dump'!$C:$C,'Category Table'!W$2,'Committments Dump'!$B:$B,'Category Table'!$A285)</f>
        <v/>
      </c>
      <c r="X285" s="113">
        <f>SUMIFS('Committments Dump'!$R:$R,'Committments Dump'!$C:$C,'Category Table'!X$2,'Committments Dump'!$B:$B,'Category Table'!$A285)</f>
        <v/>
      </c>
      <c r="Y285" s="114">
        <f>SUMIFS('Committments Dump'!$R:$R,'Committments Dump'!$C:$C,'Category Table'!Y$2,'Committments Dump'!$B:$B,'Category Table'!$A285)</f>
        <v/>
      </c>
      <c r="Z285" s="114">
        <f>SUMIFS('Committments Dump'!$R:$R,'Committments Dump'!$C:$C,'Category Table'!Z$2,'Committments Dump'!$B:$B,'Category Table'!$A285)</f>
        <v/>
      </c>
      <c r="AA285" s="113">
        <f>SUMIFS('Committments Dump'!$S:$S,'Committments Dump'!$C:$C,'Category Table'!AA$2,'Committments Dump'!$B:$B,'Category Table'!$A285)</f>
        <v/>
      </c>
      <c r="AB285" s="114">
        <f>SUMIFS('Committments Dump'!$S:$S,'Committments Dump'!$C:$C,'Category Table'!AB$2,'Committments Dump'!$B:$B,'Category Table'!$A285)</f>
        <v/>
      </c>
      <c r="AC285" s="114">
        <f>SUMIFS('Committments Dump'!$S:$S,'Committments Dump'!$C:$C,'Category Table'!AC$2,'Committments Dump'!$B:$B,'Category Table'!$A285)</f>
        <v/>
      </c>
      <c r="AD285" s="113">
        <f>U285+X285+AA285</f>
        <v/>
      </c>
      <c r="AE285" s="114">
        <f>V285+Y285+AB285</f>
        <v/>
      </c>
      <c r="AF285" s="114">
        <f>W285+Z285+AC285</f>
        <v/>
      </c>
      <c r="AG285" s="113">
        <f>R285+AD285</f>
        <v/>
      </c>
      <c r="AH285" s="114">
        <f>S285+AE285</f>
        <v/>
      </c>
      <c r="AI285" s="114">
        <f>T285+AF285</f>
        <v/>
      </c>
      <c r="AJ285" s="113" t="n"/>
      <c r="AK285" s="114" t="n"/>
      <c r="AL285" s="114" t="n"/>
      <c r="AM285" s="113">
        <f>(O285-AG285)+AJ285</f>
        <v/>
      </c>
      <c r="AN285" s="114">
        <f>(P285-AH285)+AK285</f>
        <v/>
      </c>
      <c r="AO285" s="114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11" t="n"/>
      <c r="D286" s="112" t="n"/>
      <c r="E286" s="112" t="n"/>
      <c r="F286" s="111" t="n"/>
      <c r="G286" s="112" t="n"/>
      <c r="H286" s="112" t="n"/>
      <c r="I286" s="111" t="n"/>
      <c r="J286" s="112" t="n"/>
      <c r="K286" s="112" t="n"/>
      <c r="L286" s="111" t="n"/>
      <c r="M286" s="112" t="n"/>
      <c r="N286" s="112" t="n"/>
      <c r="O286" s="111">
        <f>L286+I286+F286+C286</f>
        <v/>
      </c>
      <c r="P286" s="112">
        <f>M286+J286+G286+D286</f>
        <v/>
      </c>
      <c r="Q286" s="112">
        <f>N286+K286+H286+E286</f>
        <v/>
      </c>
      <c r="R286" s="111">
        <f>SUMIFS('PO Log'!$E:$E,'PO Log'!$D:$D,'Category Table'!R$2,'PO Log'!$C:$C,'Category Table'!$A286)</f>
        <v/>
      </c>
      <c r="S286" s="112">
        <f>SUMIFS('PO Log'!$E:$E,'PO Log'!$D:$D,'Category Table'!S$2,'PO Log'!$C:$C,'Category Table'!$A286)</f>
        <v/>
      </c>
      <c r="T286" s="112">
        <f>SUMIFS('PO Log'!$E:$E,'PO Log'!$D:$D,'Category Table'!T$2,'PO Log'!$C:$C,'Category Table'!$A286)</f>
        <v/>
      </c>
      <c r="U286" s="111">
        <f>SUMIFS('Committments Dump'!$Q:$Q,'Committments Dump'!$C:$C,'Category Table'!U$2,'Committments Dump'!$B:$B,'Category Table'!$A286)</f>
        <v/>
      </c>
      <c r="V286" s="112">
        <f>SUMIFS('Committments Dump'!$Q:$Q,'Committments Dump'!$C:$C,'Category Table'!V$2,'Committments Dump'!$B:$B,'Category Table'!$A286)</f>
        <v/>
      </c>
      <c r="W286" s="112">
        <f>SUMIFS('Committments Dump'!$Q:$Q,'Committments Dump'!$C:$C,'Category Table'!W$2,'Committments Dump'!$B:$B,'Category Table'!$A286)</f>
        <v/>
      </c>
      <c r="X286" s="111">
        <f>SUMIFS('Committments Dump'!$R:$R,'Committments Dump'!$C:$C,'Category Table'!X$2,'Committments Dump'!$B:$B,'Category Table'!$A286)</f>
        <v/>
      </c>
      <c r="Y286" s="112">
        <f>SUMIFS('Committments Dump'!$R:$R,'Committments Dump'!$C:$C,'Category Table'!Y$2,'Committments Dump'!$B:$B,'Category Table'!$A286)</f>
        <v/>
      </c>
      <c r="Z286" s="112">
        <f>SUMIFS('Committments Dump'!$R:$R,'Committments Dump'!$C:$C,'Category Table'!Z$2,'Committments Dump'!$B:$B,'Category Table'!$A286)</f>
        <v/>
      </c>
      <c r="AA286" s="111">
        <f>SUMIFS('Committments Dump'!$S:$S,'Committments Dump'!$C:$C,'Category Table'!AA$2,'Committments Dump'!$B:$B,'Category Table'!$A286)</f>
        <v/>
      </c>
      <c r="AB286" s="112">
        <f>SUMIFS('Committments Dump'!$S:$S,'Committments Dump'!$C:$C,'Category Table'!AB$2,'Committments Dump'!$B:$B,'Category Table'!$A286)</f>
        <v/>
      </c>
      <c r="AC286" s="112">
        <f>SUMIFS('Committments Dump'!$S:$S,'Committments Dump'!$C:$C,'Category Table'!AC$2,'Committments Dump'!$B:$B,'Category Table'!$A286)</f>
        <v/>
      </c>
      <c r="AD286" s="111">
        <f>U286+X286+AA286</f>
        <v/>
      </c>
      <c r="AE286" s="112">
        <f>V286+Y286+AB286</f>
        <v/>
      </c>
      <c r="AF286" s="112">
        <f>W286+Z286+AC286</f>
        <v/>
      </c>
      <c r="AG286" s="111">
        <f>R286+AD286</f>
        <v/>
      </c>
      <c r="AH286" s="112">
        <f>S286+AE286</f>
        <v/>
      </c>
      <c r="AI286" s="112">
        <f>T286+AF286</f>
        <v/>
      </c>
      <c r="AJ286" s="111" t="n"/>
      <c r="AK286" s="112" t="n"/>
      <c r="AL286" s="112" t="n"/>
      <c r="AM286" s="111">
        <f>(O286-AG286)+AJ286</f>
        <v/>
      </c>
      <c r="AN286" s="112">
        <f>(P286-AH286)+AK286</f>
        <v/>
      </c>
      <c r="AO286" s="112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13" t="n"/>
      <c r="D287" s="114" t="n"/>
      <c r="E287" s="114" t="n"/>
      <c r="F287" s="113" t="n"/>
      <c r="G287" s="114" t="n"/>
      <c r="H287" s="114" t="n"/>
      <c r="I287" s="113" t="n"/>
      <c r="J287" s="114" t="n"/>
      <c r="K287" s="114" t="n"/>
      <c r="L287" s="113" t="n"/>
      <c r="M287" s="114" t="n"/>
      <c r="N287" s="114" t="n"/>
      <c r="O287" s="113">
        <f>L287+I287+F287+C287</f>
        <v/>
      </c>
      <c r="P287" s="114">
        <f>M287+J287+G287+D287</f>
        <v/>
      </c>
      <c r="Q287" s="114">
        <f>N287+K287+H287+E287</f>
        <v/>
      </c>
      <c r="R287" s="113">
        <f>SUMIFS('PO Log'!$E:$E,'PO Log'!$D:$D,'Category Table'!R$2,'PO Log'!$C:$C,'Category Table'!$A287)</f>
        <v/>
      </c>
      <c r="S287" s="114">
        <f>SUMIFS('PO Log'!$E:$E,'PO Log'!$D:$D,'Category Table'!S$2,'PO Log'!$C:$C,'Category Table'!$A287)</f>
        <v/>
      </c>
      <c r="T287" s="114">
        <f>SUMIFS('PO Log'!$E:$E,'PO Log'!$D:$D,'Category Table'!T$2,'PO Log'!$C:$C,'Category Table'!$A287)</f>
        <v/>
      </c>
      <c r="U287" s="113">
        <f>SUMIFS('Committments Dump'!$Q:$Q,'Committments Dump'!$C:$C,'Category Table'!U$2,'Committments Dump'!$B:$B,'Category Table'!$A287)</f>
        <v/>
      </c>
      <c r="V287" s="114">
        <f>SUMIFS('Committments Dump'!$Q:$Q,'Committments Dump'!$C:$C,'Category Table'!V$2,'Committments Dump'!$B:$B,'Category Table'!$A287)</f>
        <v/>
      </c>
      <c r="W287" s="114">
        <f>SUMIFS('Committments Dump'!$Q:$Q,'Committments Dump'!$C:$C,'Category Table'!W$2,'Committments Dump'!$B:$B,'Category Table'!$A287)</f>
        <v/>
      </c>
      <c r="X287" s="113">
        <f>SUMIFS('Committments Dump'!$R:$R,'Committments Dump'!$C:$C,'Category Table'!X$2,'Committments Dump'!$B:$B,'Category Table'!$A287)</f>
        <v/>
      </c>
      <c r="Y287" s="114">
        <f>SUMIFS('Committments Dump'!$R:$R,'Committments Dump'!$C:$C,'Category Table'!Y$2,'Committments Dump'!$B:$B,'Category Table'!$A287)</f>
        <v/>
      </c>
      <c r="Z287" s="114">
        <f>SUMIFS('Committments Dump'!$R:$R,'Committments Dump'!$C:$C,'Category Table'!Z$2,'Committments Dump'!$B:$B,'Category Table'!$A287)</f>
        <v/>
      </c>
      <c r="AA287" s="113">
        <f>SUMIFS('Committments Dump'!$S:$S,'Committments Dump'!$C:$C,'Category Table'!AA$2,'Committments Dump'!$B:$B,'Category Table'!$A287)</f>
        <v/>
      </c>
      <c r="AB287" s="114">
        <f>SUMIFS('Committments Dump'!$S:$S,'Committments Dump'!$C:$C,'Category Table'!AB$2,'Committments Dump'!$B:$B,'Category Table'!$A287)</f>
        <v/>
      </c>
      <c r="AC287" s="114">
        <f>SUMIFS('Committments Dump'!$S:$S,'Committments Dump'!$C:$C,'Category Table'!AC$2,'Committments Dump'!$B:$B,'Category Table'!$A287)</f>
        <v/>
      </c>
      <c r="AD287" s="113">
        <f>U287+X287+AA287</f>
        <v/>
      </c>
      <c r="AE287" s="114">
        <f>V287+Y287+AB287</f>
        <v/>
      </c>
      <c r="AF287" s="114">
        <f>W287+Z287+AC287</f>
        <v/>
      </c>
      <c r="AG287" s="113">
        <f>R287+AD287</f>
        <v/>
      </c>
      <c r="AH287" s="114">
        <f>S287+AE287</f>
        <v/>
      </c>
      <c r="AI287" s="114">
        <f>T287+AF287</f>
        <v/>
      </c>
      <c r="AJ287" s="113" t="n"/>
      <c r="AK287" s="114" t="n"/>
      <c r="AL287" s="114" t="n"/>
      <c r="AM287" s="113">
        <f>(O287-AG287)+AJ287</f>
        <v/>
      </c>
      <c r="AN287" s="114">
        <f>(P287-AH287)+AK287</f>
        <v/>
      </c>
      <c r="AO287" s="114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11" t="n"/>
      <c r="D288" s="112" t="n"/>
      <c r="E288" s="112" t="n"/>
      <c r="F288" s="111" t="n"/>
      <c r="G288" s="112" t="n"/>
      <c r="H288" s="112" t="n"/>
      <c r="I288" s="111" t="n"/>
      <c r="J288" s="112" t="n"/>
      <c r="K288" s="112" t="n"/>
      <c r="L288" s="111" t="n"/>
      <c r="M288" s="112" t="n"/>
      <c r="N288" s="112" t="n"/>
      <c r="O288" s="111">
        <f>L288+I288+F288+C288</f>
        <v/>
      </c>
      <c r="P288" s="112">
        <f>M288+J288+G288+D288</f>
        <v/>
      </c>
      <c r="Q288" s="112">
        <f>N288+K288+H288+E288</f>
        <v/>
      </c>
      <c r="R288" s="111">
        <f>SUMIFS('PO Log'!$E:$E,'PO Log'!$D:$D,'Category Table'!R$2,'PO Log'!$C:$C,'Category Table'!$A288)</f>
        <v/>
      </c>
      <c r="S288" s="112">
        <f>SUMIFS('PO Log'!$E:$E,'PO Log'!$D:$D,'Category Table'!S$2,'PO Log'!$C:$C,'Category Table'!$A288)</f>
        <v/>
      </c>
      <c r="T288" s="112">
        <f>SUMIFS('PO Log'!$E:$E,'PO Log'!$D:$D,'Category Table'!T$2,'PO Log'!$C:$C,'Category Table'!$A288)</f>
        <v/>
      </c>
      <c r="U288" s="111">
        <f>SUMIFS('Committments Dump'!$Q:$Q,'Committments Dump'!$C:$C,'Category Table'!U$2,'Committments Dump'!$B:$B,'Category Table'!$A288)</f>
        <v/>
      </c>
      <c r="V288" s="112">
        <f>SUMIFS('Committments Dump'!$Q:$Q,'Committments Dump'!$C:$C,'Category Table'!V$2,'Committments Dump'!$B:$B,'Category Table'!$A288)</f>
        <v/>
      </c>
      <c r="W288" s="112">
        <f>SUMIFS('Committments Dump'!$Q:$Q,'Committments Dump'!$C:$C,'Category Table'!W$2,'Committments Dump'!$B:$B,'Category Table'!$A288)</f>
        <v/>
      </c>
      <c r="X288" s="111">
        <f>SUMIFS('Committments Dump'!$R:$R,'Committments Dump'!$C:$C,'Category Table'!X$2,'Committments Dump'!$B:$B,'Category Table'!$A288)</f>
        <v/>
      </c>
      <c r="Y288" s="112">
        <f>SUMIFS('Committments Dump'!$R:$R,'Committments Dump'!$C:$C,'Category Table'!Y$2,'Committments Dump'!$B:$B,'Category Table'!$A288)</f>
        <v/>
      </c>
      <c r="Z288" s="112">
        <f>SUMIFS('Committments Dump'!$R:$R,'Committments Dump'!$C:$C,'Category Table'!Z$2,'Committments Dump'!$B:$B,'Category Table'!$A288)</f>
        <v/>
      </c>
      <c r="AA288" s="111">
        <f>SUMIFS('Committments Dump'!$S:$S,'Committments Dump'!$C:$C,'Category Table'!AA$2,'Committments Dump'!$B:$B,'Category Table'!$A288)</f>
        <v/>
      </c>
      <c r="AB288" s="112">
        <f>SUMIFS('Committments Dump'!$S:$S,'Committments Dump'!$C:$C,'Category Table'!AB$2,'Committments Dump'!$B:$B,'Category Table'!$A288)</f>
        <v/>
      </c>
      <c r="AC288" s="112">
        <f>SUMIFS('Committments Dump'!$S:$S,'Committments Dump'!$C:$C,'Category Table'!AC$2,'Committments Dump'!$B:$B,'Category Table'!$A288)</f>
        <v/>
      </c>
      <c r="AD288" s="111">
        <f>U288+X288+AA288</f>
        <v/>
      </c>
      <c r="AE288" s="112">
        <f>V288+Y288+AB288</f>
        <v/>
      </c>
      <c r="AF288" s="112">
        <f>W288+Z288+AC288</f>
        <v/>
      </c>
      <c r="AG288" s="111">
        <f>R288+AD288</f>
        <v/>
      </c>
      <c r="AH288" s="112">
        <f>S288+AE288</f>
        <v/>
      </c>
      <c r="AI288" s="112">
        <f>T288+AF288</f>
        <v/>
      </c>
      <c r="AJ288" s="111" t="n"/>
      <c r="AK288" s="112" t="n"/>
      <c r="AL288" s="112" t="n"/>
      <c r="AM288" s="111">
        <f>(O288-AG288)+AJ288</f>
        <v/>
      </c>
      <c r="AN288" s="112">
        <f>(P288-AH288)+AK288</f>
        <v/>
      </c>
      <c r="AO288" s="112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13" t="n"/>
      <c r="D289" s="114" t="n"/>
      <c r="E289" s="114" t="n"/>
      <c r="F289" s="113" t="n"/>
      <c r="G289" s="114" t="n"/>
      <c r="H289" s="114" t="n"/>
      <c r="I289" s="113" t="n"/>
      <c r="J289" s="114" t="n"/>
      <c r="K289" s="114" t="n"/>
      <c r="L289" s="113" t="n"/>
      <c r="M289" s="114" t="n"/>
      <c r="N289" s="114" t="n"/>
      <c r="O289" s="113">
        <f>L289+I289+F289+C289</f>
        <v/>
      </c>
      <c r="P289" s="114">
        <f>M289+J289+G289+D289</f>
        <v/>
      </c>
      <c r="Q289" s="114">
        <f>N289+K289+H289+E289</f>
        <v/>
      </c>
      <c r="R289" s="113">
        <f>SUMIFS('PO Log'!$E:$E,'PO Log'!$D:$D,'Category Table'!R$2,'PO Log'!$C:$C,'Category Table'!$A289)</f>
        <v/>
      </c>
      <c r="S289" s="114">
        <f>SUMIFS('PO Log'!$E:$E,'PO Log'!$D:$D,'Category Table'!S$2,'PO Log'!$C:$C,'Category Table'!$A289)</f>
        <v/>
      </c>
      <c r="T289" s="114">
        <f>SUMIFS('PO Log'!$E:$E,'PO Log'!$D:$D,'Category Table'!T$2,'PO Log'!$C:$C,'Category Table'!$A289)</f>
        <v/>
      </c>
      <c r="U289" s="113">
        <f>SUMIFS('Committments Dump'!$Q:$Q,'Committments Dump'!$C:$C,'Category Table'!U$2,'Committments Dump'!$B:$B,'Category Table'!$A289)</f>
        <v/>
      </c>
      <c r="V289" s="114">
        <f>SUMIFS('Committments Dump'!$Q:$Q,'Committments Dump'!$C:$C,'Category Table'!V$2,'Committments Dump'!$B:$B,'Category Table'!$A289)</f>
        <v/>
      </c>
      <c r="W289" s="114">
        <f>SUMIFS('Committments Dump'!$Q:$Q,'Committments Dump'!$C:$C,'Category Table'!W$2,'Committments Dump'!$B:$B,'Category Table'!$A289)</f>
        <v/>
      </c>
      <c r="X289" s="113">
        <f>SUMIFS('Committments Dump'!$R:$R,'Committments Dump'!$C:$C,'Category Table'!X$2,'Committments Dump'!$B:$B,'Category Table'!$A289)</f>
        <v/>
      </c>
      <c r="Y289" s="114">
        <f>SUMIFS('Committments Dump'!$R:$R,'Committments Dump'!$C:$C,'Category Table'!Y$2,'Committments Dump'!$B:$B,'Category Table'!$A289)</f>
        <v/>
      </c>
      <c r="Z289" s="114">
        <f>SUMIFS('Committments Dump'!$R:$R,'Committments Dump'!$C:$C,'Category Table'!Z$2,'Committments Dump'!$B:$B,'Category Table'!$A289)</f>
        <v/>
      </c>
      <c r="AA289" s="113">
        <f>SUMIFS('Committments Dump'!$S:$S,'Committments Dump'!$C:$C,'Category Table'!AA$2,'Committments Dump'!$B:$B,'Category Table'!$A289)</f>
        <v/>
      </c>
      <c r="AB289" s="114">
        <f>SUMIFS('Committments Dump'!$S:$S,'Committments Dump'!$C:$C,'Category Table'!AB$2,'Committments Dump'!$B:$B,'Category Table'!$A289)</f>
        <v/>
      </c>
      <c r="AC289" s="114">
        <f>SUMIFS('Committments Dump'!$S:$S,'Committments Dump'!$C:$C,'Category Table'!AC$2,'Committments Dump'!$B:$B,'Category Table'!$A289)</f>
        <v/>
      </c>
      <c r="AD289" s="113">
        <f>U289+X289+AA289</f>
        <v/>
      </c>
      <c r="AE289" s="114">
        <f>V289+Y289+AB289</f>
        <v/>
      </c>
      <c r="AF289" s="114">
        <f>W289+Z289+AC289</f>
        <v/>
      </c>
      <c r="AG289" s="113">
        <f>R289+AD289</f>
        <v/>
      </c>
      <c r="AH289" s="114">
        <f>S289+AE289</f>
        <v/>
      </c>
      <c r="AI289" s="114">
        <f>T289+AF289</f>
        <v/>
      </c>
      <c r="AJ289" s="113" t="n"/>
      <c r="AK289" s="114" t="n"/>
      <c r="AL289" s="114" t="n"/>
      <c r="AM289" s="113">
        <f>(O289-AG289)+AJ289</f>
        <v/>
      </c>
      <c r="AN289" s="114">
        <f>(P289-AH289)+AK289</f>
        <v/>
      </c>
      <c r="AO289" s="114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11" t="n"/>
      <c r="D290" s="112" t="n"/>
      <c r="E290" s="112" t="n"/>
      <c r="F290" s="111" t="n"/>
      <c r="G290" s="112" t="n"/>
      <c r="H290" s="112" t="n"/>
      <c r="I290" s="111" t="n"/>
      <c r="J290" s="112" t="n"/>
      <c r="K290" s="112" t="n"/>
      <c r="L290" s="111" t="n"/>
      <c r="M290" s="112" t="n"/>
      <c r="N290" s="112" t="n"/>
      <c r="O290" s="111">
        <f>L290+I290+F290+C290</f>
        <v/>
      </c>
      <c r="P290" s="112">
        <f>M290+J290+G290+D290</f>
        <v/>
      </c>
      <c r="Q290" s="112">
        <f>N290+K290+H290+E290</f>
        <v/>
      </c>
      <c r="R290" s="111">
        <f>SUMIFS('PO Log'!$E:$E,'PO Log'!$D:$D,'Category Table'!R$2,'PO Log'!$C:$C,'Category Table'!$A290)</f>
        <v/>
      </c>
      <c r="S290" s="112">
        <f>SUMIFS('PO Log'!$E:$E,'PO Log'!$D:$D,'Category Table'!S$2,'PO Log'!$C:$C,'Category Table'!$A290)</f>
        <v/>
      </c>
      <c r="T290" s="112">
        <f>SUMIFS('PO Log'!$E:$E,'PO Log'!$D:$D,'Category Table'!T$2,'PO Log'!$C:$C,'Category Table'!$A290)</f>
        <v/>
      </c>
      <c r="U290" s="111">
        <f>SUMIFS('Committments Dump'!$Q:$Q,'Committments Dump'!$C:$C,'Category Table'!U$2,'Committments Dump'!$B:$B,'Category Table'!$A290)</f>
        <v/>
      </c>
      <c r="V290" s="112">
        <f>SUMIFS('Committments Dump'!$Q:$Q,'Committments Dump'!$C:$C,'Category Table'!V$2,'Committments Dump'!$B:$B,'Category Table'!$A290)</f>
        <v/>
      </c>
      <c r="W290" s="112">
        <f>SUMIFS('Committments Dump'!$Q:$Q,'Committments Dump'!$C:$C,'Category Table'!W$2,'Committments Dump'!$B:$B,'Category Table'!$A290)</f>
        <v/>
      </c>
      <c r="X290" s="111">
        <f>SUMIFS('Committments Dump'!$R:$R,'Committments Dump'!$C:$C,'Category Table'!X$2,'Committments Dump'!$B:$B,'Category Table'!$A290)</f>
        <v/>
      </c>
      <c r="Y290" s="112">
        <f>SUMIFS('Committments Dump'!$R:$R,'Committments Dump'!$C:$C,'Category Table'!Y$2,'Committments Dump'!$B:$B,'Category Table'!$A290)</f>
        <v/>
      </c>
      <c r="Z290" s="112">
        <f>SUMIFS('Committments Dump'!$R:$R,'Committments Dump'!$C:$C,'Category Table'!Z$2,'Committments Dump'!$B:$B,'Category Table'!$A290)</f>
        <v/>
      </c>
      <c r="AA290" s="111">
        <f>SUMIFS('Committments Dump'!$S:$S,'Committments Dump'!$C:$C,'Category Table'!AA$2,'Committments Dump'!$B:$B,'Category Table'!$A290)</f>
        <v/>
      </c>
      <c r="AB290" s="112">
        <f>SUMIFS('Committments Dump'!$S:$S,'Committments Dump'!$C:$C,'Category Table'!AB$2,'Committments Dump'!$B:$B,'Category Table'!$A290)</f>
        <v/>
      </c>
      <c r="AC290" s="112">
        <f>SUMIFS('Committments Dump'!$S:$S,'Committments Dump'!$C:$C,'Category Table'!AC$2,'Committments Dump'!$B:$B,'Category Table'!$A290)</f>
        <v/>
      </c>
      <c r="AD290" s="111">
        <f>U290+X290+AA290</f>
        <v/>
      </c>
      <c r="AE290" s="112">
        <f>V290+Y290+AB290</f>
        <v/>
      </c>
      <c r="AF290" s="112">
        <f>W290+Z290+AC290</f>
        <v/>
      </c>
      <c r="AG290" s="111">
        <f>R290+AD290</f>
        <v/>
      </c>
      <c r="AH290" s="112">
        <f>S290+AE290</f>
        <v/>
      </c>
      <c r="AI290" s="112">
        <f>T290+AF290</f>
        <v/>
      </c>
      <c r="AJ290" s="111" t="n"/>
      <c r="AK290" s="112" t="n"/>
      <c r="AL290" s="112" t="n"/>
      <c r="AM290" s="111">
        <f>(O290-AG290)+AJ290</f>
        <v/>
      </c>
      <c r="AN290" s="112">
        <f>(P290-AH290)+AK290</f>
        <v/>
      </c>
      <c r="AO290" s="112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13" t="n"/>
      <c r="D291" s="114" t="n"/>
      <c r="E291" s="114" t="n"/>
      <c r="F291" s="113" t="n"/>
      <c r="G291" s="114" t="n"/>
      <c r="H291" s="114" t="n"/>
      <c r="I291" s="113" t="n"/>
      <c r="J291" s="114" t="n"/>
      <c r="K291" s="114" t="n"/>
      <c r="L291" s="113" t="n"/>
      <c r="M291" s="114" t="n"/>
      <c r="N291" s="114" t="n"/>
      <c r="O291" s="113">
        <f>L291+I291+F291+C291</f>
        <v/>
      </c>
      <c r="P291" s="114">
        <f>M291+J291+G291+D291</f>
        <v/>
      </c>
      <c r="Q291" s="114">
        <f>N291+K291+H291+E291</f>
        <v/>
      </c>
      <c r="R291" s="113">
        <f>SUMIFS('PO Log'!$E:$E,'PO Log'!$D:$D,'Category Table'!R$2,'PO Log'!$C:$C,'Category Table'!$A291)</f>
        <v/>
      </c>
      <c r="S291" s="114">
        <f>SUMIFS('PO Log'!$E:$E,'PO Log'!$D:$D,'Category Table'!S$2,'PO Log'!$C:$C,'Category Table'!$A291)</f>
        <v/>
      </c>
      <c r="T291" s="114">
        <f>SUMIFS('PO Log'!$E:$E,'PO Log'!$D:$D,'Category Table'!T$2,'PO Log'!$C:$C,'Category Table'!$A291)</f>
        <v/>
      </c>
      <c r="U291" s="113">
        <f>SUMIFS('Committments Dump'!$Q:$Q,'Committments Dump'!$C:$C,'Category Table'!U$2,'Committments Dump'!$B:$B,'Category Table'!$A291)</f>
        <v/>
      </c>
      <c r="V291" s="114">
        <f>SUMIFS('Committments Dump'!$Q:$Q,'Committments Dump'!$C:$C,'Category Table'!V$2,'Committments Dump'!$B:$B,'Category Table'!$A291)</f>
        <v/>
      </c>
      <c r="W291" s="114">
        <f>SUMIFS('Committments Dump'!$Q:$Q,'Committments Dump'!$C:$C,'Category Table'!W$2,'Committments Dump'!$B:$B,'Category Table'!$A291)</f>
        <v/>
      </c>
      <c r="X291" s="113">
        <f>SUMIFS('Committments Dump'!$R:$R,'Committments Dump'!$C:$C,'Category Table'!X$2,'Committments Dump'!$B:$B,'Category Table'!$A291)</f>
        <v/>
      </c>
      <c r="Y291" s="114">
        <f>SUMIFS('Committments Dump'!$R:$R,'Committments Dump'!$C:$C,'Category Table'!Y$2,'Committments Dump'!$B:$B,'Category Table'!$A291)</f>
        <v/>
      </c>
      <c r="Z291" s="114">
        <f>SUMIFS('Committments Dump'!$R:$R,'Committments Dump'!$C:$C,'Category Table'!Z$2,'Committments Dump'!$B:$B,'Category Table'!$A291)</f>
        <v/>
      </c>
      <c r="AA291" s="113">
        <f>SUMIFS('Committments Dump'!$S:$S,'Committments Dump'!$C:$C,'Category Table'!AA$2,'Committments Dump'!$B:$B,'Category Table'!$A291)</f>
        <v/>
      </c>
      <c r="AB291" s="114">
        <f>SUMIFS('Committments Dump'!$S:$S,'Committments Dump'!$C:$C,'Category Table'!AB$2,'Committments Dump'!$B:$B,'Category Table'!$A291)</f>
        <v/>
      </c>
      <c r="AC291" s="114">
        <f>SUMIFS('Committments Dump'!$S:$S,'Committments Dump'!$C:$C,'Category Table'!AC$2,'Committments Dump'!$B:$B,'Category Table'!$A291)</f>
        <v/>
      </c>
      <c r="AD291" s="113">
        <f>U291+X291+AA291</f>
        <v/>
      </c>
      <c r="AE291" s="114">
        <f>V291+Y291+AB291</f>
        <v/>
      </c>
      <c r="AF291" s="114">
        <f>W291+Z291+AC291</f>
        <v/>
      </c>
      <c r="AG291" s="113">
        <f>R291+AD291</f>
        <v/>
      </c>
      <c r="AH291" s="114">
        <f>S291+AE291</f>
        <v/>
      </c>
      <c r="AI291" s="114">
        <f>T291+AF291</f>
        <v/>
      </c>
      <c r="AJ291" s="113" t="n"/>
      <c r="AK291" s="114" t="n"/>
      <c r="AL291" s="114" t="n"/>
      <c r="AM291" s="113">
        <f>(O291-AG291)+AJ291</f>
        <v/>
      </c>
      <c r="AN291" s="114">
        <f>(P291-AH291)+AK291</f>
        <v/>
      </c>
      <c r="AO291" s="114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11" t="n"/>
      <c r="D292" s="112" t="n"/>
      <c r="E292" s="112" t="n"/>
      <c r="F292" s="111" t="n"/>
      <c r="G292" s="112" t="n"/>
      <c r="H292" s="112" t="n"/>
      <c r="I292" s="111" t="n"/>
      <c r="J292" s="112" t="n"/>
      <c r="K292" s="112" t="n"/>
      <c r="L292" s="111" t="n"/>
      <c r="M292" s="112" t="n"/>
      <c r="N292" s="112" t="n"/>
      <c r="O292" s="111">
        <f>L292+I292+F292+C292</f>
        <v/>
      </c>
      <c r="P292" s="112">
        <f>M292+J292+G292+D292</f>
        <v/>
      </c>
      <c r="Q292" s="112">
        <f>N292+K292+H292+E292</f>
        <v/>
      </c>
      <c r="R292" s="111">
        <f>SUMIFS('PO Log'!$E:$E,'PO Log'!$D:$D,'Category Table'!R$2,'PO Log'!$C:$C,'Category Table'!$A292)</f>
        <v/>
      </c>
      <c r="S292" s="112">
        <f>SUMIFS('PO Log'!$E:$E,'PO Log'!$D:$D,'Category Table'!S$2,'PO Log'!$C:$C,'Category Table'!$A292)</f>
        <v/>
      </c>
      <c r="T292" s="112">
        <f>SUMIFS('PO Log'!$E:$E,'PO Log'!$D:$D,'Category Table'!T$2,'PO Log'!$C:$C,'Category Table'!$A292)</f>
        <v/>
      </c>
      <c r="U292" s="111">
        <f>SUMIFS('Committments Dump'!$Q:$Q,'Committments Dump'!$C:$C,'Category Table'!U$2,'Committments Dump'!$B:$B,'Category Table'!$A292)</f>
        <v/>
      </c>
      <c r="V292" s="112">
        <f>SUMIFS('Committments Dump'!$Q:$Q,'Committments Dump'!$C:$C,'Category Table'!V$2,'Committments Dump'!$B:$B,'Category Table'!$A292)</f>
        <v/>
      </c>
      <c r="W292" s="112">
        <f>SUMIFS('Committments Dump'!$Q:$Q,'Committments Dump'!$C:$C,'Category Table'!W$2,'Committments Dump'!$B:$B,'Category Table'!$A292)</f>
        <v/>
      </c>
      <c r="X292" s="111">
        <f>SUMIFS('Committments Dump'!$R:$R,'Committments Dump'!$C:$C,'Category Table'!X$2,'Committments Dump'!$B:$B,'Category Table'!$A292)</f>
        <v/>
      </c>
      <c r="Y292" s="112">
        <f>SUMIFS('Committments Dump'!$R:$R,'Committments Dump'!$C:$C,'Category Table'!Y$2,'Committments Dump'!$B:$B,'Category Table'!$A292)</f>
        <v/>
      </c>
      <c r="Z292" s="112">
        <f>SUMIFS('Committments Dump'!$R:$R,'Committments Dump'!$C:$C,'Category Table'!Z$2,'Committments Dump'!$B:$B,'Category Table'!$A292)</f>
        <v/>
      </c>
      <c r="AA292" s="111">
        <f>SUMIFS('Committments Dump'!$S:$S,'Committments Dump'!$C:$C,'Category Table'!AA$2,'Committments Dump'!$B:$B,'Category Table'!$A292)</f>
        <v/>
      </c>
      <c r="AB292" s="112">
        <f>SUMIFS('Committments Dump'!$S:$S,'Committments Dump'!$C:$C,'Category Table'!AB$2,'Committments Dump'!$B:$B,'Category Table'!$A292)</f>
        <v/>
      </c>
      <c r="AC292" s="112">
        <f>SUMIFS('Committments Dump'!$S:$S,'Committments Dump'!$C:$C,'Category Table'!AC$2,'Committments Dump'!$B:$B,'Category Table'!$A292)</f>
        <v/>
      </c>
      <c r="AD292" s="111">
        <f>U292+X292+AA292</f>
        <v/>
      </c>
      <c r="AE292" s="112">
        <f>V292+Y292+AB292</f>
        <v/>
      </c>
      <c r="AF292" s="112">
        <f>W292+Z292+AC292</f>
        <v/>
      </c>
      <c r="AG292" s="111">
        <f>R292+AD292</f>
        <v/>
      </c>
      <c r="AH292" s="112">
        <f>S292+AE292</f>
        <v/>
      </c>
      <c r="AI292" s="112">
        <f>T292+AF292</f>
        <v/>
      </c>
      <c r="AJ292" s="111" t="n"/>
      <c r="AK292" s="112" t="n"/>
      <c r="AL292" s="112" t="n"/>
      <c r="AM292" s="111">
        <f>(O292-AG292)+AJ292</f>
        <v/>
      </c>
      <c r="AN292" s="112">
        <f>(P292-AH292)+AK292</f>
        <v/>
      </c>
      <c r="AO292" s="112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13" t="n"/>
      <c r="D293" s="114" t="n"/>
      <c r="E293" s="114" t="n"/>
      <c r="F293" s="113" t="n"/>
      <c r="G293" s="114" t="n"/>
      <c r="H293" s="114" t="n"/>
      <c r="I293" s="113" t="n"/>
      <c r="J293" s="114" t="n"/>
      <c r="K293" s="114" t="n"/>
      <c r="L293" s="113" t="n"/>
      <c r="M293" s="114" t="n"/>
      <c r="N293" s="114" t="n"/>
      <c r="O293" s="113">
        <f>L293+I293+F293+C293</f>
        <v/>
      </c>
      <c r="P293" s="114">
        <f>M293+J293+G293+D293</f>
        <v/>
      </c>
      <c r="Q293" s="114">
        <f>N293+K293+H293+E293</f>
        <v/>
      </c>
      <c r="R293" s="113">
        <f>SUMIFS('PO Log'!$E:$E,'PO Log'!$D:$D,'Category Table'!R$2,'PO Log'!$C:$C,'Category Table'!$A293)</f>
        <v/>
      </c>
      <c r="S293" s="114">
        <f>SUMIFS('PO Log'!$E:$E,'PO Log'!$D:$D,'Category Table'!S$2,'PO Log'!$C:$C,'Category Table'!$A293)</f>
        <v/>
      </c>
      <c r="T293" s="114">
        <f>SUMIFS('PO Log'!$E:$E,'PO Log'!$D:$D,'Category Table'!T$2,'PO Log'!$C:$C,'Category Table'!$A293)</f>
        <v/>
      </c>
      <c r="U293" s="113">
        <f>SUMIFS('Committments Dump'!$Q:$Q,'Committments Dump'!$C:$C,'Category Table'!U$2,'Committments Dump'!$B:$B,'Category Table'!$A293)</f>
        <v/>
      </c>
      <c r="V293" s="114">
        <f>SUMIFS('Committments Dump'!$Q:$Q,'Committments Dump'!$C:$C,'Category Table'!V$2,'Committments Dump'!$B:$B,'Category Table'!$A293)</f>
        <v/>
      </c>
      <c r="W293" s="114">
        <f>SUMIFS('Committments Dump'!$Q:$Q,'Committments Dump'!$C:$C,'Category Table'!W$2,'Committments Dump'!$B:$B,'Category Table'!$A293)</f>
        <v/>
      </c>
      <c r="X293" s="113">
        <f>SUMIFS('Committments Dump'!$R:$R,'Committments Dump'!$C:$C,'Category Table'!X$2,'Committments Dump'!$B:$B,'Category Table'!$A293)</f>
        <v/>
      </c>
      <c r="Y293" s="114">
        <f>SUMIFS('Committments Dump'!$R:$R,'Committments Dump'!$C:$C,'Category Table'!Y$2,'Committments Dump'!$B:$B,'Category Table'!$A293)</f>
        <v/>
      </c>
      <c r="Z293" s="114">
        <f>SUMIFS('Committments Dump'!$R:$R,'Committments Dump'!$C:$C,'Category Table'!Z$2,'Committments Dump'!$B:$B,'Category Table'!$A293)</f>
        <v/>
      </c>
      <c r="AA293" s="113">
        <f>SUMIFS('Committments Dump'!$S:$S,'Committments Dump'!$C:$C,'Category Table'!AA$2,'Committments Dump'!$B:$B,'Category Table'!$A293)</f>
        <v/>
      </c>
      <c r="AB293" s="114">
        <f>SUMIFS('Committments Dump'!$S:$S,'Committments Dump'!$C:$C,'Category Table'!AB$2,'Committments Dump'!$B:$B,'Category Table'!$A293)</f>
        <v/>
      </c>
      <c r="AC293" s="114">
        <f>SUMIFS('Committments Dump'!$S:$S,'Committments Dump'!$C:$C,'Category Table'!AC$2,'Committments Dump'!$B:$B,'Category Table'!$A293)</f>
        <v/>
      </c>
      <c r="AD293" s="113">
        <f>U293+X293+AA293</f>
        <v/>
      </c>
      <c r="AE293" s="114">
        <f>V293+Y293+AB293</f>
        <v/>
      </c>
      <c r="AF293" s="114">
        <f>W293+Z293+AC293</f>
        <v/>
      </c>
      <c r="AG293" s="113">
        <f>R293+AD293</f>
        <v/>
      </c>
      <c r="AH293" s="114">
        <f>S293+AE293</f>
        <v/>
      </c>
      <c r="AI293" s="114">
        <f>T293+AF293</f>
        <v/>
      </c>
      <c r="AJ293" s="113" t="n"/>
      <c r="AK293" s="114" t="n"/>
      <c r="AL293" s="114" t="n"/>
      <c r="AM293" s="113">
        <f>(O293-AG293)+AJ293</f>
        <v/>
      </c>
      <c r="AN293" s="114">
        <f>(P293-AH293)+AK293</f>
        <v/>
      </c>
      <c r="AO293" s="114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11" t="n"/>
      <c r="D294" s="112" t="n"/>
      <c r="E294" s="112" t="n"/>
      <c r="F294" s="111" t="n"/>
      <c r="G294" s="112" t="n"/>
      <c r="H294" s="112" t="n"/>
      <c r="I294" s="111" t="n"/>
      <c r="J294" s="112" t="n"/>
      <c r="K294" s="112" t="n"/>
      <c r="L294" s="111" t="n"/>
      <c r="M294" s="112" t="n"/>
      <c r="N294" s="112" t="n"/>
      <c r="O294" s="111">
        <f>L294+I294+F294+C294</f>
        <v/>
      </c>
      <c r="P294" s="112">
        <f>M294+J294+G294+D294</f>
        <v/>
      </c>
      <c r="Q294" s="112">
        <f>N294+K294+H294+E294</f>
        <v/>
      </c>
      <c r="R294" s="111">
        <f>SUMIFS('PO Log'!$E:$E,'PO Log'!$D:$D,'Category Table'!R$2,'PO Log'!$C:$C,'Category Table'!$A294)</f>
        <v/>
      </c>
      <c r="S294" s="112">
        <f>SUMIFS('PO Log'!$E:$E,'PO Log'!$D:$D,'Category Table'!S$2,'PO Log'!$C:$C,'Category Table'!$A294)</f>
        <v/>
      </c>
      <c r="T294" s="112">
        <f>SUMIFS('PO Log'!$E:$E,'PO Log'!$D:$D,'Category Table'!T$2,'PO Log'!$C:$C,'Category Table'!$A294)</f>
        <v/>
      </c>
      <c r="U294" s="111">
        <f>SUMIFS('Committments Dump'!$Q:$Q,'Committments Dump'!$C:$C,'Category Table'!U$2,'Committments Dump'!$B:$B,'Category Table'!$A294)</f>
        <v/>
      </c>
      <c r="V294" s="112">
        <f>SUMIFS('Committments Dump'!$Q:$Q,'Committments Dump'!$C:$C,'Category Table'!V$2,'Committments Dump'!$B:$B,'Category Table'!$A294)</f>
        <v/>
      </c>
      <c r="W294" s="112">
        <f>SUMIFS('Committments Dump'!$Q:$Q,'Committments Dump'!$C:$C,'Category Table'!W$2,'Committments Dump'!$B:$B,'Category Table'!$A294)</f>
        <v/>
      </c>
      <c r="X294" s="111">
        <f>SUMIFS('Committments Dump'!$R:$R,'Committments Dump'!$C:$C,'Category Table'!X$2,'Committments Dump'!$B:$B,'Category Table'!$A294)</f>
        <v/>
      </c>
      <c r="Y294" s="112">
        <f>SUMIFS('Committments Dump'!$R:$R,'Committments Dump'!$C:$C,'Category Table'!Y$2,'Committments Dump'!$B:$B,'Category Table'!$A294)</f>
        <v/>
      </c>
      <c r="Z294" s="112">
        <f>SUMIFS('Committments Dump'!$R:$R,'Committments Dump'!$C:$C,'Category Table'!Z$2,'Committments Dump'!$B:$B,'Category Table'!$A294)</f>
        <v/>
      </c>
      <c r="AA294" s="111">
        <f>SUMIFS('Committments Dump'!$S:$S,'Committments Dump'!$C:$C,'Category Table'!AA$2,'Committments Dump'!$B:$B,'Category Table'!$A294)</f>
        <v/>
      </c>
      <c r="AB294" s="112">
        <f>SUMIFS('Committments Dump'!$S:$S,'Committments Dump'!$C:$C,'Category Table'!AB$2,'Committments Dump'!$B:$B,'Category Table'!$A294)</f>
        <v/>
      </c>
      <c r="AC294" s="112">
        <f>SUMIFS('Committments Dump'!$S:$S,'Committments Dump'!$C:$C,'Category Table'!AC$2,'Committments Dump'!$B:$B,'Category Table'!$A294)</f>
        <v/>
      </c>
      <c r="AD294" s="111">
        <f>U294+X294+AA294</f>
        <v/>
      </c>
      <c r="AE294" s="112">
        <f>V294+Y294+AB294</f>
        <v/>
      </c>
      <c r="AF294" s="112">
        <f>W294+Z294+AC294</f>
        <v/>
      </c>
      <c r="AG294" s="111">
        <f>R294+AD294</f>
        <v/>
      </c>
      <c r="AH294" s="112">
        <f>S294+AE294</f>
        <v/>
      </c>
      <c r="AI294" s="112">
        <f>T294+AF294</f>
        <v/>
      </c>
      <c r="AJ294" s="111" t="n"/>
      <c r="AK294" s="112" t="n"/>
      <c r="AL294" s="112" t="n"/>
      <c r="AM294" s="111">
        <f>(O294-AG294)+AJ294</f>
        <v/>
      </c>
      <c r="AN294" s="112">
        <f>(P294-AH294)+AK294</f>
        <v/>
      </c>
      <c r="AO294" s="112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13" t="n"/>
      <c r="D295" s="114" t="n"/>
      <c r="E295" s="114" t="n"/>
      <c r="F295" s="113" t="n"/>
      <c r="G295" s="114" t="n"/>
      <c r="H295" s="114" t="n"/>
      <c r="I295" s="113" t="n"/>
      <c r="J295" s="114" t="n"/>
      <c r="K295" s="114" t="n"/>
      <c r="L295" s="113" t="n"/>
      <c r="M295" s="114" t="n"/>
      <c r="N295" s="114" t="n"/>
      <c r="O295" s="113">
        <f>L295+I295+F295+C295</f>
        <v/>
      </c>
      <c r="P295" s="114">
        <f>M295+J295+G295+D295</f>
        <v/>
      </c>
      <c r="Q295" s="114">
        <f>N295+K295+H295+E295</f>
        <v/>
      </c>
      <c r="R295" s="113">
        <f>SUMIFS('PO Log'!$E:$E,'PO Log'!$D:$D,'Category Table'!R$2,'PO Log'!$C:$C,'Category Table'!$A295)</f>
        <v/>
      </c>
      <c r="S295" s="114">
        <f>SUMIFS('PO Log'!$E:$E,'PO Log'!$D:$D,'Category Table'!S$2,'PO Log'!$C:$C,'Category Table'!$A295)</f>
        <v/>
      </c>
      <c r="T295" s="114">
        <f>SUMIFS('PO Log'!$E:$E,'PO Log'!$D:$D,'Category Table'!T$2,'PO Log'!$C:$C,'Category Table'!$A295)</f>
        <v/>
      </c>
      <c r="U295" s="113">
        <f>SUMIFS('Committments Dump'!$Q:$Q,'Committments Dump'!$C:$C,'Category Table'!U$2,'Committments Dump'!$B:$B,'Category Table'!$A295)</f>
        <v/>
      </c>
      <c r="V295" s="114">
        <f>SUMIFS('Committments Dump'!$Q:$Q,'Committments Dump'!$C:$C,'Category Table'!V$2,'Committments Dump'!$B:$B,'Category Table'!$A295)</f>
        <v/>
      </c>
      <c r="W295" s="114">
        <f>SUMIFS('Committments Dump'!$Q:$Q,'Committments Dump'!$C:$C,'Category Table'!W$2,'Committments Dump'!$B:$B,'Category Table'!$A295)</f>
        <v/>
      </c>
      <c r="X295" s="113">
        <f>SUMIFS('Committments Dump'!$R:$R,'Committments Dump'!$C:$C,'Category Table'!X$2,'Committments Dump'!$B:$B,'Category Table'!$A295)</f>
        <v/>
      </c>
      <c r="Y295" s="114">
        <f>SUMIFS('Committments Dump'!$R:$R,'Committments Dump'!$C:$C,'Category Table'!Y$2,'Committments Dump'!$B:$B,'Category Table'!$A295)</f>
        <v/>
      </c>
      <c r="Z295" s="114">
        <f>SUMIFS('Committments Dump'!$R:$R,'Committments Dump'!$C:$C,'Category Table'!Z$2,'Committments Dump'!$B:$B,'Category Table'!$A295)</f>
        <v/>
      </c>
      <c r="AA295" s="113">
        <f>SUMIFS('Committments Dump'!$S:$S,'Committments Dump'!$C:$C,'Category Table'!AA$2,'Committments Dump'!$B:$B,'Category Table'!$A295)</f>
        <v/>
      </c>
      <c r="AB295" s="114">
        <f>SUMIFS('Committments Dump'!$S:$S,'Committments Dump'!$C:$C,'Category Table'!AB$2,'Committments Dump'!$B:$B,'Category Table'!$A295)</f>
        <v/>
      </c>
      <c r="AC295" s="114">
        <f>SUMIFS('Committments Dump'!$S:$S,'Committments Dump'!$C:$C,'Category Table'!AC$2,'Committments Dump'!$B:$B,'Category Table'!$A295)</f>
        <v/>
      </c>
      <c r="AD295" s="113">
        <f>U295+X295+AA295</f>
        <v/>
      </c>
      <c r="AE295" s="114">
        <f>V295+Y295+AB295</f>
        <v/>
      </c>
      <c r="AF295" s="114">
        <f>W295+Z295+AC295</f>
        <v/>
      </c>
      <c r="AG295" s="113">
        <f>R295+AD295</f>
        <v/>
      </c>
      <c r="AH295" s="114">
        <f>S295+AE295</f>
        <v/>
      </c>
      <c r="AI295" s="114">
        <f>T295+AF295</f>
        <v/>
      </c>
      <c r="AJ295" s="113" t="n"/>
      <c r="AK295" s="114" t="n"/>
      <c r="AL295" s="114" t="n"/>
      <c r="AM295" s="113">
        <f>(O295-AG295)+AJ295</f>
        <v/>
      </c>
      <c r="AN295" s="114">
        <f>(P295-AH295)+AK295</f>
        <v/>
      </c>
      <c r="AO295" s="114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11" t="n"/>
      <c r="D296" s="112" t="n"/>
      <c r="E296" s="112" t="n"/>
      <c r="F296" s="111" t="n"/>
      <c r="G296" s="112" t="n"/>
      <c r="H296" s="112" t="n"/>
      <c r="I296" s="111" t="n"/>
      <c r="J296" s="112" t="n"/>
      <c r="K296" s="112" t="n"/>
      <c r="L296" s="111" t="n"/>
      <c r="M296" s="112" t="n"/>
      <c r="N296" s="112" t="n"/>
      <c r="O296" s="111">
        <f>L296+I296+F296+C296</f>
        <v/>
      </c>
      <c r="P296" s="112">
        <f>M296+J296+G296+D296</f>
        <v/>
      </c>
      <c r="Q296" s="112">
        <f>N296+K296+H296+E296</f>
        <v/>
      </c>
      <c r="R296" s="111">
        <f>SUMIFS('PO Log'!$E:$E,'PO Log'!$D:$D,'Category Table'!R$2,'PO Log'!$C:$C,'Category Table'!$A296)</f>
        <v/>
      </c>
      <c r="S296" s="112">
        <f>SUMIFS('PO Log'!$E:$E,'PO Log'!$D:$D,'Category Table'!S$2,'PO Log'!$C:$C,'Category Table'!$A296)</f>
        <v/>
      </c>
      <c r="T296" s="112">
        <f>SUMIFS('PO Log'!$E:$E,'PO Log'!$D:$D,'Category Table'!T$2,'PO Log'!$C:$C,'Category Table'!$A296)</f>
        <v/>
      </c>
      <c r="U296" s="111">
        <f>SUMIFS('Committments Dump'!$Q:$Q,'Committments Dump'!$C:$C,'Category Table'!U$2,'Committments Dump'!$B:$B,'Category Table'!$A296)</f>
        <v/>
      </c>
      <c r="V296" s="112">
        <f>SUMIFS('Committments Dump'!$Q:$Q,'Committments Dump'!$C:$C,'Category Table'!V$2,'Committments Dump'!$B:$B,'Category Table'!$A296)</f>
        <v/>
      </c>
      <c r="W296" s="112">
        <f>SUMIFS('Committments Dump'!$Q:$Q,'Committments Dump'!$C:$C,'Category Table'!W$2,'Committments Dump'!$B:$B,'Category Table'!$A296)</f>
        <v/>
      </c>
      <c r="X296" s="111">
        <f>SUMIFS('Committments Dump'!$R:$R,'Committments Dump'!$C:$C,'Category Table'!X$2,'Committments Dump'!$B:$B,'Category Table'!$A296)</f>
        <v/>
      </c>
      <c r="Y296" s="112">
        <f>SUMIFS('Committments Dump'!$R:$R,'Committments Dump'!$C:$C,'Category Table'!Y$2,'Committments Dump'!$B:$B,'Category Table'!$A296)</f>
        <v/>
      </c>
      <c r="Z296" s="112">
        <f>SUMIFS('Committments Dump'!$R:$R,'Committments Dump'!$C:$C,'Category Table'!Z$2,'Committments Dump'!$B:$B,'Category Table'!$A296)</f>
        <v/>
      </c>
      <c r="AA296" s="111">
        <f>SUMIFS('Committments Dump'!$S:$S,'Committments Dump'!$C:$C,'Category Table'!AA$2,'Committments Dump'!$B:$B,'Category Table'!$A296)</f>
        <v/>
      </c>
      <c r="AB296" s="112">
        <f>SUMIFS('Committments Dump'!$S:$S,'Committments Dump'!$C:$C,'Category Table'!AB$2,'Committments Dump'!$B:$B,'Category Table'!$A296)</f>
        <v/>
      </c>
      <c r="AC296" s="112">
        <f>SUMIFS('Committments Dump'!$S:$S,'Committments Dump'!$C:$C,'Category Table'!AC$2,'Committments Dump'!$B:$B,'Category Table'!$A296)</f>
        <v/>
      </c>
      <c r="AD296" s="111">
        <f>U296+X296+AA296</f>
        <v/>
      </c>
      <c r="AE296" s="112">
        <f>V296+Y296+AB296</f>
        <v/>
      </c>
      <c r="AF296" s="112">
        <f>W296+Z296+AC296</f>
        <v/>
      </c>
      <c r="AG296" s="111">
        <f>R296+AD296</f>
        <v/>
      </c>
      <c r="AH296" s="112">
        <f>S296+AE296</f>
        <v/>
      </c>
      <c r="AI296" s="112">
        <f>T296+AF296</f>
        <v/>
      </c>
      <c r="AJ296" s="111" t="n"/>
      <c r="AK296" s="112" t="n"/>
      <c r="AL296" s="112" t="n"/>
      <c r="AM296" s="111">
        <f>(O296-AG296)+AJ296</f>
        <v/>
      </c>
      <c r="AN296" s="112">
        <f>(P296-AH296)+AK296</f>
        <v/>
      </c>
      <c r="AO296" s="112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13" t="n"/>
      <c r="D297" s="114" t="n"/>
      <c r="E297" s="114" t="n"/>
      <c r="F297" s="113" t="n"/>
      <c r="G297" s="114" t="n"/>
      <c r="H297" s="114" t="n"/>
      <c r="I297" s="113" t="n"/>
      <c r="J297" s="114" t="n"/>
      <c r="K297" s="114" t="n"/>
      <c r="L297" s="113" t="n"/>
      <c r="M297" s="114" t="n"/>
      <c r="N297" s="114" t="n"/>
      <c r="O297" s="113">
        <f>L297+I297+F297+C297</f>
        <v/>
      </c>
      <c r="P297" s="114">
        <f>M297+J297+G297+D297</f>
        <v/>
      </c>
      <c r="Q297" s="114">
        <f>N297+K297+H297+E297</f>
        <v/>
      </c>
      <c r="R297" s="113">
        <f>SUMIFS('PO Log'!$E:$E,'PO Log'!$D:$D,'Category Table'!R$2,'PO Log'!$C:$C,'Category Table'!$A297)</f>
        <v/>
      </c>
      <c r="S297" s="114">
        <f>SUMIFS('PO Log'!$E:$E,'PO Log'!$D:$D,'Category Table'!S$2,'PO Log'!$C:$C,'Category Table'!$A297)</f>
        <v/>
      </c>
      <c r="T297" s="114">
        <f>SUMIFS('PO Log'!$E:$E,'PO Log'!$D:$D,'Category Table'!T$2,'PO Log'!$C:$C,'Category Table'!$A297)</f>
        <v/>
      </c>
      <c r="U297" s="113">
        <f>SUMIFS('Committments Dump'!$Q:$Q,'Committments Dump'!$C:$C,'Category Table'!U$2,'Committments Dump'!$B:$B,'Category Table'!$A297)</f>
        <v/>
      </c>
      <c r="V297" s="114">
        <f>SUMIFS('Committments Dump'!$Q:$Q,'Committments Dump'!$C:$C,'Category Table'!V$2,'Committments Dump'!$B:$B,'Category Table'!$A297)</f>
        <v/>
      </c>
      <c r="W297" s="114">
        <f>SUMIFS('Committments Dump'!$Q:$Q,'Committments Dump'!$C:$C,'Category Table'!W$2,'Committments Dump'!$B:$B,'Category Table'!$A297)</f>
        <v/>
      </c>
      <c r="X297" s="113">
        <f>SUMIFS('Committments Dump'!$R:$R,'Committments Dump'!$C:$C,'Category Table'!X$2,'Committments Dump'!$B:$B,'Category Table'!$A297)</f>
        <v/>
      </c>
      <c r="Y297" s="114">
        <f>SUMIFS('Committments Dump'!$R:$R,'Committments Dump'!$C:$C,'Category Table'!Y$2,'Committments Dump'!$B:$B,'Category Table'!$A297)</f>
        <v/>
      </c>
      <c r="Z297" s="114">
        <f>SUMIFS('Committments Dump'!$R:$R,'Committments Dump'!$C:$C,'Category Table'!Z$2,'Committments Dump'!$B:$B,'Category Table'!$A297)</f>
        <v/>
      </c>
      <c r="AA297" s="113">
        <f>SUMIFS('Committments Dump'!$S:$S,'Committments Dump'!$C:$C,'Category Table'!AA$2,'Committments Dump'!$B:$B,'Category Table'!$A297)</f>
        <v/>
      </c>
      <c r="AB297" s="114">
        <f>SUMIFS('Committments Dump'!$S:$S,'Committments Dump'!$C:$C,'Category Table'!AB$2,'Committments Dump'!$B:$B,'Category Table'!$A297)</f>
        <v/>
      </c>
      <c r="AC297" s="114">
        <f>SUMIFS('Committments Dump'!$S:$S,'Committments Dump'!$C:$C,'Category Table'!AC$2,'Committments Dump'!$B:$B,'Category Table'!$A297)</f>
        <v/>
      </c>
      <c r="AD297" s="113">
        <f>U297+X297+AA297</f>
        <v/>
      </c>
      <c r="AE297" s="114">
        <f>V297+Y297+AB297</f>
        <v/>
      </c>
      <c r="AF297" s="114">
        <f>W297+Z297+AC297</f>
        <v/>
      </c>
      <c r="AG297" s="113">
        <f>R297+AD297</f>
        <v/>
      </c>
      <c r="AH297" s="114">
        <f>S297+AE297</f>
        <v/>
      </c>
      <c r="AI297" s="114">
        <f>T297+AF297</f>
        <v/>
      </c>
      <c r="AJ297" s="113" t="n"/>
      <c r="AK297" s="114" t="n"/>
      <c r="AL297" s="114" t="n"/>
      <c r="AM297" s="113">
        <f>(O297-AG297)+AJ297</f>
        <v/>
      </c>
      <c r="AN297" s="114">
        <f>(P297-AH297)+AK297</f>
        <v/>
      </c>
      <c r="AO297" s="114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11" t="n"/>
      <c r="D298" s="112" t="n"/>
      <c r="E298" s="112" t="n"/>
      <c r="F298" s="111" t="n"/>
      <c r="G298" s="112" t="n"/>
      <c r="H298" s="112" t="n"/>
      <c r="I298" s="111" t="n"/>
      <c r="J298" s="112" t="n"/>
      <c r="K298" s="112" t="n"/>
      <c r="L298" s="111" t="n"/>
      <c r="M298" s="112" t="n"/>
      <c r="N298" s="112" t="n"/>
      <c r="O298" s="111">
        <f>L298+I298+F298+C298</f>
        <v/>
      </c>
      <c r="P298" s="112">
        <f>M298+J298+G298+D298</f>
        <v/>
      </c>
      <c r="Q298" s="112">
        <f>N298+K298+H298+E298</f>
        <v/>
      </c>
      <c r="R298" s="111">
        <f>SUMIFS('PO Log'!$E:$E,'PO Log'!$D:$D,'Category Table'!R$2,'PO Log'!$C:$C,'Category Table'!$A298)</f>
        <v/>
      </c>
      <c r="S298" s="112">
        <f>SUMIFS('PO Log'!$E:$E,'PO Log'!$D:$D,'Category Table'!S$2,'PO Log'!$C:$C,'Category Table'!$A298)</f>
        <v/>
      </c>
      <c r="T298" s="112">
        <f>SUMIFS('PO Log'!$E:$E,'PO Log'!$D:$D,'Category Table'!T$2,'PO Log'!$C:$C,'Category Table'!$A298)</f>
        <v/>
      </c>
      <c r="U298" s="111">
        <f>SUMIFS('Committments Dump'!$Q:$Q,'Committments Dump'!$C:$C,'Category Table'!U$2,'Committments Dump'!$B:$B,'Category Table'!$A298)</f>
        <v/>
      </c>
      <c r="V298" s="112">
        <f>SUMIFS('Committments Dump'!$Q:$Q,'Committments Dump'!$C:$C,'Category Table'!V$2,'Committments Dump'!$B:$B,'Category Table'!$A298)</f>
        <v/>
      </c>
      <c r="W298" s="112">
        <f>SUMIFS('Committments Dump'!$Q:$Q,'Committments Dump'!$C:$C,'Category Table'!W$2,'Committments Dump'!$B:$B,'Category Table'!$A298)</f>
        <v/>
      </c>
      <c r="X298" s="111">
        <f>SUMIFS('Committments Dump'!$R:$R,'Committments Dump'!$C:$C,'Category Table'!X$2,'Committments Dump'!$B:$B,'Category Table'!$A298)</f>
        <v/>
      </c>
      <c r="Y298" s="112">
        <f>SUMIFS('Committments Dump'!$R:$R,'Committments Dump'!$C:$C,'Category Table'!Y$2,'Committments Dump'!$B:$B,'Category Table'!$A298)</f>
        <v/>
      </c>
      <c r="Z298" s="112">
        <f>SUMIFS('Committments Dump'!$R:$R,'Committments Dump'!$C:$C,'Category Table'!Z$2,'Committments Dump'!$B:$B,'Category Table'!$A298)</f>
        <v/>
      </c>
      <c r="AA298" s="111">
        <f>SUMIFS('Committments Dump'!$S:$S,'Committments Dump'!$C:$C,'Category Table'!AA$2,'Committments Dump'!$B:$B,'Category Table'!$A298)</f>
        <v/>
      </c>
      <c r="AB298" s="112">
        <f>SUMIFS('Committments Dump'!$S:$S,'Committments Dump'!$C:$C,'Category Table'!AB$2,'Committments Dump'!$B:$B,'Category Table'!$A298)</f>
        <v/>
      </c>
      <c r="AC298" s="112">
        <f>SUMIFS('Committments Dump'!$S:$S,'Committments Dump'!$C:$C,'Category Table'!AC$2,'Committments Dump'!$B:$B,'Category Table'!$A298)</f>
        <v/>
      </c>
      <c r="AD298" s="111">
        <f>U298+X298+AA298</f>
        <v/>
      </c>
      <c r="AE298" s="112">
        <f>V298+Y298+AB298</f>
        <v/>
      </c>
      <c r="AF298" s="112">
        <f>W298+Z298+AC298</f>
        <v/>
      </c>
      <c r="AG298" s="111">
        <f>R298+AD298</f>
        <v/>
      </c>
      <c r="AH298" s="112">
        <f>S298+AE298</f>
        <v/>
      </c>
      <c r="AI298" s="112">
        <f>T298+AF298</f>
        <v/>
      </c>
      <c r="AJ298" s="111" t="n"/>
      <c r="AK298" s="112" t="n"/>
      <c r="AL298" s="112" t="n"/>
      <c r="AM298" s="111">
        <f>(O298-AG298)+AJ298</f>
        <v/>
      </c>
      <c r="AN298" s="112">
        <f>(P298-AH298)+AK298</f>
        <v/>
      </c>
      <c r="AO298" s="112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13" t="n"/>
      <c r="D299" s="114" t="n"/>
      <c r="E299" s="114" t="n"/>
      <c r="F299" s="113" t="n"/>
      <c r="G299" s="114" t="n"/>
      <c r="H299" s="114" t="n"/>
      <c r="I299" s="113" t="n"/>
      <c r="J299" s="114" t="n"/>
      <c r="K299" s="114" t="n"/>
      <c r="L299" s="113" t="n"/>
      <c r="M299" s="114" t="n"/>
      <c r="N299" s="114" t="n"/>
      <c r="O299" s="113">
        <f>L299+I299+F299+C299</f>
        <v/>
      </c>
      <c r="P299" s="114">
        <f>M299+J299+G299+D299</f>
        <v/>
      </c>
      <c r="Q299" s="114">
        <f>N299+K299+H299+E299</f>
        <v/>
      </c>
      <c r="R299" s="113">
        <f>SUMIFS('PO Log'!$E:$E,'PO Log'!$D:$D,'Category Table'!R$2,'PO Log'!$C:$C,'Category Table'!$A299)</f>
        <v/>
      </c>
      <c r="S299" s="114">
        <f>SUMIFS('PO Log'!$E:$E,'PO Log'!$D:$D,'Category Table'!S$2,'PO Log'!$C:$C,'Category Table'!$A299)</f>
        <v/>
      </c>
      <c r="T299" s="114">
        <f>SUMIFS('PO Log'!$E:$E,'PO Log'!$D:$D,'Category Table'!T$2,'PO Log'!$C:$C,'Category Table'!$A299)</f>
        <v/>
      </c>
      <c r="U299" s="113">
        <f>SUMIFS('Committments Dump'!$Q:$Q,'Committments Dump'!$C:$C,'Category Table'!U$2,'Committments Dump'!$B:$B,'Category Table'!$A299)</f>
        <v/>
      </c>
      <c r="V299" s="114">
        <f>SUMIFS('Committments Dump'!$Q:$Q,'Committments Dump'!$C:$C,'Category Table'!V$2,'Committments Dump'!$B:$B,'Category Table'!$A299)</f>
        <v/>
      </c>
      <c r="W299" s="114">
        <f>SUMIFS('Committments Dump'!$Q:$Q,'Committments Dump'!$C:$C,'Category Table'!W$2,'Committments Dump'!$B:$B,'Category Table'!$A299)</f>
        <v/>
      </c>
      <c r="X299" s="113">
        <f>SUMIFS('Committments Dump'!$R:$R,'Committments Dump'!$C:$C,'Category Table'!X$2,'Committments Dump'!$B:$B,'Category Table'!$A299)</f>
        <v/>
      </c>
      <c r="Y299" s="114">
        <f>SUMIFS('Committments Dump'!$R:$R,'Committments Dump'!$C:$C,'Category Table'!Y$2,'Committments Dump'!$B:$B,'Category Table'!$A299)</f>
        <v/>
      </c>
      <c r="Z299" s="114">
        <f>SUMIFS('Committments Dump'!$R:$R,'Committments Dump'!$C:$C,'Category Table'!Z$2,'Committments Dump'!$B:$B,'Category Table'!$A299)</f>
        <v/>
      </c>
      <c r="AA299" s="113">
        <f>SUMIFS('Committments Dump'!$S:$S,'Committments Dump'!$C:$C,'Category Table'!AA$2,'Committments Dump'!$B:$B,'Category Table'!$A299)</f>
        <v/>
      </c>
      <c r="AB299" s="114">
        <f>SUMIFS('Committments Dump'!$S:$S,'Committments Dump'!$C:$C,'Category Table'!AB$2,'Committments Dump'!$B:$B,'Category Table'!$A299)</f>
        <v/>
      </c>
      <c r="AC299" s="114">
        <f>SUMIFS('Committments Dump'!$S:$S,'Committments Dump'!$C:$C,'Category Table'!AC$2,'Committments Dump'!$B:$B,'Category Table'!$A299)</f>
        <v/>
      </c>
      <c r="AD299" s="113">
        <f>U299+X299+AA299</f>
        <v/>
      </c>
      <c r="AE299" s="114">
        <f>V299+Y299+AB299</f>
        <v/>
      </c>
      <c r="AF299" s="114">
        <f>W299+Z299+AC299</f>
        <v/>
      </c>
      <c r="AG299" s="113">
        <f>R299+AD299</f>
        <v/>
      </c>
      <c r="AH299" s="114">
        <f>S299+AE299</f>
        <v/>
      </c>
      <c r="AI299" s="114">
        <f>T299+AF299</f>
        <v/>
      </c>
      <c r="AJ299" s="113" t="n"/>
      <c r="AK299" s="114" t="n"/>
      <c r="AL299" s="114" t="n"/>
      <c r="AM299" s="113">
        <f>(O299-AG299)+AJ299</f>
        <v/>
      </c>
      <c r="AN299" s="114">
        <f>(P299-AH299)+AK299</f>
        <v/>
      </c>
      <c r="AO299" s="114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11" t="n"/>
      <c r="D300" s="112" t="n"/>
      <c r="E300" s="112" t="n"/>
      <c r="F300" s="111" t="n"/>
      <c r="G300" s="112" t="n"/>
      <c r="H300" s="112" t="n"/>
      <c r="I300" s="111" t="n"/>
      <c r="J300" s="112" t="n"/>
      <c r="K300" s="112" t="n"/>
      <c r="L300" s="111" t="n"/>
      <c r="M300" s="112" t="n"/>
      <c r="N300" s="112" t="n"/>
      <c r="O300" s="111">
        <f>L300+I300+F300+C300</f>
        <v/>
      </c>
      <c r="P300" s="112">
        <f>M300+J300+G300+D300</f>
        <v/>
      </c>
      <c r="Q300" s="112">
        <f>N300+K300+H300+E300</f>
        <v/>
      </c>
      <c r="R300" s="111">
        <f>SUMIFS('PO Log'!$E:$E,'PO Log'!$D:$D,'Category Table'!R$2,'PO Log'!$C:$C,'Category Table'!$A300)</f>
        <v/>
      </c>
      <c r="S300" s="112">
        <f>SUMIFS('PO Log'!$E:$E,'PO Log'!$D:$D,'Category Table'!S$2,'PO Log'!$C:$C,'Category Table'!$A300)</f>
        <v/>
      </c>
      <c r="T300" s="112">
        <f>SUMIFS('PO Log'!$E:$E,'PO Log'!$D:$D,'Category Table'!T$2,'PO Log'!$C:$C,'Category Table'!$A300)</f>
        <v/>
      </c>
      <c r="U300" s="111">
        <f>SUMIFS('Committments Dump'!$Q:$Q,'Committments Dump'!$C:$C,'Category Table'!U$2,'Committments Dump'!$B:$B,'Category Table'!$A300)</f>
        <v/>
      </c>
      <c r="V300" s="112">
        <f>SUMIFS('Committments Dump'!$Q:$Q,'Committments Dump'!$C:$C,'Category Table'!V$2,'Committments Dump'!$B:$B,'Category Table'!$A300)</f>
        <v/>
      </c>
      <c r="W300" s="112">
        <f>SUMIFS('Committments Dump'!$Q:$Q,'Committments Dump'!$C:$C,'Category Table'!W$2,'Committments Dump'!$B:$B,'Category Table'!$A300)</f>
        <v/>
      </c>
      <c r="X300" s="111">
        <f>SUMIFS('Committments Dump'!$R:$R,'Committments Dump'!$C:$C,'Category Table'!X$2,'Committments Dump'!$B:$B,'Category Table'!$A300)</f>
        <v/>
      </c>
      <c r="Y300" s="112">
        <f>SUMIFS('Committments Dump'!$R:$R,'Committments Dump'!$C:$C,'Category Table'!Y$2,'Committments Dump'!$B:$B,'Category Table'!$A300)</f>
        <v/>
      </c>
      <c r="Z300" s="112">
        <f>SUMIFS('Committments Dump'!$R:$R,'Committments Dump'!$C:$C,'Category Table'!Z$2,'Committments Dump'!$B:$B,'Category Table'!$A300)</f>
        <v/>
      </c>
      <c r="AA300" s="111">
        <f>SUMIFS('Committments Dump'!$S:$S,'Committments Dump'!$C:$C,'Category Table'!AA$2,'Committments Dump'!$B:$B,'Category Table'!$A300)</f>
        <v/>
      </c>
      <c r="AB300" s="112">
        <f>SUMIFS('Committments Dump'!$S:$S,'Committments Dump'!$C:$C,'Category Table'!AB$2,'Committments Dump'!$B:$B,'Category Table'!$A300)</f>
        <v/>
      </c>
      <c r="AC300" s="112">
        <f>SUMIFS('Committments Dump'!$S:$S,'Committments Dump'!$C:$C,'Category Table'!AC$2,'Committments Dump'!$B:$B,'Category Table'!$A300)</f>
        <v/>
      </c>
      <c r="AD300" s="111">
        <f>U300+X300+AA300</f>
        <v/>
      </c>
      <c r="AE300" s="112">
        <f>V300+Y300+AB300</f>
        <v/>
      </c>
      <c r="AF300" s="112">
        <f>W300+Z300+AC300</f>
        <v/>
      </c>
      <c r="AG300" s="111">
        <f>R300+AD300</f>
        <v/>
      </c>
      <c r="AH300" s="112">
        <f>S300+AE300</f>
        <v/>
      </c>
      <c r="AI300" s="112">
        <f>T300+AF300</f>
        <v/>
      </c>
      <c r="AJ300" s="111" t="n"/>
      <c r="AK300" s="112" t="n"/>
      <c r="AL300" s="112" t="n"/>
      <c r="AM300" s="111">
        <f>(O300-AG300)+AJ300</f>
        <v/>
      </c>
      <c r="AN300" s="112">
        <f>(P300-AH300)+AK300</f>
        <v/>
      </c>
      <c r="AO300" s="112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13" t="n"/>
      <c r="D301" s="114" t="n"/>
      <c r="E301" s="114" t="n"/>
      <c r="F301" s="113" t="n"/>
      <c r="G301" s="114" t="n"/>
      <c r="H301" s="114" t="n"/>
      <c r="I301" s="113" t="n"/>
      <c r="J301" s="114" t="n"/>
      <c r="K301" s="114" t="n"/>
      <c r="L301" s="113" t="n"/>
      <c r="M301" s="114" t="n"/>
      <c r="N301" s="114" t="n"/>
      <c r="O301" s="113">
        <f>L301+I301+F301+C301</f>
        <v/>
      </c>
      <c r="P301" s="114">
        <f>M301+J301+G301+D301</f>
        <v/>
      </c>
      <c r="Q301" s="114">
        <f>N301+K301+H301+E301</f>
        <v/>
      </c>
      <c r="R301" s="113">
        <f>SUMIFS('PO Log'!$E:$E,'PO Log'!$D:$D,'Category Table'!R$2,'PO Log'!$C:$C,'Category Table'!$A301)</f>
        <v/>
      </c>
      <c r="S301" s="114">
        <f>SUMIFS('PO Log'!$E:$E,'PO Log'!$D:$D,'Category Table'!S$2,'PO Log'!$C:$C,'Category Table'!$A301)</f>
        <v/>
      </c>
      <c r="T301" s="114">
        <f>SUMIFS('PO Log'!$E:$E,'PO Log'!$D:$D,'Category Table'!T$2,'PO Log'!$C:$C,'Category Table'!$A301)</f>
        <v/>
      </c>
      <c r="U301" s="113">
        <f>SUMIFS('Committments Dump'!$Q:$Q,'Committments Dump'!$C:$C,'Category Table'!U$2,'Committments Dump'!$B:$B,'Category Table'!$A301)</f>
        <v/>
      </c>
      <c r="V301" s="114">
        <f>SUMIFS('Committments Dump'!$Q:$Q,'Committments Dump'!$C:$C,'Category Table'!V$2,'Committments Dump'!$B:$B,'Category Table'!$A301)</f>
        <v/>
      </c>
      <c r="W301" s="114">
        <f>SUMIFS('Committments Dump'!$Q:$Q,'Committments Dump'!$C:$C,'Category Table'!W$2,'Committments Dump'!$B:$B,'Category Table'!$A301)</f>
        <v/>
      </c>
      <c r="X301" s="113">
        <f>SUMIFS('Committments Dump'!$R:$R,'Committments Dump'!$C:$C,'Category Table'!X$2,'Committments Dump'!$B:$B,'Category Table'!$A301)</f>
        <v/>
      </c>
      <c r="Y301" s="114">
        <f>SUMIFS('Committments Dump'!$R:$R,'Committments Dump'!$C:$C,'Category Table'!Y$2,'Committments Dump'!$B:$B,'Category Table'!$A301)</f>
        <v/>
      </c>
      <c r="Z301" s="114">
        <f>SUMIFS('Committments Dump'!$R:$R,'Committments Dump'!$C:$C,'Category Table'!Z$2,'Committments Dump'!$B:$B,'Category Table'!$A301)</f>
        <v/>
      </c>
      <c r="AA301" s="113">
        <f>SUMIFS('Committments Dump'!$S:$S,'Committments Dump'!$C:$C,'Category Table'!AA$2,'Committments Dump'!$B:$B,'Category Table'!$A301)</f>
        <v/>
      </c>
      <c r="AB301" s="114">
        <f>SUMIFS('Committments Dump'!$S:$S,'Committments Dump'!$C:$C,'Category Table'!AB$2,'Committments Dump'!$B:$B,'Category Table'!$A301)</f>
        <v/>
      </c>
      <c r="AC301" s="114">
        <f>SUMIFS('Committments Dump'!$S:$S,'Committments Dump'!$C:$C,'Category Table'!AC$2,'Committments Dump'!$B:$B,'Category Table'!$A301)</f>
        <v/>
      </c>
      <c r="AD301" s="113">
        <f>U301+X301+AA301</f>
        <v/>
      </c>
      <c r="AE301" s="114">
        <f>V301+Y301+AB301</f>
        <v/>
      </c>
      <c r="AF301" s="114">
        <f>W301+Z301+AC301</f>
        <v/>
      </c>
      <c r="AG301" s="113">
        <f>R301+AD301</f>
        <v/>
      </c>
      <c r="AH301" s="114">
        <f>S301+AE301</f>
        <v/>
      </c>
      <c r="AI301" s="114">
        <f>T301+AF301</f>
        <v/>
      </c>
      <c r="AJ301" s="113" t="n"/>
      <c r="AK301" s="114" t="n"/>
      <c r="AL301" s="114" t="n"/>
      <c r="AM301" s="113">
        <f>(O301-AG301)+AJ301</f>
        <v/>
      </c>
      <c r="AN301" s="114">
        <f>(P301-AH301)+AK301</f>
        <v/>
      </c>
      <c r="AO301" s="114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11" t="n"/>
      <c r="D302" s="112" t="n"/>
      <c r="E302" s="112" t="n"/>
      <c r="F302" s="111" t="n"/>
      <c r="G302" s="112" t="n"/>
      <c r="H302" s="112" t="n"/>
      <c r="I302" s="111" t="n"/>
      <c r="J302" s="112" t="n"/>
      <c r="K302" s="112" t="n"/>
      <c r="L302" s="111" t="n"/>
      <c r="M302" s="112" t="n"/>
      <c r="N302" s="112" t="n"/>
      <c r="O302" s="111">
        <f>L302+I302+F302+C302</f>
        <v/>
      </c>
      <c r="P302" s="112">
        <f>M302+J302+G302+D302</f>
        <v/>
      </c>
      <c r="Q302" s="112">
        <f>N302+K302+H302+E302</f>
        <v/>
      </c>
      <c r="R302" s="111">
        <f>SUMIFS('PO Log'!$E:$E,'PO Log'!$D:$D,'Category Table'!R$2,'PO Log'!$C:$C,'Category Table'!$A302)</f>
        <v/>
      </c>
      <c r="S302" s="112">
        <f>SUMIFS('PO Log'!$E:$E,'PO Log'!$D:$D,'Category Table'!S$2,'PO Log'!$C:$C,'Category Table'!$A302)</f>
        <v/>
      </c>
      <c r="T302" s="112">
        <f>SUMIFS('PO Log'!$E:$E,'PO Log'!$D:$D,'Category Table'!T$2,'PO Log'!$C:$C,'Category Table'!$A302)</f>
        <v/>
      </c>
      <c r="U302" s="111">
        <f>SUMIFS('Committments Dump'!$Q:$Q,'Committments Dump'!$C:$C,'Category Table'!U$2,'Committments Dump'!$B:$B,'Category Table'!$A302)</f>
        <v/>
      </c>
      <c r="V302" s="112">
        <f>SUMIFS('Committments Dump'!$Q:$Q,'Committments Dump'!$C:$C,'Category Table'!V$2,'Committments Dump'!$B:$B,'Category Table'!$A302)</f>
        <v/>
      </c>
      <c r="W302" s="112">
        <f>SUMIFS('Committments Dump'!$Q:$Q,'Committments Dump'!$C:$C,'Category Table'!W$2,'Committments Dump'!$B:$B,'Category Table'!$A302)</f>
        <v/>
      </c>
      <c r="X302" s="111">
        <f>SUMIFS('Committments Dump'!$R:$R,'Committments Dump'!$C:$C,'Category Table'!X$2,'Committments Dump'!$B:$B,'Category Table'!$A302)</f>
        <v/>
      </c>
      <c r="Y302" s="112">
        <f>SUMIFS('Committments Dump'!$R:$R,'Committments Dump'!$C:$C,'Category Table'!Y$2,'Committments Dump'!$B:$B,'Category Table'!$A302)</f>
        <v/>
      </c>
      <c r="Z302" s="112">
        <f>SUMIFS('Committments Dump'!$R:$R,'Committments Dump'!$C:$C,'Category Table'!Z$2,'Committments Dump'!$B:$B,'Category Table'!$A302)</f>
        <v/>
      </c>
      <c r="AA302" s="111">
        <f>SUMIFS('Committments Dump'!$S:$S,'Committments Dump'!$C:$C,'Category Table'!AA$2,'Committments Dump'!$B:$B,'Category Table'!$A302)</f>
        <v/>
      </c>
      <c r="AB302" s="112">
        <f>SUMIFS('Committments Dump'!$S:$S,'Committments Dump'!$C:$C,'Category Table'!AB$2,'Committments Dump'!$B:$B,'Category Table'!$A302)</f>
        <v/>
      </c>
      <c r="AC302" s="112">
        <f>SUMIFS('Committments Dump'!$S:$S,'Committments Dump'!$C:$C,'Category Table'!AC$2,'Committments Dump'!$B:$B,'Category Table'!$A302)</f>
        <v/>
      </c>
      <c r="AD302" s="111">
        <f>U302+X302+AA302</f>
        <v/>
      </c>
      <c r="AE302" s="112">
        <f>V302+Y302+AB302</f>
        <v/>
      </c>
      <c r="AF302" s="112">
        <f>W302+Z302+AC302</f>
        <v/>
      </c>
      <c r="AG302" s="111">
        <f>R302+AD302</f>
        <v/>
      </c>
      <c r="AH302" s="112">
        <f>S302+AE302</f>
        <v/>
      </c>
      <c r="AI302" s="112">
        <f>T302+AF302</f>
        <v/>
      </c>
      <c r="AJ302" s="111" t="n"/>
      <c r="AK302" s="112" t="n"/>
      <c r="AL302" s="112" t="n"/>
      <c r="AM302" s="111">
        <f>(O302-AG302)+AJ302</f>
        <v/>
      </c>
      <c r="AN302" s="112">
        <f>(P302-AH302)+AK302</f>
        <v/>
      </c>
      <c r="AO302" s="112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13" t="n"/>
      <c r="D303" s="114" t="n"/>
      <c r="E303" s="114" t="n"/>
      <c r="F303" s="113" t="n"/>
      <c r="G303" s="114" t="n"/>
      <c r="H303" s="114" t="n"/>
      <c r="I303" s="113" t="n"/>
      <c r="J303" s="114" t="n"/>
      <c r="K303" s="114" t="n"/>
      <c r="L303" s="113" t="n"/>
      <c r="M303" s="114" t="n"/>
      <c r="N303" s="114" t="n"/>
      <c r="O303" s="113">
        <f>L303+I303+F303+C303</f>
        <v/>
      </c>
      <c r="P303" s="114">
        <f>M303+J303+G303+D303</f>
        <v/>
      </c>
      <c r="Q303" s="114">
        <f>N303+K303+H303+E303</f>
        <v/>
      </c>
      <c r="R303" s="113">
        <f>SUMIFS('PO Log'!$E:$E,'PO Log'!$D:$D,'Category Table'!R$2,'PO Log'!$C:$C,'Category Table'!$A303)</f>
        <v/>
      </c>
      <c r="S303" s="114">
        <f>SUMIFS('PO Log'!$E:$E,'PO Log'!$D:$D,'Category Table'!S$2,'PO Log'!$C:$C,'Category Table'!$A303)</f>
        <v/>
      </c>
      <c r="T303" s="114">
        <f>SUMIFS('PO Log'!$E:$E,'PO Log'!$D:$D,'Category Table'!T$2,'PO Log'!$C:$C,'Category Table'!$A303)</f>
        <v/>
      </c>
      <c r="U303" s="113">
        <f>SUMIFS('Committments Dump'!$Q:$Q,'Committments Dump'!$C:$C,'Category Table'!U$2,'Committments Dump'!$B:$B,'Category Table'!$A303)</f>
        <v/>
      </c>
      <c r="V303" s="114">
        <f>SUMIFS('Committments Dump'!$Q:$Q,'Committments Dump'!$C:$C,'Category Table'!V$2,'Committments Dump'!$B:$B,'Category Table'!$A303)</f>
        <v/>
      </c>
      <c r="W303" s="114">
        <f>SUMIFS('Committments Dump'!$Q:$Q,'Committments Dump'!$C:$C,'Category Table'!W$2,'Committments Dump'!$B:$B,'Category Table'!$A303)</f>
        <v/>
      </c>
      <c r="X303" s="113">
        <f>SUMIFS('Committments Dump'!$R:$R,'Committments Dump'!$C:$C,'Category Table'!X$2,'Committments Dump'!$B:$B,'Category Table'!$A303)</f>
        <v/>
      </c>
      <c r="Y303" s="114">
        <f>SUMIFS('Committments Dump'!$R:$R,'Committments Dump'!$C:$C,'Category Table'!Y$2,'Committments Dump'!$B:$B,'Category Table'!$A303)</f>
        <v/>
      </c>
      <c r="Z303" s="114">
        <f>SUMIFS('Committments Dump'!$R:$R,'Committments Dump'!$C:$C,'Category Table'!Z$2,'Committments Dump'!$B:$B,'Category Table'!$A303)</f>
        <v/>
      </c>
      <c r="AA303" s="113">
        <f>SUMIFS('Committments Dump'!$S:$S,'Committments Dump'!$C:$C,'Category Table'!AA$2,'Committments Dump'!$B:$B,'Category Table'!$A303)</f>
        <v/>
      </c>
      <c r="AB303" s="114">
        <f>SUMIFS('Committments Dump'!$S:$S,'Committments Dump'!$C:$C,'Category Table'!AB$2,'Committments Dump'!$B:$B,'Category Table'!$A303)</f>
        <v/>
      </c>
      <c r="AC303" s="114">
        <f>SUMIFS('Committments Dump'!$S:$S,'Committments Dump'!$C:$C,'Category Table'!AC$2,'Committments Dump'!$B:$B,'Category Table'!$A303)</f>
        <v/>
      </c>
      <c r="AD303" s="113">
        <f>U303+X303+AA303</f>
        <v/>
      </c>
      <c r="AE303" s="114">
        <f>V303+Y303+AB303</f>
        <v/>
      </c>
      <c r="AF303" s="114">
        <f>W303+Z303+AC303</f>
        <v/>
      </c>
      <c r="AG303" s="113">
        <f>R303+AD303</f>
        <v/>
      </c>
      <c r="AH303" s="114">
        <f>S303+AE303</f>
        <v/>
      </c>
      <c r="AI303" s="114">
        <f>T303+AF303</f>
        <v/>
      </c>
      <c r="AJ303" s="113" t="n"/>
      <c r="AK303" s="114" t="n"/>
      <c r="AL303" s="114" t="n"/>
      <c r="AM303" s="113">
        <f>(O303-AG303)+AJ303</f>
        <v/>
      </c>
      <c r="AN303" s="114">
        <f>(P303-AH303)+AK303</f>
        <v/>
      </c>
      <c r="AO303" s="114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11" t="n"/>
      <c r="D304" s="112" t="n"/>
      <c r="E304" s="112" t="n"/>
      <c r="F304" s="111" t="n"/>
      <c r="G304" s="112" t="n"/>
      <c r="H304" s="112" t="n"/>
      <c r="I304" s="111" t="n"/>
      <c r="J304" s="112" t="n"/>
      <c r="K304" s="112" t="n"/>
      <c r="L304" s="111" t="n"/>
      <c r="M304" s="112" t="n"/>
      <c r="N304" s="112" t="n"/>
      <c r="O304" s="111">
        <f>L304+I304+F304+C304</f>
        <v/>
      </c>
      <c r="P304" s="112">
        <f>M304+J304+G304+D304</f>
        <v/>
      </c>
      <c r="Q304" s="112">
        <f>N304+K304+H304+E304</f>
        <v/>
      </c>
      <c r="R304" s="111">
        <f>SUMIFS('PO Log'!$E:$E,'PO Log'!$D:$D,'Category Table'!R$2,'PO Log'!$C:$C,'Category Table'!$A304)</f>
        <v/>
      </c>
      <c r="S304" s="112">
        <f>SUMIFS('PO Log'!$E:$E,'PO Log'!$D:$D,'Category Table'!S$2,'PO Log'!$C:$C,'Category Table'!$A304)</f>
        <v/>
      </c>
      <c r="T304" s="112">
        <f>SUMIFS('PO Log'!$E:$E,'PO Log'!$D:$D,'Category Table'!T$2,'PO Log'!$C:$C,'Category Table'!$A304)</f>
        <v/>
      </c>
      <c r="U304" s="111">
        <f>SUMIFS('Committments Dump'!$Q:$Q,'Committments Dump'!$C:$C,'Category Table'!U$2,'Committments Dump'!$B:$B,'Category Table'!$A304)</f>
        <v/>
      </c>
      <c r="V304" s="112">
        <f>SUMIFS('Committments Dump'!$Q:$Q,'Committments Dump'!$C:$C,'Category Table'!V$2,'Committments Dump'!$B:$B,'Category Table'!$A304)</f>
        <v/>
      </c>
      <c r="W304" s="112">
        <f>SUMIFS('Committments Dump'!$Q:$Q,'Committments Dump'!$C:$C,'Category Table'!W$2,'Committments Dump'!$B:$B,'Category Table'!$A304)</f>
        <v/>
      </c>
      <c r="X304" s="111">
        <f>SUMIFS('Committments Dump'!$R:$R,'Committments Dump'!$C:$C,'Category Table'!X$2,'Committments Dump'!$B:$B,'Category Table'!$A304)</f>
        <v/>
      </c>
      <c r="Y304" s="112">
        <f>SUMIFS('Committments Dump'!$R:$R,'Committments Dump'!$C:$C,'Category Table'!Y$2,'Committments Dump'!$B:$B,'Category Table'!$A304)</f>
        <v/>
      </c>
      <c r="Z304" s="112">
        <f>SUMIFS('Committments Dump'!$R:$R,'Committments Dump'!$C:$C,'Category Table'!Z$2,'Committments Dump'!$B:$B,'Category Table'!$A304)</f>
        <v/>
      </c>
      <c r="AA304" s="111">
        <f>SUMIFS('Committments Dump'!$S:$S,'Committments Dump'!$C:$C,'Category Table'!AA$2,'Committments Dump'!$B:$B,'Category Table'!$A304)</f>
        <v/>
      </c>
      <c r="AB304" s="112">
        <f>SUMIFS('Committments Dump'!$S:$S,'Committments Dump'!$C:$C,'Category Table'!AB$2,'Committments Dump'!$B:$B,'Category Table'!$A304)</f>
        <v/>
      </c>
      <c r="AC304" s="112">
        <f>SUMIFS('Committments Dump'!$S:$S,'Committments Dump'!$C:$C,'Category Table'!AC$2,'Committments Dump'!$B:$B,'Category Table'!$A304)</f>
        <v/>
      </c>
      <c r="AD304" s="111">
        <f>U304+X304+AA304</f>
        <v/>
      </c>
      <c r="AE304" s="112">
        <f>V304+Y304+AB304</f>
        <v/>
      </c>
      <c r="AF304" s="112">
        <f>W304+Z304+AC304</f>
        <v/>
      </c>
      <c r="AG304" s="111">
        <f>R304+AD304</f>
        <v/>
      </c>
      <c r="AH304" s="112">
        <f>S304+AE304</f>
        <v/>
      </c>
      <c r="AI304" s="112">
        <f>T304+AF304</f>
        <v/>
      </c>
      <c r="AJ304" s="111" t="n"/>
      <c r="AK304" s="112" t="n"/>
      <c r="AL304" s="112" t="n"/>
      <c r="AM304" s="111">
        <f>(O304-AG304)+AJ304</f>
        <v/>
      </c>
      <c r="AN304" s="112">
        <f>(P304-AH304)+AK304</f>
        <v/>
      </c>
      <c r="AO304" s="112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13" t="n"/>
      <c r="D305" s="114" t="n"/>
      <c r="E305" s="114" t="n"/>
      <c r="F305" s="113" t="n"/>
      <c r="G305" s="114" t="n"/>
      <c r="H305" s="114" t="n"/>
      <c r="I305" s="113" t="n"/>
      <c r="J305" s="114" t="n"/>
      <c r="K305" s="114" t="n"/>
      <c r="L305" s="113" t="n"/>
      <c r="M305" s="114" t="n"/>
      <c r="N305" s="114" t="n"/>
      <c r="O305" s="113">
        <f>L305+I305+F305+C305</f>
        <v/>
      </c>
      <c r="P305" s="114">
        <f>M305+J305+G305+D305</f>
        <v/>
      </c>
      <c r="Q305" s="114">
        <f>N305+K305+H305+E305</f>
        <v/>
      </c>
      <c r="R305" s="113">
        <f>SUMIFS('PO Log'!$E:$E,'PO Log'!$D:$D,'Category Table'!R$2,'PO Log'!$C:$C,'Category Table'!$A305)</f>
        <v/>
      </c>
      <c r="S305" s="114">
        <f>SUMIFS('PO Log'!$E:$E,'PO Log'!$D:$D,'Category Table'!S$2,'PO Log'!$C:$C,'Category Table'!$A305)</f>
        <v/>
      </c>
      <c r="T305" s="114">
        <f>SUMIFS('PO Log'!$E:$E,'PO Log'!$D:$D,'Category Table'!T$2,'PO Log'!$C:$C,'Category Table'!$A305)</f>
        <v/>
      </c>
      <c r="U305" s="113">
        <f>SUMIFS('Committments Dump'!$Q:$Q,'Committments Dump'!$C:$C,'Category Table'!U$2,'Committments Dump'!$B:$B,'Category Table'!$A305)</f>
        <v/>
      </c>
      <c r="V305" s="114">
        <f>SUMIFS('Committments Dump'!$Q:$Q,'Committments Dump'!$C:$C,'Category Table'!V$2,'Committments Dump'!$B:$B,'Category Table'!$A305)</f>
        <v/>
      </c>
      <c r="W305" s="114">
        <f>SUMIFS('Committments Dump'!$Q:$Q,'Committments Dump'!$C:$C,'Category Table'!W$2,'Committments Dump'!$B:$B,'Category Table'!$A305)</f>
        <v/>
      </c>
      <c r="X305" s="113">
        <f>SUMIFS('Committments Dump'!$R:$R,'Committments Dump'!$C:$C,'Category Table'!X$2,'Committments Dump'!$B:$B,'Category Table'!$A305)</f>
        <v/>
      </c>
      <c r="Y305" s="114">
        <f>SUMIFS('Committments Dump'!$R:$R,'Committments Dump'!$C:$C,'Category Table'!Y$2,'Committments Dump'!$B:$B,'Category Table'!$A305)</f>
        <v/>
      </c>
      <c r="Z305" s="114">
        <f>SUMIFS('Committments Dump'!$R:$R,'Committments Dump'!$C:$C,'Category Table'!Z$2,'Committments Dump'!$B:$B,'Category Table'!$A305)</f>
        <v/>
      </c>
      <c r="AA305" s="113">
        <f>SUMIFS('Committments Dump'!$S:$S,'Committments Dump'!$C:$C,'Category Table'!AA$2,'Committments Dump'!$B:$B,'Category Table'!$A305)</f>
        <v/>
      </c>
      <c r="AB305" s="114">
        <f>SUMIFS('Committments Dump'!$S:$S,'Committments Dump'!$C:$C,'Category Table'!AB$2,'Committments Dump'!$B:$B,'Category Table'!$A305)</f>
        <v/>
      </c>
      <c r="AC305" s="114">
        <f>SUMIFS('Committments Dump'!$S:$S,'Committments Dump'!$C:$C,'Category Table'!AC$2,'Committments Dump'!$B:$B,'Category Table'!$A305)</f>
        <v/>
      </c>
      <c r="AD305" s="113">
        <f>U305+X305+AA305</f>
        <v/>
      </c>
      <c r="AE305" s="114">
        <f>V305+Y305+AB305</f>
        <v/>
      </c>
      <c r="AF305" s="114">
        <f>W305+Z305+AC305</f>
        <v/>
      </c>
      <c r="AG305" s="113">
        <f>R305+AD305</f>
        <v/>
      </c>
      <c r="AH305" s="114">
        <f>S305+AE305</f>
        <v/>
      </c>
      <c r="AI305" s="114">
        <f>T305+AF305</f>
        <v/>
      </c>
      <c r="AJ305" s="113" t="n"/>
      <c r="AK305" s="114" t="n"/>
      <c r="AL305" s="114" t="n"/>
      <c r="AM305" s="113">
        <f>(O305-AG305)+AJ305</f>
        <v/>
      </c>
      <c r="AN305" s="114">
        <f>(P305-AH305)+AK305</f>
        <v/>
      </c>
      <c r="AO305" s="114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11" t="n"/>
      <c r="D306" s="112" t="n"/>
      <c r="E306" s="112" t="n"/>
      <c r="F306" s="111" t="n"/>
      <c r="G306" s="112" t="n"/>
      <c r="H306" s="112" t="n"/>
      <c r="I306" s="111" t="n"/>
      <c r="J306" s="112" t="n"/>
      <c r="K306" s="112" t="n"/>
      <c r="L306" s="111" t="n"/>
      <c r="M306" s="112" t="n"/>
      <c r="N306" s="112" t="n"/>
      <c r="O306" s="111">
        <f>L306+I306+F306+C306</f>
        <v/>
      </c>
      <c r="P306" s="112">
        <f>M306+J306+G306+D306</f>
        <v/>
      </c>
      <c r="Q306" s="112">
        <f>N306+K306+H306+E306</f>
        <v/>
      </c>
      <c r="R306" s="111">
        <f>SUMIFS('PO Log'!$E:$E,'PO Log'!$D:$D,'Category Table'!R$2,'PO Log'!$C:$C,'Category Table'!$A306)</f>
        <v/>
      </c>
      <c r="S306" s="112">
        <f>SUMIFS('PO Log'!$E:$E,'PO Log'!$D:$D,'Category Table'!S$2,'PO Log'!$C:$C,'Category Table'!$A306)</f>
        <v/>
      </c>
      <c r="T306" s="112">
        <f>SUMIFS('PO Log'!$E:$E,'PO Log'!$D:$D,'Category Table'!T$2,'PO Log'!$C:$C,'Category Table'!$A306)</f>
        <v/>
      </c>
      <c r="U306" s="111">
        <f>SUMIFS('Committments Dump'!$Q:$Q,'Committments Dump'!$C:$C,'Category Table'!U$2,'Committments Dump'!$B:$B,'Category Table'!$A306)</f>
        <v/>
      </c>
      <c r="V306" s="112">
        <f>SUMIFS('Committments Dump'!$Q:$Q,'Committments Dump'!$C:$C,'Category Table'!V$2,'Committments Dump'!$B:$B,'Category Table'!$A306)</f>
        <v/>
      </c>
      <c r="W306" s="112">
        <f>SUMIFS('Committments Dump'!$Q:$Q,'Committments Dump'!$C:$C,'Category Table'!W$2,'Committments Dump'!$B:$B,'Category Table'!$A306)</f>
        <v/>
      </c>
      <c r="X306" s="111">
        <f>SUMIFS('Committments Dump'!$R:$R,'Committments Dump'!$C:$C,'Category Table'!X$2,'Committments Dump'!$B:$B,'Category Table'!$A306)</f>
        <v/>
      </c>
      <c r="Y306" s="112">
        <f>SUMIFS('Committments Dump'!$R:$R,'Committments Dump'!$C:$C,'Category Table'!Y$2,'Committments Dump'!$B:$B,'Category Table'!$A306)</f>
        <v/>
      </c>
      <c r="Z306" s="112">
        <f>SUMIFS('Committments Dump'!$R:$R,'Committments Dump'!$C:$C,'Category Table'!Z$2,'Committments Dump'!$B:$B,'Category Table'!$A306)</f>
        <v/>
      </c>
      <c r="AA306" s="111">
        <f>SUMIFS('Committments Dump'!$S:$S,'Committments Dump'!$C:$C,'Category Table'!AA$2,'Committments Dump'!$B:$B,'Category Table'!$A306)</f>
        <v/>
      </c>
      <c r="AB306" s="112">
        <f>SUMIFS('Committments Dump'!$S:$S,'Committments Dump'!$C:$C,'Category Table'!AB$2,'Committments Dump'!$B:$B,'Category Table'!$A306)</f>
        <v/>
      </c>
      <c r="AC306" s="112">
        <f>SUMIFS('Committments Dump'!$S:$S,'Committments Dump'!$C:$C,'Category Table'!AC$2,'Committments Dump'!$B:$B,'Category Table'!$A306)</f>
        <v/>
      </c>
      <c r="AD306" s="111">
        <f>U306+X306+AA306</f>
        <v/>
      </c>
      <c r="AE306" s="112">
        <f>V306+Y306+AB306</f>
        <v/>
      </c>
      <c r="AF306" s="112">
        <f>W306+Z306+AC306</f>
        <v/>
      </c>
      <c r="AG306" s="111">
        <f>R306+AD306</f>
        <v/>
      </c>
      <c r="AH306" s="112">
        <f>S306+AE306</f>
        <v/>
      </c>
      <c r="AI306" s="112">
        <f>T306+AF306</f>
        <v/>
      </c>
      <c r="AJ306" s="111" t="n"/>
      <c r="AK306" s="112" t="n"/>
      <c r="AL306" s="112" t="n"/>
      <c r="AM306" s="111">
        <f>(O306-AG306)+AJ306</f>
        <v/>
      </c>
      <c r="AN306" s="112">
        <f>(P306-AH306)+AK306</f>
        <v/>
      </c>
      <c r="AO306" s="112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13" t="n"/>
      <c r="D307" s="114" t="n"/>
      <c r="E307" s="114" t="n"/>
      <c r="F307" s="113" t="n"/>
      <c r="G307" s="114" t="n"/>
      <c r="H307" s="114" t="n"/>
      <c r="I307" s="113" t="n"/>
      <c r="J307" s="114" t="n"/>
      <c r="K307" s="114" t="n"/>
      <c r="L307" s="113" t="n"/>
      <c r="M307" s="114" t="n"/>
      <c r="N307" s="114" t="n"/>
      <c r="O307" s="113">
        <f>L307+I307+F307+C307</f>
        <v/>
      </c>
      <c r="P307" s="114">
        <f>M307+J307+G307+D307</f>
        <v/>
      </c>
      <c r="Q307" s="114">
        <f>N307+K307+H307+E307</f>
        <v/>
      </c>
      <c r="R307" s="113">
        <f>SUMIFS('PO Log'!$E:$E,'PO Log'!$D:$D,'Category Table'!R$2,'PO Log'!$C:$C,'Category Table'!$A307)</f>
        <v/>
      </c>
      <c r="S307" s="114">
        <f>SUMIFS('PO Log'!$E:$E,'PO Log'!$D:$D,'Category Table'!S$2,'PO Log'!$C:$C,'Category Table'!$A307)</f>
        <v/>
      </c>
      <c r="T307" s="114">
        <f>SUMIFS('PO Log'!$E:$E,'PO Log'!$D:$D,'Category Table'!T$2,'PO Log'!$C:$C,'Category Table'!$A307)</f>
        <v/>
      </c>
      <c r="U307" s="113">
        <f>SUMIFS('Committments Dump'!$Q:$Q,'Committments Dump'!$C:$C,'Category Table'!U$2,'Committments Dump'!$B:$B,'Category Table'!$A307)</f>
        <v/>
      </c>
      <c r="V307" s="114">
        <f>SUMIFS('Committments Dump'!$Q:$Q,'Committments Dump'!$C:$C,'Category Table'!V$2,'Committments Dump'!$B:$B,'Category Table'!$A307)</f>
        <v/>
      </c>
      <c r="W307" s="114">
        <f>SUMIFS('Committments Dump'!$Q:$Q,'Committments Dump'!$C:$C,'Category Table'!W$2,'Committments Dump'!$B:$B,'Category Table'!$A307)</f>
        <v/>
      </c>
      <c r="X307" s="113">
        <f>SUMIFS('Committments Dump'!$R:$R,'Committments Dump'!$C:$C,'Category Table'!X$2,'Committments Dump'!$B:$B,'Category Table'!$A307)</f>
        <v/>
      </c>
      <c r="Y307" s="114">
        <f>SUMIFS('Committments Dump'!$R:$R,'Committments Dump'!$C:$C,'Category Table'!Y$2,'Committments Dump'!$B:$B,'Category Table'!$A307)</f>
        <v/>
      </c>
      <c r="Z307" s="114">
        <f>SUMIFS('Committments Dump'!$R:$R,'Committments Dump'!$C:$C,'Category Table'!Z$2,'Committments Dump'!$B:$B,'Category Table'!$A307)</f>
        <v/>
      </c>
      <c r="AA307" s="113">
        <f>SUMIFS('Committments Dump'!$S:$S,'Committments Dump'!$C:$C,'Category Table'!AA$2,'Committments Dump'!$B:$B,'Category Table'!$A307)</f>
        <v/>
      </c>
      <c r="AB307" s="114">
        <f>SUMIFS('Committments Dump'!$S:$S,'Committments Dump'!$C:$C,'Category Table'!AB$2,'Committments Dump'!$B:$B,'Category Table'!$A307)</f>
        <v/>
      </c>
      <c r="AC307" s="114">
        <f>SUMIFS('Committments Dump'!$S:$S,'Committments Dump'!$C:$C,'Category Table'!AC$2,'Committments Dump'!$B:$B,'Category Table'!$A307)</f>
        <v/>
      </c>
      <c r="AD307" s="113">
        <f>U307+X307+AA307</f>
        <v/>
      </c>
      <c r="AE307" s="114">
        <f>V307+Y307+AB307</f>
        <v/>
      </c>
      <c r="AF307" s="114">
        <f>W307+Z307+AC307</f>
        <v/>
      </c>
      <c r="AG307" s="113">
        <f>R307+AD307</f>
        <v/>
      </c>
      <c r="AH307" s="114">
        <f>S307+AE307</f>
        <v/>
      </c>
      <c r="AI307" s="114">
        <f>T307+AF307</f>
        <v/>
      </c>
      <c r="AJ307" s="113" t="n"/>
      <c r="AK307" s="114" t="n"/>
      <c r="AL307" s="114" t="n"/>
      <c r="AM307" s="113">
        <f>(O307-AG307)+AJ307</f>
        <v/>
      </c>
      <c r="AN307" s="114">
        <f>(P307-AH307)+AK307</f>
        <v/>
      </c>
      <c r="AO307" s="114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11" t="n"/>
      <c r="D308" s="112" t="n"/>
      <c r="E308" s="112" t="n"/>
      <c r="F308" s="111" t="n"/>
      <c r="G308" s="112" t="n"/>
      <c r="H308" s="112" t="n"/>
      <c r="I308" s="111" t="n"/>
      <c r="J308" s="112" t="n"/>
      <c r="K308" s="112" t="n"/>
      <c r="L308" s="111" t="n"/>
      <c r="M308" s="112" t="n"/>
      <c r="N308" s="112" t="n"/>
      <c r="O308" s="111">
        <f>L308+I308+F308+C308</f>
        <v/>
      </c>
      <c r="P308" s="112">
        <f>M308+J308+G308+D308</f>
        <v/>
      </c>
      <c r="Q308" s="112">
        <f>N308+K308+H308+E308</f>
        <v/>
      </c>
      <c r="R308" s="111">
        <f>SUMIFS('PO Log'!$E:$E,'PO Log'!$D:$D,'Category Table'!R$2,'PO Log'!$C:$C,'Category Table'!$A308)</f>
        <v/>
      </c>
      <c r="S308" s="112">
        <f>SUMIFS('PO Log'!$E:$E,'PO Log'!$D:$D,'Category Table'!S$2,'PO Log'!$C:$C,'Category Table'!$A308)</f>
        <v/>
      </c>
      <c r="T308" s="112">
        <f>SUMIFS('PO Log'!$E:$E,'PO Log'!$D:$D,'Category Table'!T$2,'PO Log'!$C:$C,'Category Table'!$A308)</f>
        <v/>
      </c>
      <c r="U308" s="111">
        <f>SUMIFS('Committments Dump'!$Q:$Q,'Committments Dump'!$C:$C,'Category Table'!U$2,'Committments Dump'!$B:$B,'Category Table'!$A308)</f>
        <v/>
      </c>
      <c r="V308" s="112">
        <f>SUMIFS('Committments Dump'!$Q:$Q,'Committments Dump'!$C:$C,'Category Table'!V$2,'Committments Dump'!$B:$B,'Category Table'!$A308)</f>
        <v/>
      </c>
      <c r="W308" s="112">
        <f>SUMIFS('Committments Dump'!$Q:$Q,'Committments Dump'!$C:$C,'Category Table'!W$2,'Committments Dump'!$B:$B,'Category Table'!$A308)</f>
        <v/>
      </c>
      <c r="X308" s="111">
        <f>SUMIFS('Committments Dump'!$R:$R,'Committments Dump'!$C:$C,'Category Table'!X$2,'Committments Dump'!$B:$B,'Category Table'!$A308)</f>
        <v/>
      </c>
      <c r="Y308" s="112">
        <f>SUMIFS('Committments Dump'!$R:$R,'Committments Dump'!$C:$C,'Category Table'!Y$2,'Committments Dump'!$B:$B,'Category Table'!$A308)</f>
        <v/>
      </c>
      <c r="Z308" s="112">
        <f>SUMIFS('Committments Dump'!$R:$R,'Committments Dump'!$C:$C,'Category Table'!Z$2,'Committments Dump'!$B:$B,'Category Table'!$A308)</f>
        <v/>
      </c>
      <c r="AA308" s="111">
        <f>SUMIFS('Committments Dump'!$S:$S,'Committments Dump'!$C:$C,'Category Table'!AA$2,'Committments Dump'!$B:$B,'Category Table'!$A308)</f>
        <v/>
      </c>
      <c r="AB308" s="112">
        <f>SUMIFS('Committments Dump'!$S:$S,'Committments Dump'!$C:$C,'Category Table'!AB$2,'Committments Dump'!$B:$B,'Category Table'!$A308)</f>
        <v/>
      </c>
      <c r="AC308" s="112">
        <f>SUMIFS('Committments Dump'!$S:$S,'Committments Dump'!$C:$C,'Category Table'!AC$2,'Committments Dump'!$B:$B,'Category Table'!$A308)</f>
        <v/>
      </c>
      <c r="AD308" s="111">
        <f>U308+X308+AA308</f>
        <v/>
      </c>
      <c r="AE308" s="112">
        <f>V308+Y308+AB308</f>
        <v/>
      </c>
      <c r="AF308" s="112">
        <f>W308+Z308+AC308</f>
        <v/>
      </c>
      <c r="AG308" s="111">
        <f>R308+AD308</f>
        <v/>
      </c>
      <c r="AH308" s="112">
        <f>S308+AE308</f>
        <v/>
      </c>
      <c r="AI308" s="112">
        <f>T308+AF308</f>
        <v/>
      </c>
      <c r="AJ308" s="111" t="n"/>
      <c r="AK308" s="112" t="n"/>
      <c r="AL308" s="112" t="n"/>
      <c r="AM308" s="111">
        <f>(O308-AG308)+AJ308</f>
        <v/>
      </c>
      <c r="AN308" s="112">
        <f>(P308-AH308)+AK308</f>
        <v/>
      </c>
      <c r="AO308" s="112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13" t="n"/>
      <c r="D309" s="114" t="n"/>
      <c r="E309" s="114" t="n"/>
      <c r="F309" s="113" t="n"/>
      <c r="G309" s="114" t="n"/>
      <c r="H309" s="114" t="n"/>
      <c r="I309" s="113" t="n"/>
      <c r="J309" s="114" t="n"/>
      <c r="K309" s="114" t="n"/>
      <c r="L309" s="113" t="n"/>
      <c r="M309" s="114" t="n"/>
      <c r="N309" s="114" t="n"/>
      <c r="O309" s="113">
        <f>L309+I309+F309+C309</f>
        <v/>
      </c>
      <c r="P309" s="114">
        <f>M309+J309+G309+D309</f>
        <v/>
      </c>
      <c r="Q309" s="114">
        <f>N309+K309+H309+E309</f>
        <v/>
      </c>
      <c r="R309" s="113">
        <f>SUMIFS('PO Log'!$E:$E,'PO Log'!$D:$D,'Category Table'!R$2,'PO Log'!$C:$C,'Category Table'!$A309)</f>
        <v/>
      </c>
      <c r="S309" s="114">
        <f>SUMIFS('PO Log'!$E:$E,'PO Log'!$D:$D,'Category Table'!S$2,'PO Log'!$C:$C,'Category Table'!$A309)</f>
        <v/>
      </c>
      <c r="T309" s="114">
        <f>SUMIFS('PO Log'!$E:$E,'PO Log'!$D:$D,'Category Table'!T$2,'PO Log'!$C:$C,'Category Table'!$A309)</f>
        <v/>
      </c>
      <c r="U309" s="113">
        <f>SUMIFS('Committments Dump'!$Q:$Q,'Committments Dump'!$C:$C,'Category Table'!U$2,'Committments Dump'!$B:$B,'Category Table'!$A309)</f>
        <v/>
      </c>
      <c r="V309" s="114">
        <f>SUMIFS('Committments Dump'!$Q:$Q,'Committments Dump'!$C:$C,'Category Table'!V$2,'Committments Dump'!$B:$B,'Category Table'!$A309)</f>
        <v/>
      </c>
      <c r="W309" s="114">
        <f>SUMIFS('Committments Dump'!$Q:$Q,'Committments Dump'!$C:$C,'Category Table'!W$2,'Committments Dump'!$B:$B,'Category Table'!$A309)</f>
        <v/>
      </c>
      <c r="X309" s="113">
        <f>SUMIFS('Committments Dump'!$R:$R,'Committments Dump'!$C:$C,'Category Table'!X$2,'Committments Dump'!$B:$B,'Category Table'!$A309)</f>
        <v/>
      </c>
      <c r="Y309" s="114">
        <f>SUMIFS('Committments Dump'!$R:$R,'Committments Dump'!$C:$C,'Category Table'!Y$2,'Committments Dump'!$B:$B,'Category Table'!$A309)</f>
        <v/>
      </c>
      <c r="Z309" s="114">
        <f>SUMIFS('Committments Dump'!$R:$R,'Committments Dump'!$C:$C,'Category Table'!Z$2,'Committments Dump'!$B:$B,'Category Table'!$A309)</f>
        <v/>
      </c>
      <c r="AA309" s="113">
        <f>SUMIFS('Committments Dump'!$S:$S,'Committments Dump'!$C:$C,'Category Table'!AA$2,'Committments Dump'!$B:$B,'Category Table'!$A309)</f>
        <v/>
      </c>
      <c r="AB309" s="114">
        <f>SUMIFS('Committments Dump'!$S:$S,'Committments Dump'!$C:$C,'Category Table'!AB$2,'Committments Dump'!$B:$B,'Category Table'!$A309)</f>
        <v/>
      </c>
      <c r="AC309" s="114">
        <f>SUMIFS('Committments Dump'!$S:$S,'Committments Dump'!$C:$C,'Category Table'!AC$2,'Committments Dump'!$B:$B,'Category Table'!$A309)</f>
        <v/>
      </c>
      <c r="AD309" s="113">
        <f>U309+X309+AA309</f>
        <v/>
      </c>
      <c r="AE309" s="114">
        <f>V309+Y309+AB309</f>
        <v/>
      </c>
      <c r="AF309" s="114">
        <f>W309+Z309+AC309</f>
        <v/>
      </c>
      <c r="AG309" s="113">
        <f>R309+AD309</f>
        <v/>
      </c>
      <c r="AH309" s="114">
        <f>S309+AE309</f>
        <v/>
      </c>
      <c r="AI309" s="114">
        <f>T309+AF309</f>
        <v/>
      </c>
      <c r="AJ309" s="113" t="n"/>
      <c r="AK309" s="114" t="n"/>
      <c r="AL309" s="114" t="n"/>
      <c r="AM309" s="113">
        <f>(O309-AG309)+AJ309</f>
        <v/>
      </c>
      <c r="AN309" s="114">
        <f>(P309-AH309)+AK309</f>
        <v/>
      </c>
      <c r="AO309" s="114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11" t="n"/>
      <c r="D310" s="112" t="n"/>
      <c r="E310" s="112" t="n"/>
      <c r="F310" s="111" t="n"/>
      <c r="G310" s="112" t="n"/>
      <c r="H310" s="112" t="n"/>
      <c r="I310" s="111" t="n"/>
      <c r="J310" s="112" t="n"/>
      <c r="K310" s="112" t="n"/>
      <c r="L310" s="111" t="n"/>
      <c r="M310" s="112" t="n"/>
      <c r="N310" s="112" t="n"/>
      <c r="O310" s="111">
        <f>L310+I310+F310+C310</f>
        <v/>
      </c>
      <c r="P310" s="112">
        <f>M310+J310+G310+D310</f>
        <v/>
      </c>
      <c r="Q310" s="112">
        <f>N310+K310+H310+E310</f>
        <v/>
      </c>
      <c r="R310" s="111">
        <f>SUMIFS('PO Log'!$E:$E,'PO Log'!$D:$D,'Category Table'!R$2,'PO Log'!$C:$C,'Category Table'!$A310)</f>
        <v/>
      </c>
      <c r="S310" s="112">
        <f>SUMIFS('PO Log'!$E:$E,'PO Log'!$D:$D,'Category Table'!S$2,'PO Log'!$C:$C,'Category Table'!$A310)</f>
        <v/>
      </c>
      <c r="T310" s="112">
        <f>SUMIFS('PO Log'!$E:$E,'PO Log'!$D:$D,'Category Table'!T$2,'PO Log'!$C:$C,'Category Table'!$A310)</f>
        <v/>
      </c>
      <c r="U310" s="111">
        <f>SUMIFS('Committments Dump'!$Q:$Q,'Committments Dump'!$C:$C,'Category Table'!U$2,'Committments Dump'!$B:$B,'Category Table'!$A310)</f>
        <v/>
      </c>
      <c r="V310" s="112">
        <f>SUMIFS('Committments Dump'!$Q:$Q,'Committments Dump'!$C:$C,'Category Table'!V$2,'Committments Dump'!$B:$B,'Category Table'!$A310)</f>
        <v/>
      </c>
      <c r="W310" s="112">
        <f>SUMIFS('Committments Dump'!$Q:$Q,'Committments Dump'!$C:$C,'Category Table'!W$2,'Committments Dump'!$B:$B,'Category Table'!$A310)</f>
        <v/>
      </c>
      <c r="X310" s="111">
        <f>SUMIFS('Committments Dump'!$R:$R,'Committments Dump'!$C:$C,'Category Table'!X$2,'Committments Dump'!$B:$B,'Category Table'!$A310)</f>
        <v/>
      </c>
      <c r="Y310" s="112">
        <f>SUMIFS('Committments Dump'!$R:$R,'Committments Dump'!$C:$C,'Category Table'!Y$2,'Committments Dump'!$B:$B,'Category Table'!$A310)</f>
        <v/>
      </c>
      <c r="Z310" s="112">
        <f>SUMIFS('Committments Dump'!$R:$R,'Committments Dump'!$C:$C,'Category Table'!Z$2,'Committments Dump'!$B:$B,'Category Table'!$A310)</f>
        <v/>
      </c>
      <c r="AA310" s="111">
        <f>SUMIFS('Committments Dump'!$S:$S,'Committments Dump'!$C:$C,'Category Table'!AA$2,'Committments Dump'!$B:$B,'Category Table'!$A310)</f>
        <v/>
      </c>
      <c r="AB310" s="112">
        <f>SUMIFS('Committments Dump'!$S:$S,'Committments Dump'!$C:$C,'Category Table'!AB$2,'Committments Dump'!$B:$B,'Category Table'!$A310)</f>
        <v/>
      </c>
      <c r="AC310" s="112">
        <f>SUMIFS('Committments Dump'!$S:$S,'Committments Dump'!$C:$C,'Category Table'!AC$2,'Committments Dump'!$B:$B,'Category Table'!$A310)</f>
        <v/>
      </c>
      <c r="AD310" s="111">
        <f>U310+X310+AA310</f>
        <v/>
      </c>
      <c r="AE310" s="112">
        <f>V310+Y310+AB310</f>
        <v/>
      </c>
      <c r="AF310" s="112">
        <f>W310+Z310+AC310</f>
        <v/>
      </c>
      <c r="AG310" s="111">
        <f>R310+AD310</f>
        <v/>
      </c>
      <c r="AH310" s="112">
        <f>S310+AE310</f>
        <v/>
      </c>
      <c r="AI310" s="112">
        <f>T310+AF310</f>
        <v/>
      </c>
      <c r="AJ310" s="111" t="n"/>
      <c r="AK310" s="112" t="n"/>
      <c r="AL310" s="112" t="n"/>
      <c r="AM310" s="111">
        <f>(O310-AG310)+AJ310</f>
        <v/>
      </c>
      <c r="AN310" s="112">
        <f>(P310-AH310)+AK310</f>
        <v/>
      </c>
      <c r="AO310" s="112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13" t="n"/>
      <c r="D311" s="114" t="n"/>
      <c r="E311" s="114" t="n"/>
      <c r="F311" s="113" t="n"/>
      <c r="G311" s="114" t="n"/>
      <c r="H311" s="114" t="n"/>
      <c r="I311" s="113" t="n"/>
      <c r="J311" s="114" t="n"/>
      <c r="K311" s="114" t="n"/>
      <c r="L311" s="113" t="n"/>
      <c r="M311" s="114" t="n"/>
      <c r="N311" s="114" t="n"/>
      <c r="O311" s="113">
        <f>L311+I311+F311+C311</f>
        <v/>
      </c>
      <c r="P311" s="114">
        <f>M311+J311+G311+D311</f>
        <v/>
      </c>
      <c r="Q311" s="114">
        <f>N311+K311+H311+E311</f>
        <v/>
      </c>
      <c r="R311" s="113">
        <f>SUMIFS('PO Log'!$E:$E,'PO Log'!$D:$D,'Category Table'!R$2,'PO Log'!$C:$C,'Category Table'!$A311)</f>
        <v/>
      </c>
      <c r="S311" s="114">
        <f>SUMIFS('PO Log'!$E:$E,'PO Log'!$D:$D,'Category Table'!S$2,'PO Log'!$C:$C,'Category Table'!$A311)</f>
        <v/>
      </c>
      <c r="T311" s="114">
        <f>SUMIFS('PO Log'!$E:$E,'PO Log'!$D:$D,'Category Table'!T$2,'PO Log'!$C:$C,'Category Table'!$A311)</f>
        <v/>
      </c>
      <c r="U311" s="113">
        <f>SUMIFS('Committments Dump'!$Q:$Q,'Committments Dump'!$C:$C,'Category Table'!U$2,'Committments Dump'!$B:$B,'Category Table'!$A311)</f>
        <v/>
      </c>
      <c r="V311" s="114">
        <f>SUMIFS('Committments Dump'!$Q:$Q,'Committments Dump'!$C:$C,'Category Table'!V$2,'Committments Dump'!$B:$B,'Category Table'!$A311)</f>
        <v/>
      </c>
      <c r="W311" s="114">
        <f>SUMIFS('Committments Dump'!$Q:$Q,'Committments Dump'!$C:$C,'Category Table'!W$2,'Committments Dump'!$B:$B,'Category Table'!$A311)</f>
        <v/>
      </c>
      <c r="X311" s="113">
        <f>SUMIFS('Committments Dump'!$R:$R,'Committments Dump'!$C:$C,'Category Table'!X$2,'Committments Dump'!$B:$B,'Category Table'!$A311)</f>
        <v/>
      </c>
      <c r="Y311" s="114">
        <f>SUMIFS('Committments Dump'!$R:$R,'Committments Dump'!$C:$C,'Category Table'!Y$2,'Committments Dump'!$B:$B,'Category Table'!$A311)</f>
        <v/>
      </c>
      <c r="Z311" s="114">
        <f>SUMIFS('Committments Dump'!$R:$R,'Committments Dump'!$C:$C,'Category Table'!Z$2,'Committments Dump'!$B:$B,'Category Table'!$A311)</f>
        <v/>
      </c>
      <c r="AA311" s="113">
        <f>SUMIFS('Committments Dump'!$S:$S,'Committments Dump'!$C:$C,'Category Table'!AA$2,'Committments Dump'!$B:$B,'Category Table'!$A311)</f>
        <v/>
      </c>
      <c r="AB311" s="114">
        <f>SUMIFS('Committments Dump'!$S:$S,'Committments Dump'!$C:$C,'Category Table'!AB$2,'Committments Dump'!$B:$B,'Category Table'!$A311)</f>
        <v/>
      </c>
      <c r="AC311" s="114">
        <f>SUMIFS('Committments Dump'!$S:$S,'Committments Dump'!$C:$C,'Category Table'!AC$2,'Committments Dump'!$B:$B,'Category Table'!$A311)</f>
        <v/>
      </c>
      <c r="AD311" s="113">
        <f>U311+X311+AA311</f>
        <v/>
      </c>
      <c r="AE311" s="114">
        <f>V311+Y311+AB311</f>
        <v/>
      </c>
      <c r="AF311" s="114">
        <f>W311+Z311+AC311</f>
        <v/>
      </c>
      <c r="AG311" s="113">
        <f>R311+AD311</f>
        <v/>
      </c>
      <c r="AH311" s="114">
        <f>S311+AE311</f>
        <v/>
      </c>
      <c r="AI311" s="114">
        <f>T311+AF311</f>
        <v/>
      </c>
      <c r="AJ311" s="113" t="n"/>
      <c r="AK311" s="114" t="n"/>
      <c r="AL311" s="114" t="n"/>
      <c r="AM311" s="113">
        <f>(O311-AG311)+AJ311</f>
        <v/>
      </c>
      <c r="AN311" s="114">
        <f>(P311-AH311)+AK311</f>
        <v/>
      </c>
      <c r="AO311" s="114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11" t="n"/>
      <c r="D312" s="112" t="n"/>
      <c r="E312" s="112" t="n"/>
      <c r="F312" s="111" t="n"/>
      <c r="G312" s="112" t="n"/>
      <c r="H312" s="112" t="n"/>
      <c r="I312" s="111" t="n"/>
      <c r="J312" s="112" t="n"/>
      <c r="K312" s="112" t="n"/>
      <c r="L312" s="111" t="n"/>
      <c r="M312" s="112" t="n"/>
      <c r="N312" s="112" t="n"/>
      <c r="O312" s="111">
        <f>L312+I312+F312+C312</f>
        <v/>
      </c>
      <c r="P312" s="112">
        <f>M312+J312+G312+D312</f>
        <v/>
      </c>
      <c r="Q312" s="112">
        <f>N312+K312+H312+E312</f>
        <v/>
      </c>
      <c r="R312" s="111">
        <f>SUMIFS('PO Log'!$E:$E,'PO Log'!$D:$D,'Category Table'!R$2,'PO Log'!$C:$C,'Category Table'!$A312)</f>
        <v/>
      </c>
      <c r="S312" s="112">
        <f>SUMIFS('PO Log'!$E:$E,'PO Log'!$D:$D,'Category Table'!S$2,'PO Log'!$C:$C,'Category Table'!$A312)</f>
        <v/>
      </c>
      <c r="T312" s="112">
        <f>SUMIFS('PO Log'!$E:$E,'PO Log'!$D:$D,'Category Table'!T$2,'PO Log'!$C:$C,'Category Table'!$A312)</f>
        <v/>
      </c>
      <c r="U312" s="111">
        <f>SUMIFS('Committments Dump'!$Q:$Q,'Committments Dump'!$C:$C,'Category Table'!U$2,'Committments Dump'!$B:$B,'Category Table'!$A312)</f>
        <v/>
      </c>
      <c r="V312" s="112">
        <f>SUMIFS('Committments Dump'!$Q:$Q,'Committments Dump'!$C:$C,'Category Table'!V$2,'Committments Dump'!$B:$B,'Category Table'!$A312)</f>
        <v/>
      </c>
      <c r="W312" s="112">
        <f>SUMIFS('Committments Dump'!$Q:$Q,'Committments Dump'!$C:$C,'Category Table'!W$2,'Committments Dump'!$B:$B,'Category Table'!$A312)</f>
        <v/>
      </c>
      <c r="X312" s="111">
        <f>SUMIFS('Committments Dump'!$R:$R,'Committments Dump'!$C:$C,'Category Table'!X$2,'Committments Dump'!$B:$B,'Category Table'!$A312)</f>
        <v/>
      </c>
      <c r="Y312" s="112">
        <f>SUMIFS('Committments Dump'!$R:$R,'Committments Dump'!$C:$C,'Category Table'!Y$2,'Committments Dump'!$B:$B,'Category Table'!$A312)</f>
        <v/>
      </c>
      <c r="Z312" s="112">
        <f>SUMIFS('Committments Dump'!$R:$R,'Committments Dump'!$C:$C,'Category Table'!Z$2,'Committments Dump'!$B:$B,'Category Table'!$A312)</f>
        <v/>
      </c>
      <c r="AA312" s="111">
        <f>SUMIFS('Committments Dump'!$S:$S,'Committments Dump'!$C:$C,'Category Table'!AA$2,'Committments Dump'!$B:$B,'Category Table'!$A312)</f>
        <v/>
      </c>
      <c r="AB312" s="112">
        <f>SUMIFS('Committments Dump'!$S:$S,'Committments Dump'!$C:$C,'Category Table'!AB$2,'Committments Dump'!$B:$B,'Category Table'!$A312)</f>
        <v/>
      </c>
      <c r="AC312" s="112">
        <f>SUMIFS('Committments Dump'!$S:$S,'Committments Dump'!$C:$C,'Category Table'!AC$2,'Committments Dump'!$B:$B,'Category Table'!$A312)</f>
        <v/>
      </c>
      <c r="AD312" s="111">
        <f>U312+X312+AA312</f>
        <v/>
      </c>
      <c r="AE312" s="112">
        <f>V312+Y312+AB312</f>
        <v/>
      </c>
      <c r="AF312" s="112">
        <f>W312+Z312+AC312</f>
        <v/>
      </c>
      <c r="AG312" s="111">
        <f>R312+AD312</f>
        <v/>
      </c>
      <c r="AH312" s="112">
        <f>S312+AE312</f>
        <v/>
      </c>
      <c r="AI312" s="112">
        <f>T312+AF312</f>
        <v/>
      </c>
      <c r="AJ312" s="111" t="n"/>
      <c r="AK312" s="112" t="n"/>
      <c r="AL312" s="112" t="n"/>
      <c r="AM312" s="111">
        <f>(O312-AG312)+AJ312</f>
        <v/>
      </c>
      <c r="AN312" s="112">
        <f>(P312-AH312)+AK312</f>
        <v/>
      </c>
      <c r="AO312" s="112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13" t="n"/>
      <c r="D313" s="114" t="n"/>
      <c r="E313" s="114" t="n"/>
      <c r="F313" s="113" t="n"/>
      <c r="G313" s="114" t="n"/>
      <c r="H313" s="114" t="n"/>
      <c r="I313" s="113" t="n"/>
      <c r="J313" s="114" t="n"/>
      <c r="K313" s="114" t="n"/>
      <c r="L313" s="113" t="n"/>
      <c r="M313" s="114" t="n"/>
      <c r="N313" s="114" t="n"/>
      <c r="O313" s="113">
        <f>L313+I313+F313+C313</f>
        <v/>
      </c>
      <c r="P313" s="114">
        <f>M313+J313+G313+D313</f>
        <v/>
      </c>
      <c r="Q313" s="114">
        <f>N313+K313+H313+E313</f>
        <v/>
      </c>
      <c r="R313" s="113">
        <f>SUMIFS('PO Log'!$E:$E,'PO Log'!$D:$D,'Category Table'!R$2,'PO Log'!$C:$C,'Category Table'!$A313)</f>
        <v/>
      </c>
      <c r="S313" s="114">
        <f>SUMIFS('PO Log'!$E:$E,'PO Log'!$D:$D,'Category Table'!S$2,'PO Log'!$C:$C,'Category Table'!$A313)</f>
        <v/>
      </c>
      <c r="T313" s="114">
        <f>SUMIFS('PO Log'!$E:$E,'PO Log'!$D:$D,'Category Table'!T$2,'PO Log'!$C:$C,'Category Table'!$A313)</f>
        <v/>
      </c>
      <c r="U313" s="113">
        <f>SUMIFS('Committments Dump'!$Q:$Q,'Committments Dump'!$C:$C,'Category Table'!U$2,'Committments Dump'!$B:$B,'Category Table'!$A313)</f>
        <v/>
      </c>
      <c r="V313" s="114">
        <f>SUMIFS('Committments Dump'!$Q:$Q,'Committments Dump'!$C:$C,'Category Table'!V$2,'Committments Dump'!$B:$B,'Category Table'!$A313)</f>
        <v/>
      </c>
      <c r="W313" s="114">
        <f>SUMIFS('Committments Dump'!$Q:$Q,'Committments Dump'!$C:$C,'Category Table'!W$2,'Committments Dump'!$B:$B,'Category Table'!$A313)</f>
        <v/>
      </c>
      <c r="X313" s="113">
        <f>SUMIFS('Committments Dump'!$R:$R,'Committments Dump'!$C:$C,'Category Table'!X$2,'Committments Dump'!$B:$B,'Category Table'!$A313)</f>
        <v/>
      </c>
      <c r="Y313" s="114">
        <f>SUMIFS('Committments Dump'!$R:$R,'Committments Dump'!$C:$C,'Category Table'!Y$2,'Committments Dump'!$B:$B,'Category Table'!$A313)</f>
        <v/>
      </c>
      <c r="Z313" s="114">
        <f>SUMIFS('Committments Dump'!$R:$R,'Committments Dump'!$C:$C,'Category Table'!Z$2,'Committments Dump'!$B:$B,'Category Table'!$A313)</f>
        <v/>
      </c>
      <c r="AA313" s="113">
        <f>SUMIFS('Committments Dump'!$S:$S,'Committments Dump'!$C:$C,'Category Table'!AA$2,'Committments Dump'!$B:$B,'Category Table'!$A313)</f>
        <v/>
      </c>
      <c r="AB313" s="114">
        <f>SUMIFS('Committments Dump'!$S:$S,'Committments Dump'!$C:$C,'Category Table'!AB$2,'Committments Dump'!$B:$B,'Category Table'!$A313)</f>
        <v/>
      </c>
      <c r="AC313" s="114">
        <f>SUMIFS('Committments Dump'!$S:$S,'Committments Dump'!$C:$C,'Category Table'!AC$2,'Committments Dump'!$B:$B,'Category Table'!$A313)</f>
        <v/>
      </c>
      <c r="AD313" s="113">
        <f>U313+X313+AA313</f>
        <v/>
      </c>
      <c r="AE313" s="114">
        <f>V313+Y313+AB313</f>
        <v/>
      </c>
      <c r="AF313" s="114">
        <f>W313+Z313+AC313</f>
        <v/>
      </c>
      <c r="AG313" s="113">
        <f>R313+AD313</f>
        <v/>
      </c>
      <c r="AH313" s="114">
        <f>S313+AE313</f>
        <v/>
      </c>
      <c r="AI313" s="114">
        <f>T313+AF313</f>
        <v/>
      </c>
      <c r="AJ313" s="113" t="n"/>
      <c r="AK313" s="114" t="n"/>
      <c r="AL313" s="114" t="n"/>
      <c r="AM313" s="113">
        <f>(O313-AG313)+AJ313</f>
        <v/>
      </c>
      <c r="AN313" s="114">
        <f>(P313-AH313)+AK313</f>
        <v/>
      </c>
      <c r="AO313" s="114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11" t="n"/>
      <c r="D314" s="112" t="n"/>
      <c r="E314" s="112" t="n"/>
      <c r="F314" s="111" t="n"/>
      <c r="G314" s="112" t="n"/>
      <c r="H314" s="112" t="n"/>
      <c r="I314" s="111" t="n"/>
      <c r="J314" s="112" t="n"/>
      <c r="K314" s="112" t="n"/>
      <c r="L314" s="111" t="n"/>
      <c r="M314" s="112" t="n"/>
      <c r="N314" s="112" t="n"/>
      <c r="O314" s="111">
        <f>L314+I314+F314+C314</f>
        <v/>
      </c>
      <c r="P314" s="112">
        <f>M314+J314+G314+D314</f>
        <v/>
      </c>
      <c r="Q314" s="112">
        <f>N314+K314+H314+E314</f>
        <v/>
      </c>
      <c r="R314" s="111">
        <f>SUMIFS('PO Log'!$E:$E,'PO Log'!$D:$D,'Category Table'!R$2,'PO Log'!$C:$C,'Category Table'!$A314)</f>
        <v/>
      </c>
      <c r="S314" s="112">
        <f>SUMIFS('PO Log'!$E:$E,'PO Log'!$D:$D,'Category Table'!S$2,'PO Log'!$C:$C,'Category Table'!$A314)</f>
        <v/>
      </c>
      <c r="T314" s="112">
        <f>SUMIFS('PO Log'!$E:$E,'PO Log'!$D:$D,'Category Table'!T$2,'PO Log'!$C:$C,'Category Table'!$A314)</f>
        <v/>
      </c>
      <c r="U314" s="111">
        <f>SUMIFS('Committments Dump'!$Q:$Q,'Committments Dump'!$C:$C,'Category Table'!U$2,'Committments Dump'!$B:$B,'Category Table'!$A314)</f>
        <v/>
      </c>
      <c r="V314" s="112">
        <f>SUMIFS('Committments Dump'!$Q:$Q,'Committments Dump'!$C:$C,'Category Table'!V$2,'Committments Dump'!$B:$B,'Category Table'!$A314)</f>
        <v/>
      </c>
      <c r="W314" s="112">
        <f>SUMIFS('Committments Dump'!$Q:$Q,'Committments Dump'!$C:$C,'Category Table'!W$2,'Committments Dump'!$B:$B,'Category Table'!$A314)</f>
        <v/>
      </c>
      <c r="X314" s="111">
        <f>SUMIFS('Committments Dump'!$R:$R,'Committments Dump'!$C:$C,'Category Table'!X$2,'Committments Dump'!$B:$B,'Category Table'!$A314)</f>
        <v/>
      </c>
      <c r="Y314" s="112">
        <f>SUMIFS('Committments Dump'!$R:$R,'Committments Dump'!$C:$C,'Category Table'!Y$2,'Committments Dump'!$B:$B,'Category Table'!$A314)</f>
        <v/>
      </c>
      <c r="Z314" s="112">
        <f>SUMIFS('Committments Dump'!$R:$R,'Committments Dump'!$C:$C,'Category Table'!Z$2,'Committments Dump'!$B:$B,'Category Table'!$A314)</f>
        <v/>
      </c>
      <c r="AA314" s="111">
        <f>SUMIFS('Committments Dump'!$S:$S,'Committments Dump'!$C:$C,'Category Table'!AA$2,'Committments Dump'!$B:$B,'Category Table'!$A314)</f>
        <v/>
      </c>
      <c r="AB314" s="112">
        <f>SUMIFS('Committments Dump'!$S:$S,'Committments Dump'!$C:$C,'Category Table'!AB$2,'Committments Dump'!$B:$B,'Category Table'!$A314)</f>
        <v/>
      </c>
      <c r="AC314" s="112">
        <f>SUMIFS('Committments Dump'!$S:$S,'Committments Dump'!$C:$C,'Category Table'!AC$2,'Committments Dump'!$B:$B,'Category Table'!$A314)</f>
        <v/>
      </c>
      <c r="AD314" s="111">
        <f>U314+X314+AA314</f>
        <v/>
      </c>
      <c r="AE314" s="112">
        <f>V314+Y314+AB314</f>
        <v/>
      </c>
      <c r="AF314" s="112">
        <f>W314+Z314+AC314</f>
        <v/>
      </c>
      <c r="AG314" s="111">
        <f>R314+AD314</f>
        <v/>
      </c>
      <c r="AH314" s="112">
        <f>S314+AE314</f>
        <v/>
      </c>
      <c r="AI314" s="112">
        <f>T314+AF314</f>
        <v/>
      </c>
      <c r="AJ314" s="111" t="n"/>
      <c r="AK314" s="112" t="n"/>
      <c r="AL314" s="112" t="n"/>
      <c r="AM314" s="111">
        <f>(O314-AG314)+AJ314</f>
        <v/>
      </c>
      <c r="AN314" s="112">
        <f>(P314-AH314)+AK314</f>
        <v/>
      </c>
      <c r="AO314" s="112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13" t="n"/>
      <c r="D315" s="114" t="n"/>
      <c r="E315" s="114" t="n"/>
      <c r="F315" s="113" t="n"/>
      <c r="G315" s="114" t="n"/>
      <c r="H315" s="114" t="n"/>
      <c r="I315" s="113" t="n"/>
      <c r="J315" s="114" t="n"/>
      <c r="K315" s="114" t="n"/>
      <c r="L315" s="113" t="n"/>
      <c r="M315" s="114" t="n"/>
      <c r="N315" s="114" t="n"/>
      <c r="O315" s="113">
        <f>L315+I315+F315+C315</f>
        <v/>
      </c>
      <c r="P315" s="114">
        <f>M315+J315+G315+D315</f>
        <v/>
      </c>
      <c r="Q315" s="114">
        <f>N315+K315+H315+E315</f>
        <v/>
      </c>
      <c r="R315" s="113">
        <f>SUMIFS('PO Log'!$E:$E,'PO Log'!$D:$D,'Category Table'!R$2,'PO Log'!$C:$C,'Category Table'!$A315)</f>
        <v/>
      </c>
      <c r="S315" s="114">
        <f>SUMIFS('PO Log'!$E:$E,'PO Log'!$D:$D,'Category Table'!S$2,'PO Log'!$C:$C,'Category Table'!$A315)</f>
        <v/>
      </c>
      <c r="T315" s="114">
        <f>SUMIFS('PO Log'!$E:$E,'PO Log'!$D:$D,'Category Table'!T$2,'PO Log'!$C:$C,'Category Table'!$A315)</f>
        <v/>
      </c>
      <c r="U315" s="113">
        <f>SUMIFS('Committments Dump'!$Q:$Q,'Committments Dump'!$C:$C,'Category Table'!U$2,'Committments Dump'!$B:$B,'Category Table'!$A315)</f>
        <v/>
      </c>
      <c r="V315" s="114">
        <f>SUMIFS('Committments Dump'!$Q:$Q,'Committments Dump'!$C:$C,'Category Table'!V$2,'Committments Dump'!$B:$B,'Category Table'!$A315)</f>
        <v/>
      </c>
      <c r="W315" s="114">
        <f>SUMIFS('Committments Dump'!$Q:$Q,'Committments Dump'!$C:$C,'Category Table'!W$2,'Committments Dump'!$B:$B,'Category Table'!$A315)</f>
        <v/>
      </c>
      <c r="X315" s="113">
        <f>SUMIFS('Committments Dump'!$R:$R,'Committments Dump'!$C:$C,'Category Table'!X$2,'Committments Dump'!$B:$B,'Category Table'!$A315)</f>
        <v/>
      </c>
      <c r="Y315" s="114">
        <f>SUMIFS('Committments Dump'!$R:$R,'Committments Dump'!$C:$C,'Category Table'!Y$2,'Committments Dump'!$B:$B,'Category Table'!$A315)</f>
        <v/>
      </c>
      <c r="Z315" s="114">
        <f>SUMIFS('Committments Dump'!$R:$R,'Committments Dump'!$C:$C,'Category Table'!Z$2,'Committments Dump'!$B:$B,'Category Table'!$A315)</f>
        <v/>
      </c>
      <c r="AA315" s="113">
        <f>SUMIFS('Committments Dump'!$S:$S,'Committments Dump'!$C:$C,'Category Table'!AA$2,'Committments Dump'!$B:$B,'Category Table'!$A315)</f>
        <v/>
      </c>
      <c r="AB315" s="114">
        <f>SUMIFS('Committments Dump'!$S:$S,'Committments Dump'!$C:$C,'Category Table'!AB$2,'Committments Dump'!$B:$B,'Category Table'!$A315)</f>
        <v/>
      </c>
      <c r="AC315" s="114">
        <f>SUMIFS('Committments Dump'!$S:$S,'Committments Dump'!$C:$C,'Category Table'!AC$2,'Committments Dump'!$B:$B,'Category Table'!$A315)</f>
        <v/>
      </c>
      <c r="AD315" s="113">
        <f>U315+X315+AA315</f>
        <v/>
      </c>
      <c r="AE315" s="114">
        <f>V315+Y315+AB315</f>
        <v/>
      </c>
      <c r="AF315" s="114">
        <f>W315+Z315+AC315</f>
        <v/>
      </c>
      <c r="AG315" s="113">
        <f>R315+AD315</f>
        <v/>
      </c>
      <c r="AH315" s="114">
        <f>S315+AE315</f>
        <v/>
      </c>
      <c r="AI315" s="114">
        <f>T315+AF315</f>
        <v/>
      </c>
      <c r="AJ315" s="113" t="n"/>
      <c r="AK315" s="114" t="n"/>
      <c r="AL315" s="114" t="n"/>
      <c r="AM315" s="113">
        <f>(O315-AG315)+AJ315</f>
        <v/>
      </c>
      <c r="AN315" s="114">
        <f>(P315-AH315)+AK315</f>
        <v/>
      </c>
      <c r="AO315" s="114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11" t="n"/>
      <c r="D316" s="112" t="n"/>
      <c r="E316" s="112" t="n"/>
      <c r="F316" s="111" t="n"/>
      <c r="G316" s="112" t="n"/>
      <c r="H316" s="112" t="n"/>
      <c r="I316" s="111" t="n"/>
      <c r="J316" s="112" t="n"/>
      <c r="K316" s="112" t="n"/>
      <c r="L316" s="111" t="n"/>
      <c r="M316" s="112" t="n"/>
      <c r="N316" s="112" t="n"/>
      <c r="O316" s="111">
        <f>L316+I316+F316+C316</f>
        <v/>
      </c>
      <c r="P316" s="112">
        <f>M316+J316+G316+D316</f>
        <v/>
      </c>
      <c r="Q316" s="112">
        <f>N316+K316+H316+E316</f>
        <v/>
      </c>
      <c r="R316" s="111">
        <f>SUMIFS('PO Log'!$E:$E,'PO Log'!$D:$D,'Category Table'!R$2,'PO Log'!$C:$C,'Category Table'!$A316)</f>
        <v/>
      </c>
      <c r="S316" s="112">
        <f>SUMIFS('PO Log'!$E:$E,'PO Log'!$D:$D,'Category Table'!S$2,'PO Log'!$C:$C,'Category Table'!$A316)</f>
        <v/>
      </c>
      <c r="T316" s="112">
        <f>SUMIFS('PO Log'!$E:$E,'PO Log'!$D:$D,'Category Table'!T$2,'PO Log'!$C:$C,'Category Table'!$A316)</f>
        <v/>
      </c>
      <c r="U316" s="111">
        <f>SUMIFS('Committments Dump'!$Q:$Q,'Committments Dump'!$C:$C,'Category Table'!U$2,'Committments Dump'!$B:$B,'Category Table'!$A316)</f>
        <v/>
      </c>
      <c r="V316" s="112">
        <f>SUMIFS('Committments Dump'!$Q:$Q,'Committments Dump'!$C:$C,'Category Table'!V$2,'Committments Dump'!$B:$B,'Category Table'!$A316)</f>
        <v/>
      </c>
      <c r="W316" s="112">
        <f>SUMIFS('Committments Dump'!$Q:$Q,'Committments Dump'!$C:$C,'Category Table'!W$2,'Committments Dump'!$B:$B,'Category Table'!$A316)</f>
        <v/>
      </c>
      <c r="X316" s="111">
        <f>SUMIFS('Committments Dump'!$R:$R,'Committments Dump'!$C:$C,'Category Table'!X$2,'Committments Dump'!$B:$B,'Category Table'!$A316)</f>
        <v/>
      </c>
      <c r="Y316" s="112">
        <f>SUMIFS('Committments Dump'!$R:$R,'Committments Dump'!$C:$C,'Category Table'!Y$2,'Committments Dump'!$B:$B,'Category Table'!$A316)</f>
        <v/>
      </c>
      <c r="Z316" s="112">
        <f>SUMIFS('Committments Dump'!$R:$R,'Committments Dump'!$C:$C,'Category Table'!Z$2,'Committments Dump'!$B:$B,'Category Table'!$A316)</f>
        <v/>
      </c>
      <c r="AA316" s="111">
        <f>SUMIFS('Committments Dump'!$S:$S,'Committments Dump'!$C:$C,'Category Table'!AA$2,'Committments Dump'!$B:$B,'Category Table'!$A316)</f>
        <v/>
      </c>
      <c r="AB316" s="112">
        <f>SUMIFS('Committments Dump'!$S:$S,'Committments Dump'!$C:$C,'Category Table'!AB$2,'Committments Dump'!$B:$B,'Category Table'!$A316)</f>
        <v/>
      </c>
      <c r="AC316" s="112">
        <f>SUMIFS('Committments Dump'!$S:$S,'Committments Dump'!$C:$C,'Category Table'!AC$2,'Committments Dump'!$B:$B,'Category Table'!$A316)</f>
        <v/>
      </c>
      <c r="AD316" s="111">
        <f>U316+X316+AA316</f>
        <v/>
      </c>
      <c r="AE316" s="112">
        <f>V316+Y316+AB316</f>
        <v/>
      </c>
      <c r="AF316" s="112">
        <f>W316+Z316+AC316</f>
        <v/>
      </c>
      <c r="AG316" s="111">
        <f>R316+AD316</f>
        <v/>
      </c>
      <c r="AH316" s="112">
        <f>S316+AE316</f>
        <v/>
      </c>
      <c r="AI316" s="112">
        <f>T316+AF316</f>
        <v/>
      </c>
      <c r="AJ316" s="111" t="n"/>
      <c r="AK316" s="112" t="n"/>
      <c r="AL316" s="112" t="n"/>
      <c r="AM316" s="111">
        <f>(O316-AG316)+AJ316</f>
        <v/>
      </c>
      <c r="AN316" s="112">
        <f>(P316-AH316)+AK316</f>
        <v/>
      </c>
      <c r="AO316" s="112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13" t="n"/>
      <c r="D317" s="114" t="n"/>
      <c r="E317" s="114" t="n"/>
      <c r="F317" s="113" t="n"/>
      <c r="G317" s="114" t="n"/>
      <c r="H317" s="114" t="n"/>
      <c r="I317" s="113" t="n"/>
      <c r="J317" s="114" t="n"/>
      <c r="K317" s="114" t="n"/>
      <c r="L317" s="113" t="n"/>
      <c r="M317" s="114" t="n"/>
      <c r="N317" s="114" t="n"/>
      <c r="O317" s="113">
        <f>L317+I317+F317+C317</f>
        <v/>
      </c>
      <c r="P317" s="114">
        <f>M317+J317+G317+D317</f>
        <v/>
      </c>
      <c r="Q317" s="114">
        <f>N317+K317+H317+E317</f>
        <v/>
      </c>
      <c r="R317" s="113">
        <f>SUMIFS('PO Log'!$E:$E,'PO Log'!$D:$D,'Category Table'!R$2,'PO Log'!$C:$C,'Category Table'!$A317)</f>
        <v/>
      </c>
      <c r="S317" s="114">
        <f>SUMIFS('PO Log'!$E:$E,'PO Log'!$D:$D,'Category Table'!S$2,'PO Log'!$C:$C,'Category Table'!$A317)</f>
        <v/>
      </c>
      <c r="T317" s="114">
        <f>SUMIFS('PO Log'!$E:$E,'PO Log'!$D:$D,'Category Table'!T$2,'PO Log'!$C:$C,'Category Table'!$A317)</f>
        <v/>
      </c>
      <c r="U317" s="113">
        <f>SUMIFS('Committments Dump'!$Q:$Q,'Committments Dump'!$C:$C,'Category Table'!U$2,'Committments Dump'!$B:$B,'Category Table'!$A317)</f>
        <v/>
      </c>
      <c r="V317" s="114">
        <f>SUMIFS('Committments Dump'!$Q:$Q,'Committments Dump'!$C:$C,'Category Table'!V$2,'Committments Dump'!$B:$B,'Category Table'!$A317)</f>
        <v/>
      </c>
      <c r="W317" s="114">
        <f>SUMIFS('Committments Dump'!$Q:$Q,'Committments Dump'!$C:$C,'Category Table'!W$2,'Committments Dump'!$B:$B,'Category Table'!$A317)</f>
        <v/>
      </c>
      <c r="X317" s="113">
        <f>SUMIFS('Committments Dump'!$R:$R,'Committments Dump'!$C:$C,'Category Table'!X$2,'Committments Dump'!$B:$B,'Category Table'!$A317)</f>
        <v/>
      </c>
      <c r="Y317" s="114">
        <f>SUMIFS('Committments Dump'!$R:$R,'Committments Dump'!$C:$C,'Category Table'!Y$2,'Committments Dump'!$B:$B,'Category Table'!$A317)</f>
        <v/>
      </c>
      <c r="Z317" s="114">
        <f>SUMIFS('Committments Dump'!$R:$R,'Committments Dump'!$C:$C,'Category Table'!Z$2,'Committments Dump'!$B:$B,'Category Table'!$A317)</f>
        <v/>
      </c>
      <c r="AA317" s="113">
        <f>SUMIFS('Committments Dump'!$S:$S,'Committments Dump'!$C:$C,'Category Table'!AA$2,'Committments Dump'!$B:$B,'Category Table'!$A317)</f>
        <v/>
      </c>
      <c r="AB317" s="114">
        <f>SUMIFS('Committments Dump'!$S:$S,'Committments Dump'!$C:$C,'Category Table'!AB$2,'Committments Dump'!$B:$B,'Category Table'!$A317)</f>
        <v/>
      </c>
      <c r="AC317" s="114">
        <f>SUMIFS('Committments Dump'!$S:$S,'Committments Dump'!$C:$C,'Category Table'!AC$2,'Committments Dump'!$B:$B,'Category Table'!$A317)</f>
        <v/>
      </c>
      <c r="AD317" s="113">
        <f>U317+X317+AA317</f>
        <v/>
      </c>
      <c r="AE317" s="114">
        <f>V317+Y317+AB317</f>
        <v/>
      </c>
      <c r="AF317" s="114">
        <f>W317+Z317+AC317</f>
        <v/>
      </c>
      <c r="AG317" s="113">
        <f>R317+AD317</f>
        <v/>
      </c>
      <c r="AH317" s="114">
        <f>S317+AE317</f>
        <v/>
      </c>
      <c r="AI317" s="114">
        <f>T317+AF317</f>
        <v/>
      </c>
      <c r="AJ317" s="113" t="n"/>
      <c r="AK317" s="114" t="n"/>
      <c r="AL317" s="114" t="n"/>
      <c r="AM317" s="113">
        <f>(O317-AG317)+AJ317</f>
        <v/>
      </c>
      <c r="AN317" s="114">
        <f>(P317-AH317)+AK317</f>
        <v/>
      </c>
      <c r="AO317" s="114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11" t="n"/>
      <c r="D318" s="112" t="n"/>
      <c r="E318" s="112" t="n"/>
      <c r="F318" s="111" t="n"/>
      <c r="G318" s="112" t="n"/>
      <c r="H318" s="112" t="n"/>
      <c r="I318" s="111" t="n"/>
      <c r="J318" s="112" t="n"/>
      <c r="K318" s="112" t="n"/>
      <c r="L318" s="111" t="n"/>
      <c r="M318" s="112" t="n"/>
      <c r="N318" s="112" t="n"/>
      <c r="O318" s="111">
        <f>L318+I318+F318+C318</f>
        <v/>
      </c>
      <c r="P318" s="112">
        <f>M318+J318+G318+D318</f>
        <v/>
      </c>
      <c r="Q318" s="112">
        <f>N318+K318+H318+E318</f>
        <v/>
      </c>
      <c r="R318" s="111">
        <f>SUMIFS('PO Log'!$E:$E,'PO Log'!$D:$D,'Category Table'!R$2,'PO Log'!$C:$C,'Category Table'!$A318)</f>
        <v/>
      </c>
      <c r="S318" s="112">
        <f>SUMIFS('PO Log'!$E:$E,'PO Log'!$D:$D,'Category Table'!S$2,'PO Log'!$C:$C,'Category Table'!$A318)</f>
        <v/>
      </c>
      <c r="T318" s="112">
        <f>SUMIFS('PO Log'!$E:$E,'PO Log'!$D:$D,'Category Table'!T$2,'PO Log'!$C:$C,'Category Table'!$A318)</f>
        <v/>
      </c>
      <c r="U318" s="111">
        <f>SUMIFS('Committments Dump'!$Q:$Q,'Committments Dump'!$C:$C,'Category Table'!U$2,'Committments Dump'!$B:$B,'Category Table'!$A318)</f>
        <v/>
      </c>
      <c r="V318" s="112">
        <f>SUMIFS('Committments Dump'!$Q:$Q,'Committments Dump'!$C:$C,'Category Table'!V$2,'Committments Dump'!$B:$B,'Category Table'!$A318)</f>
        <v/>
      </c>
      <c r="W318" s="112">
        <f>SUMIFS('Committments Dump'!$Q:$Q,'Committments Dump'!$C:$C,'Category Table'!W$2,'Committments Dump'!$B:$B,'Category Table'!$A318)</f>
        <v/>
      </c>
      <c r="X318" s="111">
        <f>SUMIFS('Committments Dump'!$R:$R,'Committments Dump'!$C:$C,'Category Table'!X$2,'Committments Dump'!$B:$B,'Category Table'!$A318)</f>
        <v/>
      </c>
      <c r="Y318" s="112">
        <f>SUMIFS('Committments Dump'!$R:$R,'Committments Dump'!$C:$C,'Category Table'!Y$2,'Committments Dump'!$B:$B,'Category Table'!$A318)</f>
        <v/>
      </c>
      <c r="Z318" s="112">
        <f>SUMIFS('Committments Dump'!$R:$R,'Committments Dump'!$C:$C,'Category Table'!Z$2,'Committments Dump'!$B:$B,'Category Table'!$A318)</f>
        <v/>
      </c>
      <c r="AA318" s="111">
        <f>SUMIFS('Committments Dump'!$S:$S,'Committments Dump'!$C:$C,'Category Table'!AA$2,'Committments Dump'!$B:$B,'Category Table'!$A318)</f>
        <v/>
      </c>
      <c r="AB318" s="112">
        <f>SUMIFS('Committments Dump'!$S:$S,'Committments Dump'!$C:$C,'Category Table'!AB$2,'Committments Dump'!$B:$B,'Category Table'!$A318)</f>
        <v/>
      </c>
      <c r="AC318" s="112">
        <f>SUMIFS('Committments Dump'!$S:$S,'Committments Dump'!$C:$C,'Category Table'!AC$2,'Committments Dump'!$B:$B,'Category Table'!$A318)</f>
        <v/>
      </c>
      <c r="AD318" s="111">
        <f>U318+X318+AA318</f>
        <v/>
      </c>
      <c r="AE318" s="112">
        <f>V318+Y318+AB318</f>
        <v/>
      </c>
      <c r="AF318" s="112">
        <f>W318+Z318+AC318</f>
        <v/>
      </c>
      <c r="AG318" s="111">
        <f>R318+AD318</f>
        <v/>
      </c>
      <c r="AH318" s="112">
        <f>S318+AE318</f>
        <v/>
      </c>
      <c r="AI318" s="112">
        <f>T318+AF318</f>
        <v/>
      </c>
      <c r="AJ318" s="111" t="n"/>
      <c r="AK318" s="112" t="n"/>
      <c r="AL318" s="112" t="n"/>
      <c r="AM318" s="111">
        <f>(O318-AG318)+AJ318</f>
        <v/>
      </c>
      <c r="AN318" s="112">
        <f>(P318-AH318)+AK318</f>
        <v/>
      </c>
      <c r="AO318" s="112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13" t="n"/>
      <c r="D319" s="114" t="n"/>
      <c r="E319" s="114" t="n"/>
      <c r="F319" s="113" t="n"/>
      <c r="G319" s="114" t="n"/>
      <c r="H319" s="114" t="n"/>
      <c r="I319" s="113" t="n"/>
      <c r="J319" s="114" t="n"/>
      <c r="K319" s="114" t="n"/>
      <c r="L319" s="113" t="n"/>
      <c r="M319" s="114" t="n"/>
      <c r="N319" s="114" t="n"/>
      <c r="O319" s="113">
        <f>L319+I319+F319+C319</f>
        <v/>
      </c>
      <c r="P319" s="114">
        <f>M319+J319+G319+D319</f>
        <v/>
      </c>
      <c r="Q319" s="114">
        <f>N319+K319+H319+E319</f>
        <v/>
      </c>
      <c r="R319" s="113">
        <f>SUMIFS('PO Log'!$E:$E,'PO Log'!$D:$D,'Category Table'!R$2,'PO Log'!$C:$C,'Category Table'!$A319)</f>
        <v/>
      </c>
      <c r="S319" s="114">
        <f>SUMIFS('PO Log'!$E:$E,'PO Log'!$D:$D,'Category Table'!S$2,'PO Log'!$C:$C,'Category Table'!$A319)</f>
        <v/>
      </c>
      <c r="T319" s="114">
        <f>SUMIFS('PO Log'!$E:$E,'PO Log'!$D:$D,'Category Table'!T$2,'PO Log'!$C:$C,'Category Table'!$A319)</f>
        <v/>
      </c>
      <c r="U319" s="113">
        <f>SUMIFS('Committments Dump'!$Q:$Q,'Committments Dump'!$C:$C,'Category Table'!U$2,'Committments Dump'!$B:$B,'Category Table'!$A319)</f>
        <v/>
      </c>
      <c r="V319" s="114">
        <f>SUMIFS('Committments Dump'!$Q:$Q,'Committments Dump'!$C:$C,'Category Table'!V$2,'Committments Dump'!$B:$B,'Category Table'!$A319)</f>
        <v/>
      </c>
      <c r="W319" s="114">
        <f>SUMIFS('Committments Dump'!$Q:$Q,'Committments Dump'!$C:$C,'Category Table'!W$2,'Committments Dump'!$B:$B,'Category Table'!$A319)</f>
        <v/>
      </c>
      <c r="X319" s="113">
        <f>SUMIFS('Committments Dump'!$R:$R,'Committments Dump'!$C:$C,'Category Table'!X$2,'Committments Dump'!$B:$B,'Category Table'!$A319)</f>
        <v/>
      </c>
      <c r="Y319" s="114">
        <f>SUMIFS('Committments Dump'!$R:$R,'Committments Dump'!$C:$C,'Category Table'!Y$2,'Committments Dump'!$B:$B,'Category Table'!$A319)</f>
        <v/>
      </c>
      <c r="Z319" s="114">
        <f>SUMIFS('Committments Dump'!$R:$R,'Committments Dump'!$C:$C,'Category Table'!Z$2,'Committments Dump'!$B:$B,'Category Table'!$A319)</f>
        <v/>
      </c>
      <c r="AA319" s="113">
        <f>SUMIFS('Committments Dump'!$S:$S,'Committments Dump'!$C:$C,'Category Table'!AA$2,'Committments Dump'!$B:$B,'Category Table'!$A319)</f>
        <v/>
      </c>
      <c r="AB319" s="114">
        <f>SUMIFS('Committments Dump'!$S:$S,'Committments Dump'!$C:$C,'Category Table'!AB$2,'Committments Dump'!$B:$B,'Category Table'!$A319)</f>
        <v/>
      </c>
      <c r="AC319" s="114">
        <f>SUMIFS('Committments Dump'!$S:$S,'Committments Dump'!$C:$C,'Category Table'!AC$2,'Committments Dump'!$B:$B,'Category Table'!$A319)</f>
        <v/>
      </c>
      <c r="AD319" s="113">
        <f>U319+X319+AA319</f>
        <v/>
      </c>
      <c r="AE319" s="114">
        <f>V319+Y319+AB319</f>
        <v/>
      </c>
      <c r="AF319" s="114">
        <f>W319+Z319+AC319</f>
        <v/>
      </c>
      <c r="AG319" s="113">
        <f>R319+AD319</f>
        <v/>
      </c>
      <c r="AH319" s="114">
        <f>S319+AE319</f>
        <v/>
      </c>
      <c r="AI319" s="114">
        <f>T319+AF319</f>
        <v/>
      </c>
      <c r="AJ319" s="113" t="n"/>
      <c r="AK319" s="114" t="n"/>
      <c r="AL319" s="114" t="n"/>
      <c r="AM319" s="113">
        <f>(O319-AG319)+AJ319</f>
        <v/>
      </c>
      <c r="AN319" s="114">
        <f>(P319-AH319)+AK319</f>
        <v/>
      </c>
      <c r="AO319" s="114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11" t="n"/>
      <c r="D320" s="112" t="n"/>
      <c r="E320" s="112" t="n"/>
      <c r="F320" s="111" t="n"/>
      <c r="G320" s="112" t="n"/>
      <c r="H320" s="112" t="n"/>
      <c r="I320" s="111" t="n"/>
      <c r="J320" s="112" t="n"/>
      <c r="K320" s="112" t="n"/>
      <c r="L320" s="111" t="n"/>
      <c r="M320" s="112" t="n"/>
      <c r="N320" s="112" t="n"/>
      <c r="O320" s="111">
        <f>L320+I320+F320+C320</f>
        <v/>
      </c>
      <c r="P320" s="112">
        <f>M320+J320+G320+D320</f>
        <v/>
      </c>
      <c r="Q320" s="112">
        <f>N320+K320+H320+E320</f>
        <v/>
      </c>
      <c r="R320" s="111">
        <f>SUMIFS('PO Log'!$E:$E,'PO Log'!$D:$D,'Category Table'!R$2,'PO Log'!$C:$C,'Category Table'!$A320)</f>
        <v/>
      </c>
      <c r="S320" s="112">
        <f>SUMIFS('PO Log'!$E:$E,'PO Log'!$D:$D,'Category Table'!S$2,'PO Log'!$C:$C,'Category Table'!$A320)</f>
        <v/>
      </c>
      <c r="T320" s="112">
        <f>SUMIFS('PO Log'!$E:$E,'PO Log'!$D:$D,'Category Table'!T$2,'PO Log'!$C:$C,'Category Table'!$A320)</f>
        <v/>
      </c>
      <c r="U320" s="111">
        <f>SUMIFS('Committments Dump'!$Q:$Q,'Committments Dump'!$C:$C,'Category Table'!U$2,'Committments Dump'!$B:$B,'Category Table'!$A320)</f>
        <v/>
      </c>
      <c r="V320" s="112">
        <f>SUMIFS('Committments Dump'!$Q:$Q,'Committments Dump'!$C:$C,'Category Table'!V$2,'Committments Dump'!$B:$B,'Category Table'!$A320)</f>
        <v/>
      </c>
      <c r="W320" s="112">
        <f>SUMIFS('Committments Dump'!$Q:$Q,'Committments Dump'!$C:$C,'Category Table'!W$2,'Committments Dump'!$B:$B,'Category Table'!$A320)</f>
        <v/>
      </c>
      <c r="X320" s="111">
        <f>SUMIFS('Committments Dump'!$R:$R,'Committments Dump'!$C:$C,'Category Table'!X$2,'Committments Dump'!$B:$B,'Category Table'!$A320)</f>
        <v/>
      </c>
      <c r="Y320" s="112">
        <f>SUMIFS('Committments Dump'!$R:$R,'Committments Dump'!$C:$C,'Category Table'!Y$2,'Committments Dump'!$B:$B,'Category Table'!$A320)</f>
        <v/>
      </c>
      <c r="Z320" s="112">
        <f>SUMIFS('Committments Dump'!$R:$R,'Committments Dump'!$C:$C,'Category Table'!Z$2,'Committments Dump'!$B:$B,'Category Table'!$A320)</f>
        <v/>
      </c>
      <c r="AA320" s="111">
        <f>SUMIFS('Committments Dump'!$S:$S,'Committments Dump'!$C:$C,'Category Table'!AA$2,'Committments Dump'!$B:$B,'Category Table'!$A320)</f>
        <v/>
      </c>
      <c r="AB320" s="112">
        <f>SUMIFS('Committments Dump'!$S:$S,'Committments Dump'!$C:$C,'Category Table'!AB$2,'Committments Dump'!$B:$B,'Category Table'!$A320)</f>
        <v/>
      </c>
      <c r="AC320" s="112">
        <f>SUMIFS('Committments Dump'!$S:$S,'Committments Dump'!$C:$C,'Category Table'!AC$2,'Committments Dump'!$B:$B,'Category Table'!$A320)</f>
        <v/>
      </c>
      <c r="AD320" s="111">
        <f>U320+X320+AA320</f>
        <v/>
      </c>
      <c r="AE320" s="112">
        <f>V320+Y320+AB320</f>
        <v/>
      </c>
      <c r="AF320" s="112">
        <f>W320+Z320+AC320</f>
        <v/>
      </c>
      <c r="AG320" s="111">
        <f>R320+AD320</f>
        <v/>
      </c>
      <c r="AH320" s="112">
        <f>S320+AE320</f>
        <v/>
      </c>
      <c r="AI320" s="112">
        <f>T320+AF320</f>
        <v/>
      </c>
      <c r="AJ320" s="111" t="n"/>
      <c r="AK320" s="112" t="n"/>
      <c r="AL320" s="112" t="n"/>
      <c r="AM320" s="111">
        <f>(O320-AG320)+AJ320</f>
        <v/>
      </c>
      <c r="AN320" s="112">
        <f>(P320-AH320)+AK320</f>
        <v/>
      </c>
      <c r="AO320" s="112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13" t="n"/>
      <c r="D321" s="114" t="n"/>
      <c r="E321" s="114" t="n"/>
      <c r="F321" s="113" t="n"/>
      <c r="G321" s="114" t="n"/>
      <c r="H321" s="114" t="n"/>
      <c r="I321" s="113" t="n"/>
      <c r="J321" s="114" t="n"/>
      <c r="K321" s="114" t="n"/>
      <c r="L321" s="113" t="n"/>
      <c r="M321" s="114" t="n"/>
      <c r="N321" s="114" t="n"/>
      <c r="O321" s="113">
        <f>L321+I321+F321+C321</f>
        <v/>
      </c>
      <c r="P321" s="114">
        <f>M321+J321+G321+D321</f>
        <v/>
      </c>
      <c r="Q321" s="114">
        <f>N321+K321+H321+E321</f>
        <v/>
      </c>
      <c r="R321" s="113">
        <f>SUMIFS('PO Log'!$E:$E,'PO Log'!$D:$D,'Category Table'!R$2,'PO Log'!$C:$C,'Category Table'!$A321)</f>
        <v/>
      </c>
      <c r="S321" s="114">
        <f>SUMIFS('PO Log'!$E:$E,'PO Log'!$D:$D,'Category Table'!S$2,'PO Log'!$C:$C,'Category Table'!$A321)</f>
        <v/>
      </c>
      <c r="T321" s="114">
        <f>SUMIFS('PO Log'!$E:$E,'PO Log'!$D:$D,'Category Table'!T$2,'PO Log'!$C:$C,'Category Table'!$A321)</f>
        <v/>
      </c>
      <c r="U321" s="113">
        <f>SUMIFS('Committments Dump'!$Q:$Q,'Committments Dump'!$C:$C,'Category Table'!U$2,'Committments Dump'!$B:$B,'Category Table'!$A321)</f>
        <v/>
      </c>
      <c r="V321" s="114">
        <f>SUMIFS('Committments Dump'!$Q:$Q,'Committments Dump'!$C:$C,'Category Table'!V$2,'Committments Dump'!$B:$B,'Category Table'!$A321)</f>
        <v/>
      </c>
      <c r="W321" s="114">
        <f>SUMIFS('Committments Dump'!$Q:$Q,'Committments Dump'!$C:$C,'Category Table'!W$2,'Committments Dump'!$B:$B,'Category Table'!$A321)</f>
        <v/>
      </c>
      <c r="X321" s="113">
        <f>SUMIFS('Committments Dump'!$R:$R,'Committments Dump'!$C:$C,'Category Table'!X$2,'Committments Dump'!$B:$B,'Category Table'!$A321)</f>
        <v/>
      </c>
      <c r="Y321" s="114">
        <f>SUMIFS('Committments Dump'!$R:$R,'Committments Dump'!$C:$C,'Category Table'!Y$2,'Committments Dump'!$B:$B,'Category Table'!$A321)</f>
        <v/>
      </c>
      <c r="Z321" s="114">
        <f>SUMIFS('Committments Dump'!$R:$R,'Committments Dump'!$C:$C,'Category Table'!Z$2,'Committments Dump'!$B:$B,'Category Table'!$A321)</f>
        <v/>
      </c>
      <c r="AA321" s="113">
        <f>SUMIFS('Committments Dump'!$S:$S,'Committments Dump'!$C:$C,'Category Table'!AA$2,'Committments Dump'!$B:$B,'Category Table'!$A321)</f>
        <v/>
      </c>
      <c r="AB321" s="114">
        <f>SUMIFS('Committments Dump'!$S:$S,'Committments Dump'!$C:$C,'Category Table'!AB$2,'Committments Dump'!$B:$B,'Category Table'!$A321)</f>
        <v/>
      </c>
      <c r="AC321" s="114">
        <f>SUMIFS('Committments Dump'!$S:$S,'Committments Dump'!$C:$C,'Category Table'!AC$2,'Committments Dump'!$B:$B,'Category Table'!$A321)</f>
        <v/>
      </c>
      <c r="AD321" s="113">
        <f>U321+X321+AA321</f>
        <v/>
      </c>
      <c r="AE321" s="114">
        <f>V321+Y321+AB321</f>
        <v/>
      </c>
      <c r="AF321" s="114">
        <f>W321+Z321+AC321</f>
        <v/>
      </c>
      <c r="AG321" s="113">
        <f>R321+AD321</f>
        <v/>
      </c>
      <c r="AH321" s="114">
        <f>S321+AE321</f>
        <v/>
      </c>
      <c r="AI321" s="114">
        <f>T321+AF321</f>
        <v/>
      </c>
      <c r="AJ321" s="113" t="n"/>
      <c r="AK321" s="114" t="n"/>
      <c r="AL321" s="114" t="n"/>
      <c r="AM321" s="113">
        <f>(O321-AG321)+AJ321</f>
        <v/>
      </c>
      <c r="AN321" s="114">
        <f>(P321-AH321)+AK321</f>
        <v/>
      </c>
      <c r="AO321" s="114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11" t="n"/>
      <c r="D322" s="112" t="n"/>
      <c r="E322" s="112" t="n"/>
      <c r="F322" s="111" t="n"/>
      <c r="G322" s="112" t="n"/>
      <c r="H322" s="112" t="n"/>
      <c r="I322" s="111" t="n"/>
      <c r="J322" s="112" t="n"/>
      <c r="K322" s="112" t="n"/>
      <c r="L322" s="111" t="n"/>
      <c r="M322" s="112" t="n"/>
      <c r="N322" s="112" t="n"/>
      <c r="O322" s="111">
        <f>L322+I322+F322+C322</f>
        <v/>
      </c>
      <c r="P322" s="112">
        <f>M322+J322+G322+D322</f>
        <v/>
      </c>
      <c r="Q322" s="112">
        <f>N322+K322+H322+E322</f>
        <v/>
      </c>
      <c r="R322" s="111">
        <f>SUMIFS('PO Log'!$E:$E,'PO Log'!$D:$D,'Category Table'!R$2,'PO Log'!$C:$C,'Category Table'!$A322)</f>
        <v/>
      </c>
      <c r="S322" s="112">
        <f>SUMIFS('PO Log'!$E:$E,'PO Log'!$D:$D,'Category Table'!S$2,'PO Log'!$C:$C,'Category Table'!$A322)</f>
        <v/>
      </c>
      <c r="T322" s="112">
        <f>SUMIFS('PO Log'!$E:$E,'PO Log'!$D:$D,'Category Table'!T$2,'PO Log'!$C:$C,'Category Table'!$A322)</f>
        <v/>
      </c>
      <c r="U322" s="111">
        <f>SUMIFS('Committments Dump'!$Q:$Q,'Committments Dump'!$C:$C,'Category Table'!U$2,'Committments Dump'!$B:$B,'Category Table'!$A322)</f>
        <v/>
      </c>
      <c r="V322" s="112">
        <f>SUMIFS('Committments Dump'!$Q:$Q,'Committments Dump'!$C:$C,'Category Table'!V$2,'Committments Dump'!$B:$B,'Category Table'!$A322)</f>
        <v/>
      </c>
      <c r="W322" s="112">
        <f>SUMIFS('Committments Dump'!$Q:$Q,'Committments Dump'!$C:$C,'Category Table'!W$2,'Committments Dump'!$B:$B,'Category Table'!$A322)</f>
        <v/>
      </c>
      <c r="X322" s="111">
        <f>SUMIFS('Committments Dump'!$R:$R,'Committments Dump'!$C:$C,'Category Table'!X$2,'Committments Dump'!$B:$B,'Category Table'!$A322)</f>
        <v/>
      </c>
      <c r="Y322" s="112">
        <f>SUMIFS('Committments Dump'!$R:$R,'Committments Dump'!$C:$C,'Category Table'!Y$2,'Committments Dump'!$B:$B,'Category Table'!$A322)</f>
        <v/>
      </c>
      <c r="Z322" s="112">
        <f>SUMIFS('Committments Dump'!$R:$R,'Committments Dump'!$C:$C,'Category Table'!Z$2,'Committments Dump'!$B:$B,'Category Table'!$A322)</f>
        <v/>
      </c>
      <c r="AA322" s="111">
        <f>SUMIFS('Committments Dump'!$S:$S,'Committments Dump'!$C:$C,'Category Table'!AA$2,'Committments Dump'!$B:$B,'Category Table'!$A322)</f>
        <v/>
      </c>
      <c r="AB322" s="112">
        <f>SUMIFS('Committments Dump'!$S:$S,'Committments Dump'!$C:$C,'Category Table'!AB$2,'Committments Dump'!$B:$B,'Category Table'!$A322)</f>
        <v/>
      </c>
      <c r="AC322" s="112">
        <f>SUMIFS('Committments Dump'!$S:$S,'Committments Dump'!$C:$C,'Category Table'!AC$2,'Committments Dump'!$B:$B,'Category Table'!$A322)</f>
        <v/>
      </c>
      <c r="AD322" s="111">
        <f>U322+X322+AA322</f>
        <v/>
      </c>
      <c r="AE322" s="112">
        <f>V322+Y322+AB322</f>
        <v/>
      </c>
      <c r="AF322" s="112">
        <f>W322+Z322+AC322</f>
        <v/>
      </c>
      <c r="AG322" s="111">
        <f>R322+AD322</f>
        <v/>
      </c>
      <c r="AH322" s="112">
        <f>S322+AE322</f>
        <v/>
      </c>
      <c r="AI322" s="112">
        <f>T322+AF322</f>
        <v/>
      </c>
      <c r="AJ322" s="111" t="n"/>
      <c r="AK322" s="112" t="n"/>
      <c r="AL322" s="112" t="n"/>
      <c r="AM322" s="111">
        <f>(O322-AG322)+AJ322</f>
        <v/>
      </c>
      <c r="AN322" s="112">
        <f>(P322-AH322)+AK322</f>
        <v/>
      </c>
      <c r="AO322" s="112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13" t="n"/>
      <c r="D323" s="114" t="n"/>
      <c r="E323" s="114" t="n"/>
      <c r="F323" s="113" t="n"/>
      <c r="G323" s="114" t="n"/>
      <c r="H323" s="114" t="n"/>
      <c r="I323" s="113" t="n"/>
      <c r="J323" s="114" t="n"/>
      <c r="K323" s="114" t="n"/>
      <c r="L323" s="113" t="n"/>
      <c r="M323" s="114" t="n"/>
      <c r="N323" s="114" t="n"/>
      <c r="O323" s="113">
        <f>L323+I323+F323+C323</f>
        <v/>
      </c>
      <c r="P323" s="114">
        <f>M323+J323+G323+D323</f>
        <v/>
      </c>
      <c r="Q323" s="114">
        <f>N323+K323+H323+E323</f>
        <v/>
      </c>
      <c r="R323" s="113">
        <f>SUMIFS('PO Log'!$E:$E,'PO Log'!$D:$D,'Category Table'!R$2,'PO Log'!$C:$C,'Category Table'!$A323)</f>
        <v/>
      </c>
      <c r="S323" s="114">
        <f>SUMIFS('PO Log'!$E:$E,'PO Log'!$D:$D,'Category Table'!S$2,'PO Log'!$C:$C,'Category Table'!$A323)</f>
        <v/>
      </c>
      <c r="T323" s="114">
        <f>SUMIFS('PO Log'!$E:$E,'PO Log'!$D:$D,'Category Table'!T$2,'PO Log'!$C:$C,'Category Table'!$A323)</f>
        <v/>
      </c>
      <c r="U323" s="113">
        <f>SUMIFS('Committments Dump'!$Q:$Q,'Committments Dump'!$C:$C,'Category Table'!U$2,'Committments Dump'!$B:$B,'Category Table'!$A323)</f>
        <v/>
      </c>
      <c r="V323" s="114">
        <f>SUMIFS('Committments Dump'!$Q:$Q,'Committments Dump'!$C:$C,'Category Table'!V$2,'Committments Dump'!$B:$B,'Category Table'!$A323)</f>
        <v/>
      </c>
      <c r="W323" s="114">
        <f>SUMIFS('Committments Dump'!$Q:$Q,'Committments Dump'!$C:$C,'Category Table'!W$2,'Committments Dump'!$B:$B,'Category Table'!$A323)</f>
        <v/>
      </c>
      <c r="X323" s="113">
        <f>SUMIFS('Committments Dump'!$R:$R,'Committments Dump'!$C:$C,'Category Table'!X$2,'Committments Dump'!$B:$B,'Category Table'!$A323)</f>
        <v/>
      </c>
      <c r="Y323" s="114">
        <f>SUMIFS('Committments Dump'!$R:$R,'Committments Dump'!$C:$C,'Category Table'!Y$2,'Committments Dump'!$B:$B,'Category Table'!$A323)</f>
        <v/>
      </c>
      <c r="Z323" s="114">
        <f>SUMIFS('Committments Dump'!$R:$R,'Committments Dump'!$C:$C,'Category Table'!Z$2,'Committments Dump'!$B:$B,'Category Table'!$A323)</f>
        <v/>
      </c>
      <c r="AA323" s="113">
        <f>SUMIFS('Committments Dump'!$S:$S,'Committments Dump'!$C:$C,'Category Table'!AA$2,'Committments Dump'!$B:$B,'Category Table'!$A323)</f>
        <v/>
      </c>
      <c r="AB323" s="114">
        <f>SUMIFS('Committments Dump'!$S:$S,'Committments Dump'!$C:$C,'Category Table'!AB$2,'Committments Dump'!$B:$B,'Category Table'!$A323)</f>
        <v/>
      </c>
      <c r="AC323" s="114">
        <f>SUMIFS('Committments Dump'!$S:$S,'Committments Dump'!$C:$C,'Category Table'!AC$2,'Committments Dump'!$B:$B,'Category Table'!$A323)</f>
        <v/>
      </c>
      <c r="AD323" s="113">
        <f>U323+X323+AA323</f>
        <v/>
      </c>
      <c r="AE323" s="114">
        <f>V323+Y323+AB323</f>
        <v/>
      </c>
      <c r="AF323" s="114">
        <f>W323+Z323+AC323</f>
        <v/>
      </c>
      <c r="AG323" s="113">
        <f>R323+AD323</f>
        <v/>
      </c>
      <c r="AH323" s="114">
        <f>S323+AE323</f>
        <v/>
      </c>
      <c r="AI323" s="114">
        <f>T323+AF323</f>
        <v/>
      </c>
      <c r="AJ323" s="113" t="n"/>
      <c r="AK323" s="114" t="n"/>
      <c r="AL323" s="114" t="n"/>
      <c r="AM323" s="113">
        <f>(O323-AG323)+AJ323</f>
        <v/>
      </c>
      <c r="AN323" s="114">
        <f>(P323-AH323)+AK323</f>
        <v/>
      </c>
      <c r="AO323" s="114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11" t="n"/>
      <c r="D324" s="112" t="n"/>
      <c r="E324" s="112" t="n"/>
      <c r="F324" s="111" t="n"/>
      <c r="G324" s="112" t="n"/>
      <c r="H324" s="112" t="n"/>
      <c r="I324" s="111" t="n"/>
      <c r="J324" s="112" t="n"/>
      <c r="K324" s="112" t="n"/>
      <c r="L324" s="111" t="n"/>
      <c r="M324" s="112" t="n"/>
      <c r="N324" s="112" t="n"/>
      <c r="O324" s="111">
        <f>L324+I324+F324+C324</f>
        <v/>
      </c>
      <c r="P324" s="112">
        <f>M324+J324+G324+D324</f>
        <v/>
      </c>
      <c r="Q324" s="112">
        <f>N324+K324+H324+E324</f>
        <v/>
      </c>
      <c r="R324" s="111">
        <f>SUMIFS('PO Log'!$E:$E,'PO Log'!$D:$D,'Category Table'!R$2,'PO Log'!$C:$C,'Category Table'!$A324)</f>
        <v/>
      </c>
      <c r="S324" s="112">
        <f>SUMIFS('PO Log'!$E:$E,'PO Log'!$D:$D,'Category Table'!S$2,'PO Log'!$C:$C,'Category Table'!$A324)</f>
        <v/>
      </c>
      <c r="T324" s="112">
        <f>SUMIFS('PO Log'!$E:$E,'PO Log'!$D:$D,'Category Table'!T$2,'PO Log'!$C:$C,'Category Table'!$A324)</f>
        <v/>
      </c>
      <c r="U324" s="111">
        <f>SUMIFS('Committments Dump'!$Q:$Q,'Committments Dump'!$C:$C,'Category Table'!U$2,'Committments Dump'!$B:$B,'Category Table'!$A324)</f>
        <v/>
      </c>
      <c r="V324" s="112">
        <f>SUMIFS('Committments Dump'!$Q:$Q,'Committments Dump'!$C:$C,'Category Table'!V$2,'Committments Dump'!$B:$B,'Category Table'!$A324)</f>
        <v/>
      </c>
      <c r="W324" s="112">
        <f>SUMIFS('Committments Dump'!$Q:$Q,'Committments Dump'!$C:$C,'Category Table'!W$2,'Committments Dump'!$B:$B,'Category Table'!$A324)</f>
        <v/>
      </c>
      <c r="X324" s="111">
        <f>SUMIFS('Committments Dump'!$R:$R,'Committments Dump'!$C:$C,'Category Table'!X$2,'Committments Dump'!$B:$B,'Category Table'!$A324)</f>
        <v/>
      </c>
      <c r="Y324" s="112">
        <f>SUMIFS('Committments Dump'!$R:$R,'Committments Dump'!$C:$C,'Category Table'!Y$2,'Committments Dump'!$B:$B,'Category Table'!$A324)</f>
        <v/>
      </c>
      <c r="Z324" s="112">
        <f>SUMIFS('Committments Dump'!$R:$R,'Committments Dump'!$C:$C,'Category Table'!Z$2,'Committments Dump'!$B:$B,'Category Table'!$A324)</f>
        <v/>
      </c>
      <c r="AA324" s="111">
        <f>SUMIFS('Committments Dump'!$S:$S,'Committments Dump'!$C:$C,'Category Table'!AA$2,'Committments Dump'!$B:$B,'Category Table'!$A324)</f>
        <v/>
      </c>
      <c r="AB324" s="112">
        <f>SUMIFS('Committments Dump'!$S:$S,'Committments Dump'!$C:$C,'Category Table'!AB$2,'Committments Dump'!$B:$B,'Category Table'!$A324)</f>
        <v/>
      </c>
      <c r="AC324" s="112">
        <f>SUMIFS('Committments Dump'!$S:$S,'Committments Dump'!$C:$C,'Category Table'!AC$2,'Committments Dump'!$B:$B,'Category Table'!$A324)</f>
        <v/>
      </c>
      <c r="AD324" s="111">
        <f>U324+X324+AA324</f>
        <v/>
      </c>
      <c r="AE324" s="112">
        <f>V324+Y324+AB324</f>
        <v/>
      </c>
      <c r="AF324" s="112">
        <f>W324+Z324+AC324</f>
        <v/>
      </c>
      <c r="AG324" s="111">
        <f>R324+AD324</f>
        <v/>
      </c>
      <c r="AH324" s="112">
        <f>S324+AE324</f>
        <v/>
      </c>
      <c r="AI324" s="112">
        <f>T324+AF324</f>
        <v/>
      </c>
      <c r="AJ324" s="111" t="n"/>
      <c r="AK324" s="112" t="n"/>
      <c r="AL324" s="112" t="n"/>
      <c r="AM324" s="111">
        <f>(O324-AG324)+AJ324</f>
        <v/>
      </c>
      <c r="AN324" s="112">
        <f>(P324-AH324)+AK324</f>
        <v/>
      </c>
      <c r="AO324" s="112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13" t="n"/>
      <c r="D325" s="114" t="n"/>
      <c r="E325" s="114" t="n"/>
      <c r="F325" s="113" t="n"/>
      <c r="G325" s="114" t="n"/>
      <c r="H325" s="114" t="n"/>
      <c r="I325" s="113" t="n"/>
      <c r="J325" s="114" t="n"/>
      <c r="K325" s="114" t="n"/>
      <c r="L325" s="113" t="n"/>
      <c r="M325" s="114" t="n"/>
      <c r="N325" s="114" t="n"/>
      <c r="O325" s="113">
        <f>L325+I325+F325+C325</f>
        <v/>
      </c>
      <c r="P325" s="114">
        <f>M325+J325+G325+D325</f>
        <v/>
      </c>
      <c r="Q325" s="114">
        <f>N325+K325+H325+E325</f>
        <v/>
      </c>
      <c r="R325" s="113">
        <f>SUMIFS('PO Log'!$E:$E,'PO Log'!$D:$D,'Category Table'!R$2,'PO Log'!$C:$C,'Category Table'!$A325)</f>
        <v/>
      </c>
      <c r="S325" s="114">
        <f>SUMIFS('PO Log'!$E:$E,'PO Log'!$D:$D,'Category Table'!S$2,'PO Log'!$C:$C,'Category Table'!$A325)</f>
        <v/>
      </c>
      <c r="T325" s="114">
        <f>SUMIFS('PO Log'!$E:$E,'PO Log'!$D:$D,'Category Table'!T$2,'PO Log'!$C:$C,'Category Table'!$A325)</f>
        <v/>
      </c>
      <c r="U325" s="113">
        <f>SUMIFS('Committments Dump'!$Q:$Q,'Committments Dump'!$C:$C,'Category Table'!U$2,'Committments Dump'!$B:$B,'Category Table'!$A325)</f>
        <v/>
      </c>
      <c r="V325" s="114">
        <f>SUMIFS('Committments Dump'!$Q:$Q,'Committments Dump'!$C:$C,'Category Table'!V$2,'Committments Dump'!$B:$B,'Category Table'!$A325)</f>
        <v/>
      </c>
      <c r="W325" s="114">
        <f>SUMIFS('Committments Dump'!$Q:$Q,'Committments Dump'!$C:$C,'Category Table'!W$2,'Committments Dump'!$B:$B,'Category Table'!$A325)</f>
        <v/>
      </c>
      <c r="X325" s="113">
        <f>SUMIFS('Committments Dump'!$R:$R,'Committments Dump'!$C:$C,'Category Table'!X$2,'Committments Dump'!$B:$B,'Category Table'!$A325)</f>
        <v/>
      </c>
      <c r="Y325" s="114">
        <f>SUMIFS('Committments Dump'!$R:$R,'Committments Dump'!$C:$C,'Category Table'!Y$2,'Committments Dump'!$B:$B,'Category Table'!$A325)</f>
        <v/>
      </c>
      <c r="Z325" s="114">
        <f>SUMIFS('Committments Dump'!$R:$R,'Committments Dump'!$C:$C,'Category Table'!Z$2,'Committments Dump'!$B:$B,'Category Table'!$A325)</f>
        <v/>
      </c>
      <c r="AA325" s="113">
        <f>SUMIFS('Committments Dump'!$S:$S,'Committments Dump'!$C:$C,'Category Table'!AA$2,'Committments Dump'!$B:$B,'Category Table'!$A325)</f>
        <v/>
      </c>
      <c r="AB325" s="114">
        <f>SUMIFS('Committments Dump'!$S:$S,'Committments Dump'!$C:$C,'Category Table'!AB$2,'Committments Dump'!$B:$B,'Category Table'!$A325)</f>
        <v/>
      </c>
      <c r="AC325" s="114">
        <f>SUMIFS('Committments Dump'!$S:$S,'Committments Dump'!$C:$C,'Category Table'!AC$2,'Committments Dump'!$B:$B,'Category Table'!$A325)</f>
        <v/>
      </c>
      <c r="AD325" s="113">
        <f>U325+X325+AA325</f>
        <v/>
      </c>
      <c r="AE325" s="114">
        <f>V325+Y325+AB325</f>
        <v/>
      </c>
      <c r="AF325" s="114">
        <f>W325+Z325+AC325</f>
        <v/>
      </c>
      <c r="AG325" s="113">
        <f>R325+AD325</f>
        <v/>
      </c>
      <c r="AH325" s="114">
        <f>S325+AE325</f>
        <v/>
      </c>
      <c r="AI325" s="114">
        <f>T325+AF325</f>
        <v/>
      </c>
      <c r="AJ325" s="113" t="n"/>
      <c r="AK325" s="114" t="n"/>
      <c r="AL325" s="114" t="n"/>
      <c r="AM325" s="113">
        <f>(O325-AG325)+AJ325</f>
        <v/>
      </c>
      <c r="AN325" s="114">
        <f>(P325-AH325)+AK325</f>
        <v/>
      </c>
      <c r="AO325" s="114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11" t="n"/>
      <c r="D326" s="112" t="n"/>
      <c r="E326" s="112" t="n"/>
      <c r="F326" s="111" t="n"/>
      <c r="G326" s="112" t="n"/>
      <c r="H326" s="112" t="n"/>
      <c r="I326" s="111" t="n"/>
      <c r="J326" s="112" t="n"/>
      <c r="K326" s="112" t="n"/>
      <c r="L326" s="111" t="n"/>
      <c r="M326" s="112" t="n"/>
      <c r="N326" s="112" t="n"/>
      <c r="O326" s="111">
        <f>L326+I326+F326+C326</f>
        <v/>
      </c>
      <c r="P326" s="112">
        <f>M326+J326+G326+D326</f>
        <v/>
      </c>
      <c r="Q326" s="112">
        <f>N326+K326+H326+E326</f>
        <v/>
      </c>
      <c r="R326" s="111">
        <f>SUMIFS('PO Log'!$E:$E,'PO Log'!$D:$D,'Category Table'!R$2,'PO Log'!$C:$C,'Category Table'!$A326)</f>
        <v/>
      </c>
      <c r="S326" s="112">
        <f>SUMIFS('PO Log'!$E:$E,'PO Log'!$D:$D,'Category Table'!S$2,'PO Log'!$C:$C,'Category Table'!$A326)</f>
        <v/>
      </c>
      <c r="T326" s="112">
        <f>SUMIFS('PO Log'!$E:$E,'PO Log'!$D:$D,'Category Table'!T$2,'PO Log'!$C:$C,'Category Table'!$A326)</f>
        <v/>
      </c>
      <c r="U326" s="111">
        <f>SUMIFS('Committments Dump'!$Q:$Q,'Committments Dump'!$C:$C,'Category Table'!U$2,'Committments Dump'!$B:$B,'Category Table'!$A326)</f>
        <v/>
      </c>
      <c r="V326" s="112">
        <f>SUMIFS('Committments Dump'!$Q:$Q,'Committments Dump'!$C:$C,'Category Table'!V$2,'Committments Dump'!$B:$B,'Category Table'!$A326)</f>
        <v/>
      </c>
      <c r="W326" s="112">
        <f>SUMIFS('Committments Dump'!$Q:$Q,'Committments Dump'!$C:$C,'Category Table'!W$2,'Committments Dump'!$B:$B,'Category Table'!$A326)</f>
        <v/>
      </c>
      <c r="X326" s="111">
        <f>SUMIFS('Committments Dump'!$R:$R,'Committments Dump'!$C:$C,'Category Table'!X$2,'Committments Dump'!$B:$B,'Category Table'!$A326)</f>
        <v/>
      </c>
      <c r="Y326" s="112">
        <f>SUMIFS('Committments Dump'!$R:$R,'Committments Dump'!$C:$C,'Category Table'!Y$2,'Committments Dump'!$B:$B,'Category Table'!$A326)</f>
        <v/>
      </c>
      <c r="Z326" s="112">
        <f>SUMIFS('Committments Dump'!$R:$R,'Committments Dump'!$C:$C,'Category Table'!Z$2,'Committments Dump'!$B:$B,'Category Table'!$A326)</f>
        <v/>
      </c>
      <c r="AA326" s="111">
        <f>SUMIFS('Committments Dump'!$S:$S,'Committments Dump'!$C:$C,'Category Table'!AA$2,'Committments Dump'!$B:$B,'Category Table'!$A326)</f>
        <v/>
      </c>
      <c r="AB326" s="112">
        <f>SUMIFS('Committments Dump'!$S:$S,'Committments Dump'!$C:$C,'Category Table'!AB$2,'Committments Dump'!$B:$B,'Category Table'!$A326)</f>
        <v/>
      </c>
      <c r="AC326" s="112">
        <f>SUMIFS('Committments Dump'!$S:$S,'Committments Dump'!$C:$C,'Category Table'!AC$2,'Committments Dump'!$B:$B,'Category Table'!$A326)</f>
        <v/>
      </c>
      <c r="AD326" s="111">
        <f>U326+X326+AA326</f>
        <v/>
      </c>
      <c r="AE326" s="112">
        <f>V326+Y326+AB326</f>
        <v/>
      </c>
      <c r="AF326" s="112">
        <f>W326+Z326+AC326</f>
        <v/>
      </c>
      <c r="AG326" s="111">
        <f>R326+AD326</f>
        <v/>
      </c>
      <c r="AH326" s="112">
        <f>S326+AE326</f>
        <v/>
      </c>
      <c r="AI326" s="112">
        <f>T326+AF326</f>
        <v/>
      </c>
      <c r="AJ326" s="111" t="n"/>
      <c r="AK326" s="112" t="n"/>
      <c r="AL326" s="112" t="n"/>
      <c r="AM326" s="111">
        <f>(O326-AG326)+AJ326</f>
        <v/>
      </c>
      <c r="AN326" s="112">
        <f>(P326-AH326)+AK326</f>
        <v/>
      </c>
      <c r="AO326" s="112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13" t="n"/>
      <c r="D327" s="114" t="n"/>
      <c r="E327" s="114" t="n"/>
      <c r="F327" s="113" t="n"/>
      <c r="G327" s="114" t="n"/>
      <c r="H327" s="114" t="n"/>
      <c r="I327" s="113" t="n"/>
      <c r="J327" s="114" t="n"/>
      <c r="K327" s="114" t="n"/>
      <c r="L327" s="113" t="n"/>
      <c r="M327" s="114" t="n"/>
      <c r="N327" s="114" t="n"/>
      <c r="O327" s="113">
        <f>L327+I327+F327+C327</f>
        <v/>
      </c>
      <c r="P327" s="114">
        <f>M327+J327+G327+D327</f>
        <v/>
      </c>
      <c r="Q327" s="114">
        <f>N327+K327+H327+E327</f>
        <v/>
      </c>
      <c r="R327" s="113">
        <f>SUMIFS('PO Log'!$E:$E,'PO Log'!$D:$D,'Category Table'!R$2,'PO Log'!$C:$C,'Category Table'!$A327)</f>
        <v/>
      </c>
      <c r="S327" s="114">
        <f>SUMIFS('PO Log'!$E:$E,'PO Log'!$D:$D,'Category Table'!S$2,'PO Log'!$C:$C,'Category Table'!$A327)</f>
        <v/>
      </c>
      <c r="T327" s="114">
        <f>SUMIFS('PO Log'!$E:$E,'PO Log'!$D:$D,'Category Table'!T$2,'PO Log'!$C:$C,'Category Table'!$A327)</f>
        <v/>
      </c>
      <c r="U327" s="113">
        <f>SUMIFS('Committments Dump'!$Q:$Q,'Committments Dump'!$C:$C,'Category Table'!U$2,'Committments Dump'!$B:$B,'Category Table'!$A327)</f>
        <v/>
      </c>
      <c r="V327" s="114">
        <f>SUMIFS('Committments Dump'!$Q:$Q,'Committments Dump'!$C:$C,'Category Table'!V$2,'Committments Dump'!$B:$B,'Category Table'!$A327)</f>
        <v/>
      </c>
      <c r="W327" s="114">
        <f>SUMIFS('Committments Dump'!$Q:$Q,'Committments Dump'!$C:$C,'Category Table'!W$2,'Committments Dump'!$B:$B,'Category Table'!$A327)</f>
        <v/>
      </c>
      <c r="X327" s="113">
        <f>SUMIFS('Committments Dump'!$R:$R,'Committments Dump'!$C:$C,'Category Table'!X$2,'Committments Dump'!$B:$B,'Category Table'!$A327)</f>
        <v/>
      </c>
      <c r="Y327" s="114">
        <f>SUMIFS('Committments Dump'!$R:$R,'Committments Dump'!$C:$C,'Category Table'!Y$2,'Committments Dump'!$B:$B,'Category Table'!$A327)</f>
        <v/>
      </c>
      <c r="Z327" s="114">
        <f>SUMIFS('Committments Dump'!$R:$R,'Committments Dump'!$C:$C,'Category Table'!Z$2,'Committments Dump'!$B:$B,'Category Table'!$A327)</f>
        <v/>
      </c>
      <c r="AA327" s="113">
        <f>SUMIFS('Committments Dump'!$S:$S,'Committments Dump'!$C:$C,'Category Table'!AA$2,'Committments Dump'!$B:$B,'Category Table'!$A327)</f>
        <v/>
      </c>
      <c r="AB327" s="114">
        <f>SUMIFS('Committments Dump'!$S:$S,'Committments Dump'!$C:$C,'Category Table'!AB$2,'Committments Dump'!$B:$B,'Category Table'!$A327)</f>
        <v/>
      </c>
      <c r="AC327" s="114">
        <f>SUMIFS('Committments Dump'!$S:$S,'Committments Dump'!$C:$C,'Category Table'!AC$2,'Committments Dump'!$B:$B,'Category Table'!$A327)</f>
        <v/>
      </c>
      <c r="AD327" s="113">
        <f>U327+X327+AA327</f>
        <v/>
      </c>
      <c r="AE327" s="114">
        <f>V327+Y327+AB327</f>
        <v/>
      </c>
      <c r="AF327" s="114">
        <f>W327+Z327+AC327</f>
        <v/>
      </c>
      <c r="AG327" s="113">
        <f>R327+AD327</f>
        <v/>
      </c>
      <c r="AH327" s="114">
        <f>S327+AE327</f>
        <v/>
      </c>
      <c r="AI327" s="114">
        <f>T327+AF327</f>
        <v/>
      </c>
      <c r="AJ327" s="113" t="n"/>
      <c r="AK327" s="114" t="n"/>
      <c r="AL327" s="114" t="n"/>
      <c r="AM327" s="113">
        <f>(O327-AG327)+AJ327</f>
        <v/>
      </c>
      <c r="AN327" s="114">
        <f>(P327-AH327)+AK327</f>
        <v/>
      </c>
      <c r="AO327" s="114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11" t="n"/>
      <c r="D328" s="112" t="n"/>
      <c r="E328" s="112" t="n"/>
      <c r="F328" s="111" t="n"/>
      <c r="G328" s="112" t="n"/>
      <c r="H328" s="112" t="n"/>
      <c r="I328" s="111" t="n"/>
      <c r="J328" s="112" t="n"/>
      <c r="K328" s="112" t="n"/>
      <c r="L328" s="111" t="n"/>
      <c r="M328" s="112" t="n"/>
      <c r="N328" s="112" t="n"/>
      <c r="O328" s="111">
        <f>L328+I328+F328+C328</f>
        <v/>
      </c>
      <c r="P328" s="112">
        <f>M328+J328+G328+D328</f>
        <v/>
      </c>
      <c r="Q328" s="112">
        <f>N328+K328+H328+E328</f>
        <v/>
      </c>
      <c r="R328" s="111">
        <f>SUMIFS('PO Log'!$E:$E,'PO Log'!$D:$D,'Category Table'!R$2,'PO Log'!$C:$C,'Category Table'!$A328)</f>
        <v/>
      </c>
      <c r="S328" s="112">
        <f>SUMIFS('PO Log'!$E:$E,'PO Log'!$D:$D,'Category Table'!S$2,'PO Log'!$C:$C,'Category Table'!$A328)</f>
        <v/>
      </c>
      <c r="T328" s="112">
        <f>SUMIFS('PO Log'!$E:$E,'PO Log'!$D:$D,'Category Table'!T$2,'PO Log'!$C:$C,'Category Table'!$A328)</f>
        <v/>
      </c>
      <c r="U328" s="111">
        <f>SUMIFS('Committments Dump'!$Q:$Q,'Committments Dump'!$C:$C,'Category Table'!U$2,'Committments Dump'!$B:$B,'Category Table'!$A328)</f>
        <v/>
      </c>
      <c r="V328" s="112">
        <f>SUMIFS('Committments Dump'!$Q:$Q,'Committments Dump'!$C:$C,'Category Table'!V$2,'Committments Dump'!$B:$B,'Category Table'!$A328)</f>
        <v/>
      </c>
      <c r="W328" s="112">
        <f>SUMIFS('Committments Dump'!$Q:$Q,'Committments Dump'!$C:$C,'Category Table'!W$2,'Committments Dump'!$B:$B,'Category Table'!$A328)</f>
        <v/>
      </c>
      <c r="X328" s="111">
        <f>SUMIFS('Committments Dump'!$R:$R,'Committments Dump'!$C:$C,'Category Table'!X$2,'Committments Dump'!$B:$B,'Category Table'!$A328)</f>
        <v/>
      </c>
      <c r="Y328" s="112">
        <f>SUMIFS('Committments Dump'!$R:$R,'Committments Dump'!$C:$C,'Category Table'!Y$2,'Committments Dump'!$B:$B,'Category Table'!$A328)</f>
        <v/>
      </c>
      <c r="Z328" s="112">
        <f>SUMIFS('Committments Dump'!$R:$R,'Committments Dump'!$C:$C,'Category Table'!Z$2,'Committments Dump'!$B:$B,'Category Table'!$A328)</f>
        <v/>
      </c>
      <c r="AA328" s="111">
        <f>SUMIFS('Committments Dump'!$S:$S,'Committments Dump'!$C:$C,'Category Table'!AA$2,'Committments Dump'!$B:$B,'Category Table'!$A328)</f>
        <v/>
      </c>
      <c r="AB328" s="112">
        <f>SUMIFS('Committments Dump'!$S:$S,'Committments Dump'!$C:$C,'Category Table'!AB$2,'Committments Dump'!$B:$B,'Category Table'!$A328)</f>
        <v/>
      </c>
      <c r="AC328" s="112">
        <f>SUMIFS('Committments Dump'!$S:$S,'Committments Dump'!$C:$C,'Category Table'!AC$2,'Committments Dump'!$B:$B,'Category Table'!$A328)</f>
        <v/>
      </c>
      <c r="AD328" s="111">
        <f>U328+X328+AA328</f>
        <v/>
      </c>
      <c r="AE328" s="112">
        <f>V328+Y328+AB328</f>
        <v/>
      </c>
      <c r="AF328" s="112">
        <f>W328+Z328+AC328</f>
        <v/>
      </c>
      <c r="AG328" s="111">
        <f>R328+AD328</f>
        <v/>
      </c>
      <c r="AH328" s="112">
        <f>S328+AE328</f>
        <v/>
      </c>
      <c r="AI328" s="112">
        <f>T328+AF328</f>
        <v/>
      </c>
      <c r="AJ328" s="111" t="n"/>
      <c r="AK328" s="112" t="n"/>
      <c r="AL328" s="112" t="n"/>
      <c r="AM328" s="111">
        <f>(O328-AG328)+AJ328</f>
        <v/>
      </c>
      <c r="AN328" s="112">
        <f>(P328-AH328)+AK328</f>
        <v/>
      </c>
      <c r="AO328" s="112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13" t="n"/>
      <c r="D329" s="114" t="n"/>
      <c r="E329" s="114" t="n"/>
      <c r="F329" s="113" t="n"/>
      <c r="G329" s="114" t="n"/>
      <c r="H329" s="114" t="n"/>
      <c r="I329" s="113" t="n"/>
      <c r="J329" s="114" t="n"/>
      <c r="K329" s="114" t="n"/>
      <c r="L329" s="113" t="n"/>
      <c r="M329" s="114" t="n"/>
      <c r="N329" s="114" t="n"/>
      <c r="O329" s="113">
        <f>L329+I329+F329+C329</f>
        <v/>
      </c>
      <c r="P329" s="114">
        <f>M329+J329+G329+D329</f>
        <v/>
      </c>
      <c r="Q329" s="114">
        <f>N329+K329+H329+E329</f>
        <v/>
      </c>
      <c r="R329" s="113">
        <f>SUMIFS('PO Log'!$E:$E,'PO Log'!$D:$D,'Category Table'!R$2,'PO Log'!$C:$C,'Category Table'!$A329)</f>
        <v/>
      </c>
      <c r="S329" s="114">
        <f>SUMIFS('PO Log'!$E:$E,'PO Log'!$D:$D,'Category Table'!S$2,'PO Log'!$C:$C,'Category Table'!$A329)</f>
        <v/>
      </c>
      <c r="T329" s="114">
        <f>SUMIFS('PO Log'!$E:$E,'PO Log'!$D:$D,'Category Table'!T$2,'PO Log'!$C:$C,'Category Table'!$A329)</f>
        <v/>
      </c>
      <c r="U329" s="113">
        <f>SUMIFS('Committments Dump'!$Q:$Q,'Committments Dump'!$C:$C,'Category Table'!U$2,'Committments Dump'!$B:$B,'Category Table'!$A329)</f>
        <v/>
      </c>
      <c r="V329" s="114">
        <f>SUMIFS('Committments Dump'!$Q:$Q,'Committments Dump'!$C:$C,'Category Table'!V$2,'Committments Dump'!$B:$B,'Category Table'!$A329)</f>
        <v/>
      </c>
      <c r="W329" s="114">
        <f>SUMIFS('Committments Dump'!$Q:$Q,'Committments Dump'!$C:$C,'Category Table'!W$2,'Committments Dump'!$B:$B,'Category Table'!$A329)</f>
        <v/>
      </c>
      <c r="X329" s="113">
        <f>SUMIFS('Committments Dump'!$R:$R,'Committments Dump'!$C:$C,'Category Table'!X$2,'Committments Dump'!$B:$B,'Category Table'!$A329)</f>
        <v/>
      </c>
      <c r="Y329" s="114">
        <f>SUMIFS('Committments Dump'!$R:$R,'Committments Dump'!$C:$C,'Category Table'!Y$2,'Committments Dump'!$B:$B,'Category Table'!$A329)</f>
        <v/>
      </c>
      <c r="Z329" s="114">
        <f>SUMIFS('Committments Dump'!$R:$R,'Committments Dump'!$C:$C,'Category Table'!Z$2,'Committments Dump'!$B:$B,'Category Table'!$A329)</f>
        <v/>
      </c>
      <c r="AA329" s="113">
        <f>SUMIFS('Committments Dump'!$S:$S,'Committments Dump'!$C:$C,'Category Table'!AA$2,'Committments Dump'!$B:$B,'Category Table'!$A329)</f>
        <v/>
      </c>
      <c r="AB329" s="114">
        <f>SUMIFS('Committments Dump'!$S:$S,'Committments Dump'!$C:$C,'Category Table'!AB$2,'Committments Dump'!$B:$B,'Category Table'!$A329)</f>
        <v/>
      </c>
      <c r="AC329" s="114">
        <f>SUMIFS('Committments Dump'!$S:$S,'Committments Dump'!$C:$C,'Category Table'!AC$2,'Committments Dump'!$B:$B,'Category Table'!$A329)</f>
        <v/>
      </c>
      <c r="AD329" s="113">
        <f>U329+X329+AA329</f>
        <v/>
      </c>
      <c r="AE329" s="114">
        <f>V329+Y329+AB329</f>
        <v/>
      </c>
      <c r="AF329" s="114">
        <f>W329+Z329+AC329</f>
        <v/>
      </c>
      <c r="AG329" s="113">
        <f>R329+AD329</f>
        <v/>
      </c>
      <c r="AH329" s="114">
        <f>S329+AE329</f>
        <v/>
      </c>
      <c r="AI329" s="114">
        <f>T329+AF329</f>
        <v/>
      </c>
      <c r="AJ329" s="113" t="n"/>
      <c r="AK329" s="114" t="n"/>
      <c r="AL329" s="114" t="n"/>
      <c r="AM329" s="113">
        <f>(O329-AG329)+AJ329</f>
        <v/>
      </c>
      <c r="AN329" s="114">
        <f>(P329-AH329)+AK329</f>
        <v/>
      </c>
      <c r="AO329" s="114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11" t="n"/>
      <c r="D330" s="112" t="n"/>
      <c r="E330" s="112" t="n"/>
      <c r="F330" s="111" t="n"/>
      <c r="G330" s="112" t="n"/>
      <c r="H330" s="112" t="n"/>
      <c r="I330" s="111" t="n"/>
      <c r="J330" s="112" t="n"/>
      <c r="K330" s="112" t="n"/>
      <c r="L330" s="111" t="n"/>
      <c r="M330" s="112" t="n"/>
      <c r="N330" s="112" t="n"/>
      <c r="O330" s="111">
        <f>L330+I330+F330+C330</f>
        <v/>
      </c>
      <c r="P330" s="112">
        <f>M330+J330+G330+D330</f>
        <v/>
      </c>
      <c r="Q330" s="112">
        <f>N330+K330+H330+E330</f>
        <v/>
      </c>
      <c r="R330" s="111">
        <f>SUMIFS('PO Log'!$E:$E,'PO Log'!$D:$D,'Category Table'!R$2,'PO Log'!$C:$C,'Category Table'!$A330)</f>
        <v/>
      </c>
      <c r="S330" s="112">
        <f>SUMIFS('PO Log'!$E:$E,'PO Log'!$D:$D,'Category Table'!S$2,'PO Log'!$C:$C,'Category Table'!$A330)</f>
        <v/>
      </c>
      <c r="T330" s="112">
        <f>SUMIFS('PO Log'!$E:$E,'PO Log'!$D:$D,'Category Table'!T$2,'PO Log'!$C:$C,'Category Table'!$A330)</f>
        <v/>
      </c>
      <c r="U330" s="111">
        <f>SUMIFS('Committments Dump'!$Q:$Q,'Committments Dump'!$C:$C,'Category Table'!U$2,'Committments Dump'!$B:$B,'Category Table'!$A330)</f>
        <v/>
      </c>
      <c r="V330" s="112">
        <f>SUMIFS('Committments Dump'!$Q:$Q,'Committments Dump'!$C:$C,'Category Table'!V$2,'Committments Dump'!$B:$B,'Category Table'!$A330)</f>
        <v/>
      </c>
      <c r="W330" s="112">
        <f>SUMIFS('Committments Dump'!$Q:$Q,'Committments Dump'!$C:$C,'Category Table'!W$2,'Committments Dump'!$B:$B,'Category Table'!$A330)</f>
        <v/>
      </c>
      <c r="X330" s="111">
        <f>SUMIFS('Committments Dump'!$R:$R,'Committments Dump'!$C:$C,'Category Table'!X$2,'Committments Dump'!$B:$B,'Category Table'!$A330)</f>
        <v/>
      </c>
      <c r="Y330" s="112">
        <f>SUMIFS('Committments Dump'!$R:$R,'Committments Dump'!$C:$C,'Category Table'!Y$2,'Committments Dump'!$B:$B,'Category Table'!$A330)</f>
        <v/>
      </c>
      <c r="Z330" s="112">
        <f>SUMIFS('Committments Dump'!$R:$R,'Committments Dump'!$C:$C,'Category Table'!Z$2,'Committments Dump'!$B:$B,'Category Table'!$A330)</f>
        <v/>
      </c>
      <c r="AA330" s="111">
        <f>SUMIFS('Committments Dump'!$S:$S,'Committments Dump'!$C:$C,'Category Table'!AA$2,'Committments Dump'!$B:$B,'Category Table'!$A330)</f>
        <v/>
      </c>
      <c r="AB330" s="112">
        <f>SUMIFS('Committments Dump'!$S:$S,'Committments Dump'!$C:$C,'Category Table'!AB$2,'Committments Dump'!$B:$B,'Category Table'!$A330)</f>
        <v/>
      </c>
      <c r="AC330" s="112">
        <f>SUMIFS('Committments Dump'!$S:$S,'Committments Dump'!$C:$C,'Category Table'!AC$2,'Committments Dump'!$B:$B,'Category Table'!$A330)</f>
        <v/>
      </c>
      <c r="AD330" s="111">
        <f>U330+X330+AA330</f>
        <v/>
      </c>
      <c r="AE330" s="112">
        <f>V330+Y330+AB330</f>
        <v/>
      </c>
      <c r="AF330" s="112">
        <f>W330+Z330+AC330</f>
        <v/>
      </c>
      <c r="AG330" s="111">
        <f>R330+AD330</f>
        <v/>
      </c>
      <c r="AH330" s="112">
        <f>S330+AE330</f>
        <v/>
      </c>
      <c r="AI330" s="112">
        <f>T330+AF330</f>
        <v/>
      </c>
      <c r="AJ330" s="111" t="n"/>
      <c r="AK330" s="112" t="n"/>
      <c r="AL330" s="112" t="n"/>
      <c r="AM330" s="111">
        <f>(O330-AG330)+AJ330</f>
        <v/>
      </c>
      <c r="AN330" s="112">
        <f>(P330-AH330)+AK330</f>
        <v/>
      </c>
      <c r="AO330" s="112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13" t="n"/>
      <c r="D331" s="114" t="n"/>
      <c r="E331" s="114" t="n"/>
      <c r="F331" s="113" t="n"/>
      <c r="G331" s="114" t="n"/>
      <c r="H331" s="114" t="n"/>
      <c r="I331" s="113" t="n"/>
      <c r="J331" s="114" t="n"/>
      <c r="K331" s="114" t="n"/>
      <c r="L331" s="113" t="n"/>
      <c r="M331" s="114" t="n"/>
      <c r="N331" s="114" t="n"/>
      <c r="O331" s="113">
        <f>L331+I331+F331+C331</f>
        <v/>
      </c>
      <c r="P331" s="114">
        <f>M331+J331+G331+D331</f>
        <v/>
      </c>
      <c r="Q331" s="114">
        <f>N331+K331+H331+E331</f>
        <v/>
      </c>
      <c r="R331" s="113">
        <f>SUMIFS('PO Log'!$E:$E,'PO Log'!$D:$D,'Category Table'!R$2,'PO Log'!$C:$C,'Category Table'!$A331)</f>
        <v/>
      </c>
      <c r="S331" s="114">
        <f>SUMIFS('PO Log'!$E:$E,'PO Log'!$D:$D,'Category Table'!S$2,'PO Log'!$C:$C,'Category Table'!$A331)</f>
        <v/>
      </c>
      <c r="T331" s="114">
        <f>SUMIFS('PO Log'!$E:$E,'PO Log'!$D:$D,'Category Table'!T$2,'PO Log'!$C:$C,'Category Table'!$A331)</f>
        <v/>
      </c>
      <c r="U331" s="113">
        <f>SUMIFS('Committments Dump'!$Q:$Q,'Committments Dump'!$C:$C,'Category Table'!U$2,'Committments Dump'!$B:$B,'Category Table'!$A331)</f>
        <v/>
      </c>
      <c r="V331" s="114">
        <f>SUMIFS('Committments Dump'!$Q:$Q,'Committments Dump'!$C:$C,'Category Table'!V$2,'Committments Dump'!$B:$B,'Category Table'!$A331)</f>
        <v/>
      </c>
      <c r="W331" s="114">
        <f>SUMIFS('Committments Dump'!$Q:$Q,'Committments Dump'!$C:$C,'Category Table'!W$2,'Committments Dump'!$B:$B,'Category Table'!$A331)</f>
        <v/>
      </c>
      <c r="X331" s="113">
        <f>SUMIFS('Committments Dump'!$R:$R,'Committments Dump'!$C:$C,'Category Table'!X$2,'Committments Dump'!$B:$B,'Category Table'!$A331)</f>
        <v/>
      </c>
      <c r="Y331" s="114">
        <f>SUMIFS('Committments Dump'!$R:$R,'Committments Dump'!$C:$C,'Category Table'!Y$2,'Committments Dump'!$B:$B,'Category Table'!$A331)</f>
        <v/>
      </c>
      <c r="Z331" s="114">
        <f>SUMIFS('Committments Dump'!$R:$R,'Committments Dump'!$C:$C,'Category Table'!Z$2,'Committments Dump'!$B:$B,'Category Table'!$A331)</f>
        <v/>
      </c>
      <c r="AA331" s="113">
        <f>SUMIFS('Committments Dump'!$S:$S,'Committments Dump'!$C:$C,'Category Table'!AA$2,'Committments Dump'!$B:$B,'Category Table'!$A331)</f>
        <v/>
      </c>
      <c r="AB331" s="114">
        <f>SUMIFS('Committments Dump'!$S:$S,'Committments Dump'!$C:$C,'Category Table'!AB$2,'Committments Dump'!$B:$B,'Category Table'!$A331)</f>
        <v/>
      </c>
      <c r="AC331" s="114">
        <f>SUMIFS('Committments Dump'!$S:$S,'Committments Dump'!$C:$C,'Category Table'!AC$2,'Committments Dump'!$B:$B,'Category Table'!$A331)</f>
        <v/>
      </c>
      <c r="AD331" s="113">
        <f>U331+X331+AA331</f>
        <v/>
      </c>
      <c r="AE331" s="114">
        <f>V331+Y331+AB331</f>
        <v/>
      </c>
      <c r="AF331" s="114">
        <f>W331+Z331+AC331</f>
        <v/>
      </c>
      <c r="AG331" s="113">
        <f>R331+AD331</f>
        <v/>
      </c>
      <c r="AH331" s="114">
        <f>S331+AE331</f>
        <v/>
      </c>
      <c r="AI331" s="114">
        <f>T331+AF331</f>
        <v/>
      </c>
      <c r="AJ331" s="113" t="n"/>
      <c r="AK331" s="114" t="n"/>
      <c r="AL331" s="114" t="n"/>
      <c r="AM331" s="113">
        <f>(O331-AG331)+AJ331</f>
        <v/>
      </c>
      <c r="AN331" s="114">
        <f>(P331-AH331)+AK331</f>
        <v/>
      </c>
      <c r="AO331" s="114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11" t="n"/>
      <c r="D332" s="112" t="n"/>
      <c r="E332" s="112" t="n"/>
      <c r="F332" s="111" t="n"/>
      <c r="G332" s="112" t="n"/>
      <c r="H332" s="112" t="n"/>
      <c r="I332" s="111" t="n"/>
      <c r="J332" s="112" t="n"/>
      <c r="K332" s="112" t="n"/>
      <c r="L332" s="111" t="n"/>
      <c r="M332" s="112" t="n"/>
      <c r="N332" s="112" t="n"/>
      <c r="O332" s="111">
        <f>L332+I332+F332+C332</f>
        <v/>
      </c>
      <c r="P332" s="112">
        <f>M332+J332+G332+D332</f>
        <v/>
      </c>
      <c r="Q332" s="112">
        <f>N332+K332+H332+E332</f>
        <v/>
      </c>
      <c r="R332" s="111">
        <f>SUMIFS('PO Log'!$E:$E,'PO Log'!$D:$D,'Category Table'!R$2,'PO Log'!$C:$C,'Category Table'!$A332)</f>
        <v/>
      </c>
      <c r="S332" s="112">
        <f>SUMIFS('PO Log'!$E:$E,'PO Log'!$D:$D,'Category Table'!S$2,'PO Log'!$C:$C,'Category Table'!$A332)</f>
        <v/>
      </c>
      <c r="T332" s="112">
        <f>SUMIFS('PO Log'!$E:$E,'PO Log'!$D:$D,'Category Table'!T$2,'PO Log'!$C:$C,'Category Table'!$A332)</f>
        <v/>
      </c>
      <c r="U332" s="111">
        <f>SUMIFS('Committments Dump'!$Q:$Q,'Committments Dump'!$C:$C,'Category Table'!U$2,'Committments Dump'!$B:$B,'Category Table'!$A332)</f>
        <v/>
      </c>
      <c r="V332" s="112">
        <f>SUMIFS('Committments Dump'!$Q:$Q,'Committments Dump'!$C:$C,'Category Table'!V$2,'Committments Dump'!$B:$B,'Category Table'!$A332)</f>
        <v/>
      </c>
      <c r="W332" s="112">
        <f>SUMIFS('Committments Dump'!$Q:$Q,'Committments Dump'!$C:$C,'Category Table'!W$2,'Committments Dump'!$B:$B,'Category Table'!$A332)</f>
        <v/>
      </c>
      <c r="X332" s="111">
        <f>SUMIFS('Committments Dump'!$R:$R,'Committments Dump'!$C:$C,'Category Table'!X$2,'Committments Dump'!$B:$B,'Category Table'!$A332)</f>
        <v/>
      </c>
      <c r="Y332" s="112">
        <f>SUMIFS('Committments Dump'!$R:$R,'Committments Dump'!$C:$C,'Category Table'!Y$2,'Committments Dump'!$B:$B,'Category Table'!$A332)</f>
        <v/>
      </c>
      <c r="Z332" s="112">
        <f>SUMIFS('Committments Dump'!$R:$R,'Committments Dump'!$C:$C,'Category Table'!Z$2,'Committments Dump'!$B:$B,'Category Table'!$A332)</f>
        <v/>
      </c>
      <c r="AA332" s="111">
        <f>SUMIFS('Committments Dump'!$S:$S,'Committments Dump'!$C:$C,'Category Table'!AA$2,'Committments Dump'!$B:$B,'Category Table'!$A332)</f>
        <v/>
      </c>
      <c r="AB332" s="112">
        <f>SUMIFS('Committments Dump'!$S:$S,'Committments Dump'!$C:$C,'Category Table'!AB$2,'Committments Dump'!$B:$B,'Category Table'!$A332)</f>
        <v/>
      </c>
      <c r="AC332" s="112">
        <f>SUMIFS('Committments Dump'!$S:$S,'Committments Dump'!$C:$C,'Category Table'!AC$2,'Committments Dump'!$B:$B,'Category Table'!$A332)</f>
        <v/>
      </c>
      <c r="AD332" s="111">
        <f>U332+X332+AA332</f>
        <v/>
      </c>
      <c r="AE332" s="112">
        <f>V332+Y332+AB332</f>
        <v/>
      </c>
      <c r="AF332" s="112">
        <f>W332+Z332+AC332</f>
        <v/>
      </c>
      <c r="AG332" s="111">
        <f>R332+AD332</f>
        <v/>
      </c>
      <c r="AH332" s="112">
        <f>S332+AE332</f>
        <v/>
      </c>
      <c r="AI332" s="112">
        <f>T332+AF332</f>
        <v/>
      </c>
      <c r="AJ332" s="111" t="n"/>
      <c r="AK332" s="112" t="n"/>
      <c r="AL332" s="112" t="n"/>
      <c r="AM332" s="111">
        <f>(O332-AG332)+AJ332</f>
        <v/>
      </c>
      <c r="AN332" s="112">
        <f>(P332-AH332)+AK332</f>
        <v/>
      </c>
      <c r="AO332" s="112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13" t="n"/>
      <c r="D333" s="114" t="n"/>
      <c r="E333" s="114" t="n"/>
      <c r="F333" s="113" t="n"/>
      <c r="G333" s="114" t="n"/>
      <c r="H333" s="114" t="n"/>
      <c r="I333" s="113" t="n"/>
      <c r="J333" s="114" t="n"/>
      <c r="K333" s="114" t="n"/>
      <c r="L333" s="113" t="n"/>
      <c r="M333" s="114" t="n"/>
      <c r="N333" s="114" t="n"/>
      <c r="O333" s="113">
        <f>L333+I333+F333+C333</f>
        <v/>
      </c>
      <c r="P333" s="114">
        <f>M333+J333+G333+D333</f>
        <v/>
      </c>
      <c r="Q333" s="114">
        <f>N333+K333+H333+E333</f>
        <v/>
      </c>
      <c r="R333" s="113">
        <f>SUMIFS('PO Log'!$E:$E,'PO Log'!$D:$D,'Category Table'!R$2,'PO Log'!$C:$C,'Category Table'!$A333)</f>
        <v/>
      </c>
      <c r="S333" s="114">
        <f>SUMIFS('PO Log'!$E:$E,'PO Log'!$D:$D,'Category Table'!S$2,'PO Log'!$C:$C,'Category Table'!$A333)</f>
        <v/>
      </c>
      <c r="T333" s="114">
        <f>SUMIFS('PO Log'!$E:$E,'PO Log'!$D:$D,'Category Table'!T$2,'PO Log'!$C:$C,'Category Table'!$A333)</f>
        <v/>
      </c>
      <c r="U333" s="113">
        <f>SUMIFS('Committments Dump'!$Q:$Q,'Committments Dump'!$C:$C,'Category Table'!U$2,'Committments Dump'!$B:$B,'Category Table'!$A333)</f>
        <v/>
      </c>
      <c r="V333" s="114">
        <f>SUMIFS('Committments Dump'!$Q:$Q,'Committments Dump'!$C:$C,'Category Table'!V$2,'Committments Dump'!$B:$B,'Category Table'!$A333)</f>
        <v/>
      </c>
      <c r="W333" s="114">
        <f>SUMIFS('Committments Dump'!$Q:$Q,'Committments Dump'!$C:$C,'Category Table'!W$2,'Committments Dump'!$B:$B,'Category Table'!$A333)</f>
        <v/>
      </c>
      <c r="X333" s="113">
        <f>SUMIFS('Committments Dump'!$R:$R,'Committments Dump'!$C:$C,'Category Table'!X$2,'Committments Dump'!$B:$B,'Category Table'!$A333)</f>
        <v/>
      </c>
      <c r="Y333" s="114">
        <f>SUMIFS('Committments Dump'!$R:$R,'Committments Dump'!$C:$C,'Category Table'!Y$2,'Committments Dump'!$B:$B,'Category Table'!$A333)</f>
        <v/>
      </c>
      <c r="Z333" s="114">
        <f>SUMIFS('Committments Dump'!$R:$R,'Committments Dump'!$C:$C,'Category Table'!Z$2,'Committments Dump'!$B:$B,'Category Table'!$A333)</f>
        <v/>
      </c>
      <c r="AA333" s="113">
        <f>SUMIFS('Committments Dump'!$S:$S,'Committments Dump'!$C:$C,'Category Table'!AA$2,'Committments Dump'!$B:$B,'Category Table'!$A333)</f>
        <v/>
      </c>
      <c r="AB333" s="114">
        <f>SUMIFS('Committments Dump'!$S:$S,'Committments Dump'!$C:$C,'Category Table'!AB$2,'Committments Dump'!$B:$B,'Category Table'!$A333)</f>
        <v/>
      </c>
      <c r="AC333" s="114">
        <f>SUMIFS('Committments Dump'!$S:$S,'Committments Dump'!$C:$C,'Category Table'!AC$2,'Committments Dump'!$B:$B,'Category Table'!$A333)</f>
        <v/>
      </c>
      <c r="AD333" s="113">
        <f>U333+X333+AA333</f>
        <v/>
      </c>
      <c r="AE333" s="114">
        <f>V333+Y333+AB333</f>
        <v/>
      </c>
      <c r="AF333" s="114">
        <f>W333+Z333+AC333</f>
        <v/>
      </c>
      <c r="AG333" s="113">
        <f>R333+AD333</f>
        <v/>
      </c>
      <c r="AH333" s="114">
        <f>S333+AE333</f>
        <v/>
      </c>
      <c r="AI333" s="114">
        <f>T333+AF333</f>
        <v/>
      </c>
      <c r="AJ333" s="113" t="n"/>
      <c r="AK333" s="114" t="n"/>
      <c r="AL333" s="114" t="n"/>
      <c r="AM333" s="113">
        <f>(O333-AG333)+AJ333</f>
        <v/>
      </c>
      <c r="AN333" s="114">
        <f>(P333-AH333)+AK333</f>
        <v/>
      </c>
      <c r="AO333" s="114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11" t="n"/>
      <c r="D334" s="112" t="n"/>
      <c r="E334" s="112" t="n"/>
      <c r="F334" s="111" t="n"/>
      <c r="G334" s="112" t="n"/>
      <c r="H334" s="112" t="n"/>
      <c r="I334" s="111" t="n"/>
      <c r="J334" s="112" t="n"/>
      <c r="K334" s="112" t="n"/>
      <c r="L334" s="111" t="n"/>
      <c r="M334" s="112" t="n"/>
      <c r="N334" s="112" t="n"/>
      <c r="O334" s="111">
        <f>L334+I334+F334+C334</f>
        <v/>
      </c>
      <c r="P334" s="112">
        <f>M334+J334+G334+D334</f>
        <v/>
      </c>
      <c r="Q334" s="112">
        <f>N334+K334+H334+E334</f>
        <v/>
      </c>
      <c r="R334" s="111">
        <f>SUMIFS('PO Log'!$E:$E,'PO Log'!$D:$D,'Category Table'!R$2,'PO Log'!$C:$C,'Category Table'!$A334)</f>
        <v/>
      </c>
      <c r="S334" s="112">
        <f>SUMIFS('PO Log'!$E:$E,'PO Log'!$D:$D,'Category Table'!S$2,'PO Log'!$C:$C,'Category Table'!$A334)</f>
        <v/>
      </c>
      <c r="T334" s="112">
        <f>SUMIFS('PO Log'!$E:$E,'PO Log'!$D:$D,'Category Table'!T$2,'PO Log'!$C:$C,'Category Table'!$A334)</f>
        <v/>
      </c>
      <c r="U334" s="111">
        <f>SUMIFS('Committments Dump'!$Q:$Q,'Committments Dump'!$C:$C,'Category Table'!U$2,'Committments Dump'!$B:$B,'Category Table'!$A334)</f>
        <v/>
      </c>
      <c r="V334" s="112">
        <f>SUMIFS('Committments Dump'!$Q:$Q,'Committments Dump'!$C:$C,'Category Table'!V$2,'Committments Dump'!$B:$B,'Category Table'!$A334)</f>
        <v/>
      </c>
      <c r="W334" s="112">
        <f>SUMIFS('Committments Dump'!$Q:$Q,'Committments Dump'!$C:$C,'Category Table'!W$2,'Committments Dump'!$B:$B,'Category Table'!$A334)</f>
        <v/>
      </c>
      <c r="X334" s="111">
        <f>SUMIFS('Committments Dump'!$R:$R,'Committments Dump'!$C:$C,'Category Table'!X$2,'Committments Dump'!$B:$B,'Category Table'!$A334)</f>
        <v/>
      </c>
      <c r="Y334" s="112">
        <f>SUMIFS('Committments Dump'!$R:$R,'Committments Dump'!$C:$C,'Category Table'!Y$2,'Committments Dump'!$B:$B,'Category Table'!$A334)</f>
        <v/>
      </c>
      <c r="Z334" s="112">
        <f>SUMIFS('Committments Dump'!$R:$R,'Committments Dump'!$C:$C,'Category Table'!Z$2,'Committments Dump'!$B:$B,'Category Table'!$A334)</f>
        <v/>
      </c>
      <c r="AA334" s="111">
        <f>SUMIFS('Committments Dump'!$S:$S,'Committments Dump'!$C:$C,'Category Table'!AA$2,'Committments Dump'!$B:$B,'Category Table'!$A334)</f>
        <v/>
      </c>
      <c r="AB334" s="112">
        <f>SUMIFS('Committments Dump'!$S:$S,'Committments Dump'!$C:$C,'Category Table'!AB$2,'Committments Dump'!$B:$B,'Category Table'!$A334)</f>
        <v/>
      </c>
      <c r="AC334" s="112">
        <f>SUMIFS('Committments Dump'!$S:$S,'Committments Dump'!$C:$C,'Category Table'!AC$2,'Committments Dump'!$B:$B,'Category Table'!$A334)</f>
        <v/>
      </c>
      <c r="AD334" s="111">
        <f>U334+X334+AA334</f>
        <v/>
      </c>
      <c r="AE334" s="112">
        <f>V334+Y334+AB334</f>
        <v/>
      </c>
      <c r="AF334" s="112">
        <f>W334+Z334+AC334</f>
        <v/>
      </c>
      <c r="AG334" s="111">
        <f>R334+AD334</f>
        <v/>
      </c>
      <c r="AH334" s="112">
        <f>S334+AE334</f>
        <v/>
      </c>
      <c r="AI334" s="112">
        <f>T334+AF334</f>
        <v/>
      </c>
      <c r="AJ334" s="111" t="n"/>
      <c r="AK334" s="112" t="n"/>
      <c r="AL334" s="112" t="n"/>
      <c r="AM334" s="111">
        <f>(O334-AG334)+AJ334</f>
        <v/>
      </c>
      <c r="AN334" s="112">
        <f>(P334-AH334)+AK334</f>
        <v/>
      </c>
      <c r="AO334" s="112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13" t="n"/>
      <c r="D335" s="114" t="n"/>
      <c r="E335" s="114" t="n"/>
      <c r="F335" s="113" t="n"/>
      <c r="G335" s="114" t="n"/>
      <c r="H335" s="114" t="n"/>
      <c r="I335" s="113" t="n"/>
      <c r="J335" s="114" t="n"/>
      <c r="K335" s="114" t="n"/>
      <c r="L335" s="113" t="n"/>
      <c r="M335" s="114" t="n"/>
      <c r="N335" s="114" t="n"/>
      <c r="O335" s="113">
        <f>L335+I335+F335+C335</f>
        <v/>
      </c>
      <c r="P335" s="114">
        <f>M335+J335+G335+D335</f>
        <v/>
      </c>
      <c r="Q335" s="114">
        <f>N335+K335+H335+E335</f>
        <v/>
      </c>
      <c r="R335" s="113">
        <f>SUMIFS('PO Log'!$E:$E,'PO Log'!$D:$D,'Category Table'!R$2,'PO Log'!$C:$C,'Category Table'!$A335)</f>
        <v/>
      </c>
      <c r="S335" s="114">
        <f>SUMIFS('PO Log'!$E:$E,'PO Log'!$D:$D,'Category Table'!S$2,'PO Log'!$C:$C,'Category Table'!$A335)</f>
        <v/>
      </c>
      <c r="T335" s="114">
        <f>SUMIFS('PO Log'!$E:$E,'PO Log'!$D:$D,'Category Table'!T$2,'PO Log'!$C:$C,'Category Table'!$A335)</f>
        <v/>
      </c>
      <c r="U335" s="113">
        <f>SUMIFS('Committments Dump'!$Q:$Q,'Committments Dump'!$C:$C,'Category Table'!U$2,'Committments Dump'!$B:$B,'Category Table'!$A335)</f>
        <v/>
      </c>
      <c r="V335" s="114">
        <f>SUMIFS('Committments Dump'!$Q:$Q,'Committments Dump'!$C:$C,'Category Table'!V$2,'Committments Dump'!$B:$B,'Category Table'!$A335)</f>
        <v/>
      </c>
      <c r="W335" s="114">
        <f>SUMIFS('Committments Dump'!$Q:$Q,'Committments Dump'!$C:$C,'Category Table'!W$2,'Committments Dump'!$B:$B,'Category Table'!$A335)</f>
        <v/>
      </c>
      <c r="X335" s="113">
        <f>SUMIFS('Committments Dump'!$R:$R,'Committments Dump'!$C:$C,'Category Table'!X$2,'Committments Dump'!$B:$B,'Category Table'!$A335)</f>
        <v/>
      </c>
      <c r="Y335" s="114">
        <f>SUMIFS('Committments Dump'!$R:$R,'Committments Dump'!$C:$C,'Category Table'!Y$2,'Committments Dump'!$B:$B,'Category Table'!$A335)</f>
        <v/>
      </c>
      <c r="Z335" s="114">
        <f>SUMIFS('Committments Dump'!$R:$R,'Committments Dump'!$C:$C,'Category Table'!Z$2,'Committments Dump'!$B:$B,'Category Table'!$A335)</f>
        <v/>
      </c>
      <c r="AA335" s="113">
        <f>SUMIFS('Committments Dump'!$S:$S,'Committments Dump'!$C:$C,'Category Table'!AA$2,'Committments Dump'!$B:$B,'Category Table'!$A335)</f>
        <v/>
      </c>
      <c r="AB335" s="114">
        <f>SUMIFS('Committments Dump'!$S:$S,'Committments Dump'!$C:$C,'Category Table'!AB$2,'Committments Dump'!$B:$B,'Category Table'!$A335)</f>
        <v/>
      </c>
      <c r="AC335" s="114">
        <f>SUMIFS('Committments Dump'!$S:$S,'Committments Dump'!$C:$C,'Category Table'!AC$2,'Committments Dump'!$B:$B,'Category Table'!$A335)</f>
        <v/>
      </c>
      <c r="AD335" s="113">
        <f>U335+X335+AA335</f>
        <v/>
      </c>
      <c r="AE335" s="114">
        <f>V335+Y335+AB335</f>
        <v/>
      </c>
      <c r="AF335" s="114">
        <f>W335+Z335+AC335</f>
        <v/>
      </c>
      <c r="AG335" s="113">
        <f>R335+AD335</f>
        <v/>
      </c>
      <c r="AH335" s="114">
        <f>S335+AE335</f>
        <v/>
      </c>
      <c r="AI335" s="114">
        <f>T335+AF335</f>
        <v/>
      </c>
      <c r="AJ335" s="113" t="n"/>
      <c r="AK335" s="114" t="n"/>
      <c r="AL335" s="114" t="n"/>
      <c r="AM335" s="113">
        <f>(O335-AG335)+AJ335</f>
        <v/>
      </c>
      <c r="AN335" s="114">
        <f>(P335-AH335)+AK335</f>
        <v/>
      </c>
      <c r="AO335" s="114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11" t="n"/>
      <c r="D336" s="112" t="n"/>
      <c r="E336" s="112" t="n"/>
      <c r="F336" s="111" t="n"/>
      <c r="G336" s="112" t="n"/>
      <c r="H336" s="112" t="n"/>
      <c r="I336" s="111" t="n"/>
      <c r="J336" s="112" t="n"/>
      <c r="K336" s="112" t="n"/>
      <c r="L336" s="111" t="n"/>
      <c r="M336" s="112" t="n"/>
      <c r="N336" s="112" t="n"/>
      <c r="O336" s="111">
        <f>L336+I336+F336+C336</f>
        <v/>
      </c>
      <c r="P336" s="112">
        <f>M336+J336+G336+D336</f>
        <v/>
      </c>
      <c r="Q336" s="112">
        <f>N336+K336+H336+E336</f>
        <v/>
      </c>
      <c r="R336" s="111">
        <f>SUMIFS('PO Log'!$E:$E,'PO Log'!$D:$D,'Category Table'!R$2,'PO Log'!$C:$C,'Category Table'!$A336)</f>
        <v/>
      </c>
      <c r="S336" s="112">
        <f>SUMIFS('PO Log'!$E:$E,'PO Log'!$D:$D,'Category Table'!S$2,'PO Log'!$C:$C,'Category Table'!$A336)</f>
        <v/>
      </c>
      <c r="T336" s="112">
        <f>SUMIFS('PO Log'!$E:$E,'PO Log'!$D:$D,'Category Table'!T$2,'PO Log'!$C:$C,'Category Table'!$A336)</f>
        <v/>
      </c>
      <c r="U336" s="111">
        <f>SUMIFS('Committments Dump'!$Q:$Q,'Committments Dump'!$C:$C,'Category Table'!U$2,'Committments Dump'!$B:$B,'Category Table'!$A336)</f>
        <v/>
      </c>
      <c r="V336" s="112">
        <f>SUMIFS('Committments Dump'!$Q:$Q,'Committments Dump'!$C:$C,'Category Table'!V$2,'Committments Dump'!$B:$B,'Category Table'!$A336)</f>
        <v/>
      </c>
      <c r="W336" s="112">
        <f>SUMIFS('Committments Dump'!$Q:$Q,'Committments Dump'!$C:$C,'Category Table'!W$2,'Committments Dump'!$B:$B,'Category Table'!$A336)</f>
        <v/>
      </c>
      <c r="X336" s="111">
        <f>SUMIFS('Committments Dump'!$R:$R,'Committments Dump'!$C:$C,'Category Table'!X$2,'Committments Dump'!$B:$B,'Category Table'!$A336)</f>
        <v/>
      </c>
      <c r="Y336" s="112">
        <f>SUMIFS('Committments Dump'!$R:$R,'Committments Dump'!$C:$C,'Category Table'!Y$2,'Committments Dump'!$B:$B,'Category Table'!$A336)</f>
        <v/>
      </c>
      <c r="Z336" s="112">
        <f>SUMIFS('Committments Dump'!$R:$R,'Committments Dump'!$C:$C,'Category Table'!Z$2,'Committments Dump'!$B:$B,'Category Table'!$A336)</f>
        <v/>
      </c>
      <c r="AA336" s="111">
        <f>SUMIFS('Committments Dump'!$S:$S,'Committments Dump'!$C:$C,'Category Table'!AA$2,'Committments Dump'!$B:$B,'Category Table'!$A336)</f>
        <v/>
      </c>
      <c r="AB336" s="112">
        <f>SUMIFS('Committments Dump'!$S:$S,'Committments Dump'!$C:$C,'Category Table'!AB$2,'Committments Dump'!$B:$B,'Category Table'!$A336)</f>
        <v/>
      </c>
      <c r="AC336" s="112">
        <f>SUMIFS('Committments Dump'!$S:$S,'Committments Dump'!$C:$C,'Category Table'!AC$2,'Committments Dump'!$B:$B,'Category Table'!$A336)</f>
        <v/>
      </c>
      <c r="AD336" s="111">
        <f>U336+X336+AA336</f>
        <v/>
      </c>
      <c r="AE336" s="112">
        <f>V336+Y336+AB336</f>
        <v/>
      </c>
      <c r="AF336" s="112">
        <f>W336+Z336+AC336</f>
        <v/>
      </c>
      <c r="AG336" s="111">
        <f>R336+AD336</f>
        <v/>
      </c>
      <c r="AH336" s="112">
        <f>S336+AE336</f>
        <v/>
      </c>
      <c r="AI336" s="112">
        <f>T336+AF336</f>
        <v/>
      </c>
      <c r="AJ336" s="111" t="n"/>
      <c r="AK336" s="112" t="n"/>
      <c r="AL336" s="112" t="n"/>
      <c r="AM336" s="111">
        <f>(O336-AG336)+AJ336</f>
        <v/>
      </c>
      <c r="AN336" s="112">
        <f>(P336-AH336)+AK336</f>
        <v/>
      </c>
      <c r="AO336" s="112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13" t="n"/>
      <c r="D337" s="114" t="n"/>
      <c r="E337" s="114" t="n"/>
      <c r="F337" s="113" t="n"/>
      <c r="G337" s="114" t="n"/>
      <c r="H337" s="114" t="n"/>
      <c r="I337" s="113" t="n"/>
      <c r="J337" s="114" t="n"/>
      <c r="K337" s="114" t="n"/>
      <c r="L337" s="113" t="n"/>
      <c r="M337" s="114" t="n"/>
      <c r="N337" s="114" t="n"/>
      <c r="O337" s="113">
        <f>L337+I337+F337+C337</f>
        <v/>
      </c>
      <c r="P337" s="114">
        <f>M337+J337+G337+D337</f>
        <v/>
      </c>
      <c r="Q337" s="114">
        <f>N337+K337+H337+E337</f>
        <v/>
      </c>
      <c r="R337" s="113">
        <f>SUMIFS('PO Log'!$E:$E,'PO Log'!$D:$D,'Category Table'!R$2,'PO Log'!$C:$C,'Category Table'!$A337)</f>
        <v/>
      </c>
      <c r="S337" s="114">
        <f>SUMIFS('PO Log'!$E:$E,'PO Log'!$D:$D,'Category Table'!S$2,'PO Log'!$C:$C,'Category Table'!$A337)</f>
        <v/>
      </c>
      <c r="T337" s="114">
        <f>SUMIFS('PO Log'!$E:$E,'PO Log'!$D:$D,'Category Table'!T$2,'PO Log'!$C:$C,'Category Table'!$A337)</f>
        <v/>
      </c>
      <c r="U337" s="113">
        <f>SUMIFS('Committments Dump'!$Q:$Q,'Committments Dump'!$C:$C,'Category Table'!U$2,'Committments Dump'!$B:$B,'Category Table'!$A337)</f>
        <v/>
      </c>
      <c r="V337" s="114">
        <f>SUMIFS('Committments Dump'!$Q:$Q,'Committments Dump'!$C:$C,'Category Table'!V$2,'Committments Dump'!$B:$B,'Category Table'!$A337)</f>
        <v/>
      </c>
      <c r="W337" s="114">
        <f>SUMIFS('Committments Dump'!$Q:$Q,'Committments Dump'!$C:$C,'Category Table'!W$2,'Committments Dump'!$B:$B,'Category Table'!$A337)</f>
        <v/>
      </c>
      <c r="X337" s="113">
        <f>SUMIFS('Committments Dump'!$R:$R,'Committments Dump'!$C:$C,'Category Table'!X$2,'Committments Dump'!$B:$B,'Category Table'!$A337)</f>
        <v/>
      </c>
      <c r="Y337" s="114">
        <f>SUMIFS('Committments Dump'!$R:$R,'Committments Dump'!$C:$C,'Category Table'!Y$2,'Committments Dump'!$B:$B,'Category Table'!$A337)</f>
        <v/>
      </c>
      <c r="Z337" s="114">
        <f>SUMIFS('Committments Dump'!$R:$R,'Committments Dump'!$C:$C,'Category Table'!Z$2,'Committments Dump'!$B:$B,'Category Table'!$A337)</f>
        <v/>
      </c>
      <c r="AA337" s="113">
        <f>SUMIFS('Committments Dump'!$S:$S,'Committments Dump'!$C:$C,'Category Table'!AA$2,'Committments Dump'!$B:$B,'Category Table'!$A337)</f>
        <v/>
      </c>
      <c r="AB337" s="114">
        <f>SUMIFS('Committments Dump'!$S:$S,'Committments Dump'!$C:$C,'Category Table'!AB$2,'Committments Dump'!$B:$B,'Category Table'!$A337)</f>
        <v/>
      </c>
      <c r="AC337" s="114">
        <f>SUMIFS('Committments Dump'!$S:$S,'Committments Dump'!$C:$C,'Category Table'!AC$2,'Committments Dump'!$B:$B,'Category Table'!$A337)</f>
        <v/>
      </c>
      <c r="AD337" s="113">
        <f>U337+X337+AA337</f>
        <v/>
      </c>
      <c r="AE337" s="114">
        <f>V337+Y337+AB337</f>
        <v/>
      </c>
      <c r="AF337" s="114">
        <f>W337+Z337+AC337</f>
        <v/>
      </c>
      <c r="AG337" s="113">
        <f>R337+AD337</f>
        <v/>
      </c>
      <c r="AH337" s="114">
        <f>S337+AE337</f>
        <v/>
      </c>
      <c r="AI337" s="114">
        <f>T337+AF337</f>
        <v/>
      </c>
      <c r="AJ337" s="113" t="n"/>
      <c r="AK337" s="114" t="n"/>
      <c r="AL337" s="114" t="n"/>
      <c r="AM337" s="113">
        <f>(O337-AG337)+AJ337</f>
        <v/>
      </c>
      <c r="AN337" s="114">
        <f>(P337-AH337)+AK337</f>
        <v/>
      </c>
      <c r="AO337" s="114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11" t="n"/>
      <c r="D338" s="112" t="n"/>
      <c r="E338" s="112" t="n"/>
      <c r="F338" s="111" t="n"/>
      <c r="G338" s="112" t="n"/>
      <c r="H338" s="112" t="n"/>
      <c r="I338" s="111" t="n"/>
      <c r="J338" s="112" t="n"/>
      <c r="K338" s="112" t="n"/>
      <c r="L338" s="111" t="n"/>
      <c r="M338" s="112" t="n"/>
      <c r="N338" s="112" t="n"/>
      <c r="O338" s="111">
        <f>L338+I338+F338+C338</f>
        <v/>
      </c>
      <c r="P338" s="112">
        <f>M338+J338+G338+D338</f>
        <v/>
      </c>
      <c r="Q338" s="112">
        <f>N338+K338+H338+E338</f>
        <v/>
      </c>
      <c r="R338" s="111">
        <f>SUMIFS('PO Log'!$E:$E,'PO Log'!$D:$D,'Category Table'!R$2,'PO Log'!$C:$C,'Category Table'!$A338)</f>
        <v/>
      </c>
      <c r="S338" s="112">
        <f>SUMIFS('PO Log'!$E:$E,'PO Log'!$D:$D,'Category Table'!S$2,'PO Log'!$C:$C,'Category Table'!$A338)</f>
        <v/>
      </c>
      <c r="T338" s="112">
        <f>SUMIFS('PO Log'!$E:$E,'PO Log'!$D:$D,'Category Table'!T$2,'PO Log'!$C:$C,'Category Table'!$A338)</f>
        <v/>
      </c>
      <c r="U338" s="111">
        <f>SUMIFS('Committments Dump'!$Q:$Q,'Committments Dump'!$C:$C,'Category Table'!U$2,'Committments Dump'!$B:$B,'Category Table'!$A338)</f>
        <v/>
      </c>
      <c r="V338" s="112">
        <f>SUMIFS('Committments Dump'!$Q:$Q,'Committments Dump'!$C:$C,'Category Table'!V$2,'Committments Dump'!$B:$B,'Category Table'!$A338)</f>
        <v/>
      </c>
      <c r="W338" s="112">
        <f>SUMIFS('Committments Dump'!$Q:$Q,'Committments Dump'!$C:$C,'Category Table'!W$2,'Committments Dump'!$B:$B,'Category Table'!$A338)</f>
        <v/>
      </c>
      <c r="X338" s="111">
        <f>SUMIFS('Committments Dump'!$R:$R,'Committments Dump'!$C:$C,'Category Table'!X$2,'Committments Dump'!$B:$B,'Category Table'!$A338)</f>
        <v/>
      </c>
      <c r="Y338" s="112">
        <f>SUMIFS('Committments Dump'!$R:$R,'Committments Dump'!$C:$C,'Category Table'!Y$2,'Committments Dump'!$B:$B,'Category Table'!$A338)</f>
        <v/>
      </c>
      <c r="Z338" s="112">
        <f>SUMIFS('Committments Dump'!$R:$R,'Committments Dump'!$C:$C,'Category Table'!Z$2,'Committments Dump'!$B:$B,'Category Table'!$A338)</f>
        <v/>
      </c>
      <c r="AA338" s="111">
        <f>SUMIFS('Committments Dump'!$S:$S,'Committments Dump'!$C:$C,'Category Table'!AA$2,'Committments Dump'!$B:$B,'Category Table'!$A338)</f>
        <v/>
      </c>
      <c r="AB338" s="112">
        <f>SUMIFS('Committments Dump'!$S:$S,'Committments Dump'!$C:$C,'Category Table'!AB$2,'Committments Dump'!$B:$B,'Category Table'!$A338)</f>
        <v/>
      </c>
      <c r="AC338" s="112">
        <f>SUMIFS('Committments Dump'!$S:$S,'Committments Dump'!$C:$C,'Category Table'!AC$2,'Committments Dump'!$B:$B,'Category Table'!$A338)</f>
        <v/>
      </c>
      <c r="AD338" s="111">
        <f>U338+X338+AA338</f>
        <v/>
      </c>
      <c r="AE338" s="112">
        <f>V338+Y338+AB338</f>
        <v/>
      </c>
      <c r="AF338" s="112">
        <f>W338+Z338+AC338</f>
        <v/>
      </c>
      <c r="AG338" s="111">
        <f>R338+AD338</f>
        <v/>
      </c>
      <c r="AH338" s="112">
        <f>S338+AE338</f>
        <v/>
      </c>
      <c r="AI338" s="112">
        <f>T338+AF338</f>
        <v/>
      </c>
      <c r="AJ338" s="111" t="n"/>
      <c r="AK338" s="112" t="n"/>
      <c r="AL338" s="112" t="n"/>
      <c r="AM338" s="111">
        <f>(O338-AG338)+AJ338</f>
        <v/>
      </c>
      <c r="AN338" s="112">
        <f>(P338-AH338)+AK338</f>
        <v/>
      </c>
      <c r="AO338" s="112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13" t="n"/>
      <c r="D339" s="114" t="n"/>
      <c r="E339" s="114" t="n"/>
      <c r="F339" s="113" t="n"/>
      <c r="G339" s="114" t="n"/>
      <c r="H339" s="114" t="n"/>
      <c r="I339" s="113" t="n"/>
      <c r="J339" s="114" t="n"/>
      <c r="K339" s="114" t="n"/>
      <c r="L339" s="113" t="n"/>
      <c r="M339" s="114" t="n"/>
      <c r="N339" s="114" t="n"/>
      <c r="O339" s="113">
        <f>L339+I339+F339+C339</f>
        <v/>
      </c>
      <c r="P339" s="114">
        <f>M339+J339+G339+D339</f>
        <v/>
      </c>
      <c r="Q339" s="114">
        <f>N339+K339+H339+E339</f>
        <v/>
      </c>
      <c r="R339" s="113">
        <f>SUMIFS('PO Log'!$E:$E,'PO Log'!$D:$D,'Category Table'!R$2,'PO Log'!$C:$C,'Category Table'!$A339)</f>
        <v/>
      </c>
      <c r="S339" s="114">
        <f>SUMIFS('PO Log'!$E:$E,'PO Log'!$D:$D,'Category Table'!S$2,'PO Log'!$C:$C,'Category Table'!$A339)</f>
        <v/>
      </c>
      <c r="T339" s="114">
        <f>SUMIFS('PO Log'!$E:$E,'PO Log'!$D:$D,'Category Table'!T$2,'PO Log'!$C:$C,'Category Table'!$A339)</f>
        <v/>
      </c>
      <c r="U339" s="113">
        <f>SUMIFS('Committments Dump'!$Q:$Q,'Committments Dump'!$C:$C,'Category Table'!U$2,'Committments Dump'!$B:$B,'Category Table'!$A339)</f>
        <v/>
      </c>
      <c r="V339" s="114">
        <f>SUMIFS('Committments Dump'!$Q:$Q,'Committments Dump'!$C:$C,'Category Table'!V$2,'Committments Dump'!$B:$B,'Category Table'!$A339)</f>
        <v/>
      </c>
      <c r="W339" s="114">
        <f>SUMIFS('Committments Dump'!$Q:$Q,'Committments Dump'!$C:$C,'Category Table'!W$2,'Committments Dump'!$B:$B,'Category Table'!$A339)</f>
        <v/>
      </c>
      <c r="X339" s="113">
        <f>SUMIFS('Committments Dump'!$R:$R,'Committments Dump'!$C:$C,'Category Table'!X$2,'Committments Dump'!$B:$B,'Category Table'!$A339)</f>
        <v/>
      </c>
      <c r="Y339" s="114">
        <f>SUMIFS('Committments Dump'!$R:$R,'Committments Dump'!$C:$C,'Category Table'!Y$2,'Committments Dump'!$B:$B,'Category Table'!$A339)</f>
        <v/>
      </c>
      <c r="Z339" s="114">
        <f>SUMIFS('Committments Dump'!$R:$R,'Committments Dump'!$C:$C,'Category Table'!Z$2,'Committments Dump'!$B:$B,'Category Table'!$A339)</f>
        <v/>
      </c>
      <c r="AA339" s="113">
        <f>SUMIFS('Committments Dump'!$S:$S,'Committments Dump'!$C:$C,'Category Table'!AA$2,'Committments Dump'!$B:$B,'Category Table'!$A339)</f>
        <v/>
      </c>
      <c r="AB339" s="114">
        <f>SUMIFS('Committments Dump'!$S:$S,'Committments Dump'!$C:$C,'Category Table'!AB$2,'Committments Dump'!$B:$B,'Category Table'!$A339)</f>
        <v/>
      </c>
      <c r="AC339" s="114">
        <f>SUMIFS('Committments Dump'!$S:$S,'Committments Dump'!$C:$C,'Category Table'!AC$2,'Committments Dump'!$B:$B,'Category Table'!$A339)</f>
        <v/>
      </c>
      <c r="AD339" s="113">
        <f>U339+X339+AA339</f>
        <v/>
      </c>
      <c r="AE339" s="114">
        <f>V339+Y339+AB339</f>
        <v/>
      </c>
      <c r="AF339" s="114">
        <f>W339+Z339+AC339</f>
        <v/>
      </c>
      <c r="AG339" s="113">
        <f>R339+AD339</f>
        <v/>
      </c>
      <c r="AH339" s="114">
        <f>S339+AE339</f>
        <v/>
      </c>
      <c r="AI339" s="114">
        <f>T339+AF339</f>
        <v/>
      </c>
      <c r="AJ339" s="113" t="n"/>
      <c r="AK339" s="114" t="n"/>
      <c r="AL339" s="114" t="n"/>
      <c r="AM339" s="113">
        <f>(O339-AG339)+AJ339</f>
        <v/>
      </c>
      <c r="AN339" s="114">
        <f>(P339-AH339)+AK339</f>
        <v/>
      </c>
      <c r="AO339" s="114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11" t="n"/>
      <c r="D340" s="112" t="n"/>
      <c r="E340" s="112" t="n"/>
      <c r="F340" s="111" t="n"/>
      <c r="G340" s="112" t="n"/>
      <c r="H340" s="112" t="n"/>
      <c r="I340" s="111" t="n"/>
      <c r="J340" s="112" t="n"/>
      <c r="K340" s="112" t="n"/>
      <c r="L340" s="111" t="n"/>
      <c r="M340" s="112" t="n"/>
      <c r="N340" s="112" t="n"/>
      <c r="O340" s="111">
        <f>L340+I340+F340+C340</f>
        <v/>
      </c>
      <c r="P340" s="112">
        <f>M340+J340+G340+D340</f>
        <v/>
      </c>
      <c r="Q340" s="112">
        <f>N340+K340+H340+E340</f>
        <v/>
      </c>
      <c r="R340" s="111">
        <f>SUMIFS('PO Log'!$E:$E,'PO Log'!$D:$D,'Category Table'!R$2,'PO Log'!$C:$C,'Category Table'!$A340)</f>
        <v/>
      </c>
      <c r="S340" s="112">
        <f>SUMIFS('PO Log'!$E:$E,'PO Log'!$D:$D,'Category Table'!S$2,'PO Log'!$C:$C,'Category Table'!$A340)</f>
        <v/>
      </c>
      <c r="T340" s="112">
        <f>SUMIFS('PO Log'!$E:$E,'PO Log'!$D:$D,'Category Table'!T$2,'PO Log'!$C:$C,'Category Table'!$A340)</f>
        <v/>
      </c>
      <c r="U340" s="111">
        <f>SUMIFS('Committments Dump'!$Q:$Q,'Committments Dump'!$C:$C,'Category Table'!U$2,'Committments Dump'!$B:$B,'Category Table'!$A340)</f>
        <v/>
      </c>
      <c r="V340" s="112">
        <f>SUMIFS('Committments Dump'!$Q:$Q,'Committments Dump'!$C:$C,'Category Table'!V$2,'Committments Dump'!$B:$B,'Category Table'!$A340)</f>
        <v/>
      </c>
      <c r="W340" s="112">
        <f>SUMIFS('Committments Dump'!$Q:$Q,'Committments Dump'!$C:$C,'Category Table'!W$2,'Committments Dump'!$B:$B,'Category Table'!$A340)</f>
        <v/>
      </c>
      <c r="X340" s="111">
        <f>SUMIFS('Committments Dump'!$R:$R,'Committments Dump'!$C:$C,'Category Table'!X$2,'Committments Dump'!$B:$B,'Category Table'!$A340)</f>
        <v/>
      </c>
      <c r="Y340" s="112">
        <f>SUMIFS('Committments Dump'!$R:$R,'Committments Dump'!$C:$C,'Category Table'!Y$2,'Committments Dump'!$B:$B,'Category Table'!$A340)</f>
        <v/>
      </c>
      <c r="Z340" s="112">
        <f>SUMIFS('Committments Dump'!$R:$R,'Committments Dump'!$C:$C,'Category Table'!Z$2,'Committments Dump'!$B:$B,'Category Table'!$A340)</f>
        <v/>
      </c>
      <c r="AA340" s="111">
        <f>SUMIFS('Committments Dump'!$S:$S,'Committments Dump'!$C:$C,'Category Table'!AA$2,'Committments Dump'!$B:$B,'Category Table'!$A340)</f>
        <v/>
      </c>
      <c r="AB340" s="112">
        <f>SUMIFS('Committments Dump'!$S:$S,'Committments Dump'!$C:$C,'Category Table'!AB$2,'Committments Dump'!$B:$B,'Category Table'!$A340)</f>
        <v/>
      </c>
      <c r="AC340" s="112">
        <f>SUMIFS('Committments Dump'!$S:$S,'Committments Dump'!$C:$C,'Category Table'!AC$2,'Committments Dump'!$B:$B,'Category Table'!$A340)</f>
        <v/>
      </c>
      <c r="AD340" s="111">
        <f>U340+X340+AA340</f>
        <v/>
      </c>
      <c r="AE340" s="112">
        <f>V340+Y340+AB340</f>
        <v/>
      </c>
      <c r="AF340" s="112">
        <f>W340+Z340+AC340</f>
        <v/>
      </c>
      <c r="AG340" s="111">
        <f>R340+AD340</f>
        <v/>
      </c>
      <c r="AH340" s="112">
        <f>S340+AE340</f>
        <v/>
      </c>
      <c r="AI340" s="112">
        <f>T340+AF340</f>
        <v/>
      </c>
      <c r="AJ340" s="111" t="n"/>
      <c r="AK340" s="112" t="n"/>
      <c r="AL340" s="112" t="n"/>
      <c r="AM340" s="111">
        <f>(O340-AG340)+AJ340</f>
        <v/>
      </c>
      <c r="AN340" s="112">
        <f>(P340-AH340)+AK340</f>
        <v/>
      </c>
      <c r="AO340" s="112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13" t="n"/>
      <c r="D341" s="114" t="n"/>
      <c r="E341" s="114" t="n"/>
      <c r="F341" s="113" t="n"/>
      <c r="G341" s="114" t="n"/>
      <c r="H341" s="114" t="n"/>
      <c r="I341" s="113" t="n"/>
      <c r="J341" s="114" t="n"/>
      <c r="K341" s="114" t="n"/>
      <c r="L341" s="113" t="n"/>
      <c r="M341" s="114" t="n"/>
      <c r="N341" s="114" t="n"/>
      <c r="O341" s="113">
        <f>L341+I341+F341+C341</f>
        <v/>
      </c>
      <c r="P341" s="114">
        <f>M341+J341+G341+D341</f>
        <v/>
      </c>
      <c r="Q341" s="114">
        <f>N341+K341+H341+E341</f>
        <v/>
      </c>
      <c r="R341" s="113">
        <f>SUMIFS('PO Log'!$E:$E,'PO Log'!$D:$D,'Category Table'!R$2,'PO Log'!$C:$C,'Category Table'!$A341)</f>
        <v/>
      </c>
      <c r="S341" s="114">
        <f>SUMIFS('PO Log'!$E:$E,'PO Log'!$D:$D,'Category Table'!S$2,'PO Log'!$C:$C,'Category Table'!$A341)</f>
        <v/>
      </c>
      <c r="T341" s="114">
        <f>SUMIFS('PO Log'!$E:$E,'PO Log'!$D:$D,'Category Table'!T$2,'PO Log'!$C:$C,'Category Table'!$A341)</f>
        <v/>
      </c>
      <c r="U341" s="113">
        <f>SUMIFS('Committments Dump'!$Q:$Q,'Committments Dump'!$C:$C,'Category Table'!U$2,'Committments Dump'!$B:$B,'Category Table'!$A341)</f>
        <v/>
      </c>
      <c r="V341" s="114">
        <f>SUMIFS('Committments Dump'!$Q:$Q,'Committments Dump'!$C:$C,'Category Table'!V$2,'Committments Dump'!$B:$B,'Category Table'!$A341)</f>
        <v/>
      </c>
      <c r="W341" s="114">
        <f>SUMIFS('Committments Dump'!$Q:$Q,'Committments Dump'!$C:$C,'Category Table'!W$2,'Committments Dump'!$B:$B,'Category Table'!$A341)</f>
        <v/>
      </c>
      <c r="X341" s="113">
        <f>SUMIFS('Committments Dump'!$R:$R,'Committments Dump'!$C:$C,'Category Table'!X$2,'Committments Dump'!$B:$B,'Category Table'!$A341)</f>
        <v/>
      </c>
      <c r="Y341" s="114">
        <f>SUMIFS('Committments Dump'!$R:$R,'Committments Dump'!$C:$C,'Category Table'!Y$2,'Committments Dump'!$B:$B,'Category Table'!$A341)</f>
        <v/>
      </c>
      <c r="Z341" s="114">
        <f>SUMIFS('Committments Dump'!$R:$R,'Committments Dump'!$C:$C,'Category Table'!Z$2,'Committments Dump'!$B:$B,'Category Table'!$A341)</f>
        <v/>
      </c>
      <c r="AA341" s="113">
        <f>SUMIFS('Committments Dump'!$S:$S,'Committments Dump'!$C:$C,'Category Table'!AA$2,'Committments Dump'!$B:$B,'Category Table'!$A341)</f>
        <v/>
      </c>
      <c r="AB341" s="114">
        <f>SUMIFS('Committments Dump'!$S:$S,'Committments Dump'!$C:$C,'Category Table'!AB$2,'Committments Dump'!$B:$B,'Category Table'!$A341)</f>
        <v/>
      </c>
      <c r="AC341" s="114">
        <f>SUMIFS('Committments Dump'!$S:$S,'Committments Dump'!$C:$C,'Category Table'!AC$2,'Committments Dump'!$B:$B,'Category Table'!$A341)</f>
        <v/>
      </c>
      <c r="AD341" s="113">
        <f>U341+X341+AA341</f>
        <v/>
      </c>
      <c r="AE341" s="114">
        <f>V341+Y341+AB341</f>
        <v/>
      </c>
      <c r="AF341" s="114">
        <f>W341+Z341+AC341</f>
        <v/>
      </c>
      <c r="AG341" s="113">
        <f>R341+AD341</f>
        <v/>
      </c>
      <c r="AH341" s="114">
        <f>S341+AE341</f>
        <v/>
      </c>
      <c r="AI341" s="114">
        <f>T341+AF341</f>
        <v/>
      </c>
      <c r="AJ341" s="113" t="n"/>
      <c r="AK341" s="114" t="n"/>
      <c r="AL341" s="114" t="n"/>
      <c r="AM341" s="113">
        <f>(O341-AG341)+AJ341</f>
        <v/>
      </c>
      <c r="AN341" s="114">
        <f>(P341-AH341)+AK341</f>
        <v/>
      </c>
      <c r="AO341" s="114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11" t="n"/>
      <c r="D342" s="112" t="n"/>
      <c r="E342" s="112" t="n"/>
      <c r="F342" s="111" t="n"/>
      <c r="G342" s="112" t="n"/>
      <c r="H342" s="112" t="n"/>
      <c r="I342" s="111" t="n"/>
      <c r="J342" s="112" t="n"/>
      <c r="K342" s="112" t="n"/>
      <c r="L342" s="111" t="n"/>
      <c r="M342" s="112" t="n"/>
      <c r="N342" s="112" t="n"/>
      <c r="O342" s="111">
        <f>L342+I342+F342+C342</f>
        <v/>
      </c>
      <c r="P342" s="112">
        <f>M342+J342+G342+D342</f>
        <v/>
      </c>
      <c r="Q342" s="112">
        <f>N342+K342+H342+E342</f>
        <v/>
      </c>
      <c r="R342" s="111">
        <f>SUMIFS('PO Log'!$E:$E,'PO Log'!$D:$D,'Category Table'!R$2,'PO Log'!$C:$C,'Category Table'!$A342)</f>
        <v/>
      </c>
      <c r="S342" s="112">
        <f>SUMIFS('PO Log'!$E:$E,'PO Log'!$D:$D,'Category Table'!S$2,'PO Log'!$C:$C,'Category Table'!$A342)</f>
        <v/>
      </c>
      <c r="T342" s="112">
        <f>SUMIFS('PO Log'!$E:$E,'PO Log'!$D:$D,'Category Table'!T$2,'PO Log'!$C:$C,'Category Table'!$A342)</f>
        <v/>
      </c>
      <c r="U342" s="111">
        <f>SUMIFS('Committments Dump'!$Q:$Q,'Committments Dump'!$C:$C,'Category Table'!U$2,'Committments Dump'!$B:$B,'Category Table'!$A342)</f>
        <v/>
      </c>
      <c r="V342" s="112">
        <f>SUMIFS('Committments Dump'!$Q:$Q,'Committments Dump'!$C:$C,'Category Table'!V$2,'Committments Dump'!$B:$B,'Category Table'!$A342)</f>
        <v/>
      </c>
      <c r="W342" s="112">
        <f>SUMIFS('Committments Dump'!$Q:$Q,'Committments Dump'!$C:$C,'Category Table'!W$2,'Committments Dump'!$B:$B,'Category Table'!$A342)</f>
        <v/>
      </c>
      <c r="X342" s="111">
        <f>SUMIFS('Committments Dump'!$R:$R,'Committments Dump'!$C:$C,'Category Table'!X$2,'Committments Dump'!$B:$B,'Category Table'!$A342)</f>
        <v/>
      </c>
      <c r="Y342" s="112">
        <f>SUMIFS('Committments Dump'!$R:$R,'Committments Dump'!$C:$C,'Category Table'!Y$2,'Committments Dump'!$B:$B,'Category Table'!$A342)</f>
        <v/>
      </c>
      <c r="Z342" s="112">
        <f>SUMIFS('Committments Dump'!$R:$R,'Committments Dump'!$C:$C,'Category Table'!Z$2,'Committments Dump'!$B:$B,'Category Table'!$A342)</f>
        <v/>
      </c>
      <c r="AA342" s="111">
        <f>SUMIFS('Committments Dump'!$S:$S,'Committments Dump'!$C:$C,'Category Table'!AA$2,'Committments Dump'!$B:$B,'Category Table'!$A342)</f>
        <v/>
      </c>
      <c r="AB342" s="112">
        <f>SUMIFS('Committments Dump'!$S:$S,'Committments Dump'!$C:$C,'Category Table'!AB$2,'Committments Dump'!$B:$B,'Category Table'!$A342)</f>
        <v/>
      </c>
      <c r="AC342" s="112">
        <f>SUMIFS('Committments Dump'!$S:$S,'Committments Dump'!$C:$C,'Category Table'!AC$2,'Committments Dump'!$B:$B,'Category Table'!$A342)</f>
        <v/>
      </c>
      <c r="AD342" s="111">
        <f>U342+X342+AA342</f>
        <v/>
      </c>
      <c r="AE342" s="112">
        <f>V342+Y342+AB342</f>
        <v/>
      </c>
      <c r="AF342" s="112">
        <f>W342+Z342+AC342</f>
        <v/>
      </c>
      <c r="AG342" s="111">
        <f>R342+AD342</f>
        <v/>
      </c>
      <c r="AH342" s="112">
        <f>S342+AE342</f>
        <v/>
      </c>
      <c r="AI342" s="112">
        <f>T342+AF342</f>
        <v/>
      </c>
      <c r="AJ342" s="111" t="n"/>
      <c r="AK342" s="112" t="n"/>
      <c r="AL342" s="112" t="n"/>
      <c r="AM342" s="111">
        <f>(O342-AG342)+AJ342</f>
        <v/>
      </c>
      <c r="AN342" s="112">
        <f>(P342-AH342)+AK342</f>
        <v/>
      </c>
      <c r="AO342" s="112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13" t="n"/>
      <c r="D343" s="114" t="n"/>
      <c r="E343" s="114" t="n"/>
      <c r="F343" s="113" t="n"/>
      <c r="G343" s="114" t="n"/>
      <c r="H343" s="114" t="n"/>
      <c r="I343" s="113" t="n"/>
      <c r="J343" s="114" t="n"/>
      <c r="K343" s="114" t="n"/>
      <c r="L343" s="113" t="n"/>
      <c r="M343" s="114" t="n"/>
      <c r="N343" s="114" t="n"/>
      <c r="O343" s="113">
        <f>L343+I343+F343+C343</f>
        <v/>
      </c>
      <c r="P343" s="114">
        <f>M343+J343+G343+D343</f>
        <v/>
      </c>
      <c r="Q343" s="114">
        <f>N343+K343+H343+E343</f>
        <v/>
      </c>
      <c r="R343" s="113">
        <f>SUMIFS('PO Log'!$E:$E,'PO Log'!$D:$D,'Category Table'!R$2,'PO Log'!$C:$C,'Category Table'!$A343)</f>
        <v/>
      </c>
      <c r="S343" s="114">
        <f>SUMIFS('PO Log'!$E:$E,'PO Log'!$D:$D,'Category Table'!S$2,'PO Log'!$C:$C,'Category Table'!$A343)</f>
        <v/>
      </c>
      <c r="T343" s="114">
        <f>SUMIFS('PO Log'!$E:$E,'PO Log'!$D:$D,'Category Table'!T$2,'PO Log'!$C:$C,'Category Table'!$A343)</f>
        <v/>
      </c>
      <c r="U343" s="113">
        <f>SUMIFS('Committments Dump'!$Q:$Q,'Committments Dump'!$C:$C,'Category Table'!U$2,'Committments Dump'!$B:$B,'Category Table'!$A343)</f>
        <v/>
      </c>
      <c r="V343" s="114">
        <f>SUMIFS('Committments Dump'!$Q:$Q,'Committments Dump'!$C:$C,'Category Table'!V$2,'Committments Dump'!$B:$B,'Category Table'!$A343)</f>
        <v/>
      </c>
      <c r="W343" s="114">
        <f>SUMIFS('Committments Dump'!$Q:$Q,'Committments Dump'!$C:$C,'Category Table'!W$2,'Committments Dump'!$B:$B,'Category Table'!$A343)</f>
        <v/>
      </c>
      <c r="X343" s="113">
        <f>SUMIFS('Committments Dump'!$R:$R,'Committments Dump'!$C:$C,'Category Table'!X$2,'Committments Dump'!$B:$B,'Category Table'!$A343)</f>
        <v/>
      </c>
      <c r="Y343" s="114">
        <f>SUMIFS('Committments Dump'!$R:$R,'Committments Dump'!$C:$C,'Category Table'!Y$2,'Committments Dump'!$B:$B,'Category Table'!$A343)</f>
        <v/>
      </c>
      <c r="Z343" s="114">
        <f>SUMIFS('Committments Dump'!$R:$R,'Committments Dump'!$C:$C,'Category Table'!Z$2,'Committments Dump'!$B:$B,'Category Table'!$A343)</f>
        <v/>
      </c>
      <c r="AA343" s="113">
        <f>SUMIFS('Committments Dump'!$S:$S,'Committments Dump'!$C:$C,'Category Table'!AA$2,'Committments Dump'!$B:$B,'Category Table'!$A343)</f>
        <v/>
      </c>
      <c r="AB343" s="114">
        <f>SUMIFS('Committments Dump'!$S:$S,'Committments Dump'!$C:$C,'Category Table'!AB$2,'Committments Dump'!$B:$B,'Category Table'!$A343)</f>
        <v/>
      </c>
      <c r="AC343" s="114">
        <f>SUMIFS('Committments Dump'!$S:$S,'Committments Dump'!$C:$C,'Category Table'!AC$2,'Committments Dump'!$B:$B,'Category Table'!$A343)</f>
        <v/>
      </c>
      <c r="AD343" s="113">
        <f>U343+X343+AA343</f>
        <v/>
      </c>
      <c r="AE343" s="114">
        <f>V343+Y343+AB343</f>
        <v/>
      </c>
      <c r="AF343" s="114">
        <f>W343+Z343+AC343</f>
        <v/>
      </c>
      <c r="AG343" s="113">
        <f>R343+AD343</f>
        <v/>
      </c>
      <c r="AH343" s="114">
        <f>S343+AE343</f>
        <v/>
      </c>
      <c r="AI343" s="114">
        <f>T343+AF343</f>
        <v/>
      </c>
      <c r="AJ343" s="113" t="n"/>
      <c r="AK343" s="114" t="n"/>
      <c r="AL343" s="114" t="n"/>
      <c r="AM343" s="113">
        <f>(O343-AG343)+AJ343</f>
        <v/>
      </c>
      <c r="AN343" s="114">
        <f>(P343-AH343)+AK343</f>
        <v/>
      </c>
      <c r="AO343" s="114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11" t="n"/>
      <c r="D344" s="112" t="n"/>
      <c r="E344" s="112" t="n"/>
      <c r="F344" s="111" t="n"/>
      <c r="G344" s="112" t="n"/>
      <c r="H344" s="112" t="n"/>
      <c r="I344" s="111" t="n"/>
      <c r="J344" s="112" t="n"/>
      <c r="K344" s="112" t="n"/>
      <c r="L344" s="111" t="n"/>
      <c r="M344" s="112" t="n"/>
      <c r="N344" s="112" t="n"/>
      <c r="O344" s="111">
        <f>L344+I344+F344+C344</f>
        <v/>
      </c>
      <c r="P344" s="112">
        <f>M344+J344+G344+D344</f>
        <v/>
      </c>
      <c r="Q344" s="112">
        <f>N344+K344+H344+E344</f>
        <v/>
      </c>
      <c r="R344" s="111">
        <f>SUMIFS('PO Log'!$E:$E,'PO Log'!$D:$D,'Category Table'!R$2,'PO Log'!$C:$C,'Category Table'!$A344)</f>
        <v/>
      </c>
      <c r="S344" s="112">
        <f>SUMIFS('PO Log'!$E:$E,'PO Log'!$D:$D,'Category Table'!S$2,'PO Log'!$C:$C,'Category Table'!$A344)</f>
        <v/>
      </c>
      <c r="T344" s="112">
        <f>SUMIFS('PO Log'!$E:$E,'PO Log'!$D:$D,'Category Table'!T$2,'PO Log'!$C:$C,'Category Table'!$A344)</f>
        <v/>
      </c>
      <c r="U344" s="111">
        <f>SUMIFS('Committments Dump'!$Q:$Q,'Committments Dump'!$C:$C,'Category Table'!U$2,'Committments Dump'!$B:$B,'Category Table'!$A344)</f>
        <v/>
      </c>
      <c r="V344" s="112">
        <f>SUMIFS('Committments Dump'!$Q:$Q,'Committments Dump'!$C:$C,'Category Table'!V$2,'Committments Dump'!$B:$B,'Category Table'!$A344)</f>
        <v/>
      </c>
      <c r="W344" s="112">
        <f>SUMIFS('Committments Dump'!$Q:$Q,'Committments Dump'!$C:$C,'Category Table'!W$2,'Committments Dump'!$B:$B,'Category Table'!$A344)</f>
        <v/>
      </c>
      <c r="X344" s="111">
        <f>SUMIFS('Committments Dump'!$R:$R,'Committments Dump'!$C:$C,'Category Table'!X$2,'Committments Dump'!$B:$B,'Category Table'!$A344)</f>
        <v/>
      </c>
      <c r="Y344" s="112">
        <f>SUMIFS('Committments Dump'!$R:$R,'Committments Dump'!$C:$C,'Category Table'!Y$2,'Committments Dump'!$B:$B,'Category Table'!$A344)</f>
        <v/>
      </c>
      <c r="Z344" s="112">
        <f>SUMIFS('Committments Dump'!$R:$R,'Committments Dump'!$C:$C,'Category Table'!Z$2,'Committments Dump'!$B:$B,'Category Table'!$A344)</f>
        <v/>
      </c>
      <c r="AA344" s="111">
        <f>SUMIFS('Committments Dump'!$S:$S,'Committments Dump'!$C:$C,'Category Table'!AA$2,'Committments Dump'!$B:$B,'Category Table'!$A344)</f>
        <v/>
      </c>
      <c r="AB344" s="112">
        <f>SUMIFS('Committments Dump'!$S:$S,'Committments Dump'!$C:$C,'Category Table'!AB$2,'Committments Dump'!$B:$B,'Category Table'!$A344)</f>
        <v/>
      </c>
      <c r="AC344" s="112">
        <f>SUMIFS('Committments Dump'!$S:$S,'Committments Dump'!$C:$C,'Category Table'!AC$2,'Committments Dump'!$B:$B,'Category Table'!$A344)</f>
        <v/>
      </c>
      <c r="AD344" s="111">
        <f>U344+X344+AA344</f>
        <v/>
      </c>
      <c r="AE344" s="112">
        <f>V344+Y344+AB344</f>
        <v/>
      </c>
      <c r="AF344" s="112">
        <f>W344+Z344+AC344</f>
        <v/>
      </c>
      <c r="AG344" s="111">
        <f>R344+AD344</f>
        <v/>
      </c>
      <c r="AH344" s="112">
        <f>S344+AE344</f>
        <v/>
      </c>
      <c r="AI344" s="112">
        <f>T344+AF344</f>
        <v/>
      </c>
      <c r="AJ344" s="111" t="n"/>
      <c r="AK344" s="112" t="n"/>
      <c r="AL344" s="112" t="n"/>
      <c r="AM344" s="111">
        <f>(O344-AG344)+AJ344</f>
        <v/>
      </c>
      <c r="AN344" s="112">
        <f>(P344-AH344)+AK344</f>
        <v/>
      </c>
      <c r="AO344" s="112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13" t="n"/>
      <c r="D345" s="114" t="n"/>
      <c r="E345" s="114" t="n"/>
      <c r="F345" s="113" t="n"/>
      <c r="G345" s="114" t="n"/>
      <c r="H345" s="114" t="n"/>
      <c r="I345" s="113" t="n"/>
      <c r="J345" s="114" t="n"/>
      <c r="K345" s="114" t="n"/>
      <c r="L345" s="113" t="n"/>
      <c r="M345" s="114" t="n"/>
      <c r="N345" s="114" t="n"/>
      <c r="O345" s="113">
        <f>L345+I345+F345+C345</f>
        <v/>
      </c>
      <c r="P345" s="114">
        <f>M345+J345+G345+D345</f>
        <v/>
      </c>
      <c r="Q345" s="114">
        <f>N345+K345+H345+E345</f>
        <v/>
      </c>
      <c r="R345" s="113">
        <f>SUMIFS('PO Log'!$E:$E,'PO Log'!$D:$D,'Category Table'!R$2,'PO Log'!$C:$C,'Category Table'!$A345)</f>
        <v/>
      </c>
      <c r="S345" s="114">
        <f>SUMIFS('PO Log'!$E:$E,'PO Log'!$D:$D,'Category Table'!S$2,'PO Log'!$C:$C,'Category Table'!$A345)</f>
        <v/>
      </c>
      <c r="T345" s="114">
        <f>SUMIFS('PO Log'!$E:$E,'PO Log'!$D:$D,'Category Table'!T$2,'PO Log'!$C:$C,'Category Table'!$A345)</f>
        <v/>
      </c>
      <c r="U345" s="113">
        <f>SUMIFS('Committments Dump'!$Q:$Q,'Committments Dump'!$C:$C,'Category Table'!U$2,'Committments Dump'!$B:$B,'Category Table'!$A345)</f>
        <v/>
      </c>
      <c r="V345" s="114">
        <f>SUMIFS('Committments Dump'!$Q:$Q,'Committments Dump'!$C:$C,'Category Table'!V$2,'Committments Dump'!$B:$B,'Category Table'!$A345)</f>
        <v/>
      </c>
      <c r="W345" s="114">
        <f>SUMIFS('Committments Dump'!$Q:$Q,'Committments Dump'!$C:$C,'Category Table'!W$2,'Committments Dump'!$B:$B,'Category Table'!$A345)</f>
        <v/>
      </c>
      <c r="X345" s="113">
        <f>SUMIFS('Committments Dump'!$R:$R,'Committments Dump'!$C:$C,'Category Table'!X$2,'Committments Dump'!$B:$B,'Category Table'!$A345)</f>
        <v/>
      </c>
      <c r="Y345" s="114">
        <f>SUMIFS('Committments Dump'!$R:$R,'Committments Dump'!$C:$C,'Category Table'!Y$2,'Committments Dump'!$B:$B,'Category Table'!$A345)</f>
        <v/>
      </c>
      <c r="Z345" s="114">
        <f>SUMIFS('Committments Dump'!$R:$R,'Committments Dump'!$C:$C,'Category Table'!Z$2,'Committments Dump'!$B:$B,'Category Table'!$A345)</f>
        <v/>
      </c>
      <c r="AA345" s="113">
        <f>SUMIFS('Committments Dump'!$S:$S,'Committments Dump'!$C:$C,'Category Table'!AA$2,'Committments Dump'!$B:$B,'Category Table'!$A345)</f>
        <v/>
      </c>
      <c r="AB345" s="114">
        <f>SUMIFS('Committments Dump'!$S:$S,'Committments Dump'!$C:$C,'Category Table'!AB$2,'Committments Dump'!$B:$B,'Category Table'!$A345)</f>
        <v/>
      </c>
      <c r="AC345" s="114">
        <f>SUMIFS('Committments Dump'!$S:$S,'Committments Dump'!$C:$C,'Category Table'!AC$2,'Committments Dump'!$B:$B,'Category Table'!$A345)</f>
        <v/>
      </c>
      <c r="AD345" s="113">
        <f>U345+X345+AA345</f>
        <v/>
      </c>
      <c r="AE345" s="114">
        <f>V345+Y345+AB345</f>
        <v/>
      </c>
      <c r="AF345" s="114">
        <f>W345+Z345+AC345</f>
        <v/>
      </c>
      <c r="AG345" s="113">
        <f>R345+AD345</f>
        <v/>
      </c>
      <c r="AH345" s="114">
        <f>S345+AE345</f>
        <v/>
      </c>
      <c r="AI345" s="114">
        <f>T345+AF345</f>
        <v/>
      </c>
      <c r="AJ345" s="113" t="n"/>
      <c r="AK345" s="114" t="n"/>
      <c r="AL345" s="114" t="n"/>
      <c r="AM345" s="113">
        <f>(O345-AG345)+AJ345</f>
        <v/>
      </c>
      <c r="AN345" s="114">
        <f>(P345-AH345)+AK345</f>
        <v/>
      </c>
      <c r="AO345" s="114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11" t="n"/>
      <c r="D346" s="112" t="n"/>
      <c r="E346" s="112" t="n"/>
      <c r="F346" s="111" t="n"/>
      <c r="G346" s="112" t="n"/>
      <c r="H346" s="112" t="n"/>
      <c r="I346" s="111" t="n"/>
      <c r="J346" s="112" t="n"/>
      <c r="K346" s="112" t="n"/>
      <c r="L346" s="111" t="n"/>
      <c r="M346" s="112" t="n"/>
      <c r="N346" s="112" t="n"/>
      <c r="O346" s="111">
        <f>L346+I346+F346+C346</f>
        <v/>
      </c>
      <c r="P346" s="112">
        <f>M346+J346+G346+D346</f>
        <v/>
      </c>
      <c r="Q346" s="112">
        <f>N346+K346+H346+E346</f>
        <v/>
      </c>
      <c r="R346" s="111">
        <f>SUMIFS('PO Log'!$E:$E,'PO Log'!$D:$D,'Category Table'!R$2,'PO Log'!$C:$C,'Category Table'!$A346)</f>
        <v/>
      </c>
      <c r="S346" s="112">
        <f>SUMIFS('PO Log'!$E:$E,'PO Log'!$D:$D,'Category Table'!S$2,'PO Log'!$C:$C,'Category Table'!$A346)</f>
        <v/>
      </c>
      <c r="T346" s="112">
        <f>SUMIFS('PO Log'!$E:$E,'PO Log'!$D:$D,'Category Table'!T$2,'PO Log'!$C:$C,'Category Table'!$A346)</f>
        <v/>
      </c>
      <c r="U346" s="111">
        <f>SUMIFS('Committments Dump'!$Q:$Q,'Committments Dump'!$C:$C,'Category Table'!U$2,'Committments Dump'!$B:$B,'Category Table'!$A346)</f>
        <v/>
      </c>
      <c r="V346" s="112">
        <f>SUMIFS('Committments Dump'!$Q:$Q,'Committments Dump'!$C:$C,'Category Table'!V$2,'Committments Dump'!$B:$B,'Category Table'!$A346)</f>
        <v/>
      </c>
      <c r="W346" s="112">
        <f>SUMIFS('Committments Dump'!$Q:$Q,'Committments Dump'!$C:$C,'Category Table'!W$2,'Committments Dump'!$B:$B,'Category Table'!$A346)</f>
        <v/>
      </c>
      <c r="X346" s="111">
        <f>SUMIFS('Committments Dump'!$R:$R,'Committments Dump'!$C:$C,'Category Table'!X$2,'Committments Dump'!$B:$B,'Category Table'!$A346)</f>
        <v/>
      </c>
      <c r="Y346" s="112">
        <f>SUMIFS('Committments Dump'!$R:$R,'Committments Dump'!$C:$C,'Category Table'!Y$2,'Committments Dump'!$B:$B,'Category Table'!$A346)</f>
        <v/>
      </c>
      <c r="Z346" s="112">
        <f>SUMIFS('Committments Dump'!$R:$R,'Committments Dump'!$C:$C,'Category Table'!Z$2,'Committments Dump'!$B:$B,'Category Table'!$A346)</f>
        <v/>
      </c>
      <c r="AA346" s="111">
        <f>SUMIFS('Committments Dump'!$S:$S,'Committments Dump'!$C:$C,'Category Table'!AA$2,'Committments Dump'!$B:$B,'Category Table'!$A346)</f>
        <v/>
      </c>
      <c r="AB346" s="112">
        <f>SUMIFS('Committments Dump'!$S:$S,'Committments Dump'!$C:$C,'Category Table'!AB$2,'Committments Dump'!$B:$B,'Category Table'!$A346)</f>
        <v/>
      </c>
      <c r="AC346" s="112">
        <f>SUMIFS('Committments Dump'!$S:$S,'Committments Dump'!$C:$C,'Category Table'!AC$2,'Committments Dump'!$B:$B,'Category Table'!$A346)</f>
        <v/>
      </c>
      <c r="AD346" s="111">
        <f>U346+X346+AA346</f>
        <v/>
      </c>
      <c r="AE346" s="112">
        <f>V346+Y346+AB346</f>
        <v/>
      </c>
      <c r="AF346" s="112">
        <f>W346+Z346+AC346</f>
        <v/>
      </c>
      <c r="AG346" s="111">
        <f>R346+AD346</f>
        <v/>
      </c>
      <c r="AH346" s="112">
        <f>S346+AE346</f>
        <v/>
      </c>
      <c r="AI346" s="112">
        <f>T346+AF346</f>
        <v/>
      </c>
      <c r="AJ346" s="111" t="n"/>
      <c r="AK346" s="112" t="n"/>
      <c r="AL346" s="112" t="n"/>
      <c r="AM346" s="111">
        <f>(O346-AG346)+AJ346</f>
        <v/>
      </c>
      <c r="AN346" s="112">
        <f>(P346-AH346)+AK346</f>
        <v/>
      </c>
      <c r="AO346" s="112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13" t="n"/>
      <c r="D347" s="114" t="n"/>
      <c r="E347" s="114" t="n"/>
      <c r="F347" s="113" t="n"/>
      <c r="G347" s="114" t="n"/>
      <c r="H347" s="114" t="n"/>
      <c r="I347" s="113" t="n"/>
      <c r="J347" s="114" t="n"/>
      <c r="K347" s="114" t="n"/>
      <c r="L347" s="113" t="n"/>
      <c r="M347" s="114" t="n"/>
      <c r="N347" s="114" t="n"/>
      <c r="O347" s="113">
        <f>L347+I347+F347+C347</f>
        <v/>
      </c>
      <c r="P347" s="114">
        <f>M347+J347+G347+D347</f>
        <v/>
      </c>
      <c r="Q347" s="114">
        <f>N347+K347+H347+E347</f>
        <v/>
      </c>
      <c r="R347" s="113">
        <f>SUMIFS('PO Log'!$E:$E,'PO Log'!$D:$D,'Category Table'!R$2,'PO Log'!$C:$C,'Category Table'!$A347)</f>
        <v/>
      </c>
      <c r="S347" s="114">
        <f>SUMIFS('PO Log'!$E:$E,'PO Log'!$D:$D,'Category Table'!S$2,'PO Log'!$C:$C,'Category Table'!$A347)</f>
        <v/>
      </c>
      <c r="T347" s="114">
        <f>SUMIFS('PO Log'!$E:$E,'PO Log'!$D:$D,'Category Table'!T$2,'PO Log'!$C:$C,'Category Table'!$A347)</f>
        <v/>
      </c>
      <c r="U347" s="113">
        <f>SUMIFS('Committments Dump'!$Q:$Q,'Committments Dump'!$C:$C,'Category Table'!U$2,'Committments Dump'!$B:$B,'Category Table'!$A347)</f>
        <v/>
      </c>
      <c r="V347" s="114">
        <f>SUMIFS('Committments Dump'!$Q:$Q,'Committments Dump'!$C:$C,'Category Table'!V$2,'Committments Dump'!$B:$B,'Category Table'!$A347)</f>
        <v/>
      </c>
      <c r="W347" s="114">
        <f>SUMIFS('Committments Dump'!$Q:$Q,'Committments Dump'!$C:$C,'Category Table'!W$2,'Committments Dump'!$B:$B,'Category Table'!$A347)</f>
        <v/>
      </c>
      <c r="X347" s="113">
        <f>SUMIFS('Committments Dump'!$R:$R,'Committments Dump'!$C:$C,'Category Table'!X$2,'Committments Dump'!$B:$B,'Category Table'!$A347)</f>
        <v/>
      </c>
      <c r="Y347" s="114">
        <f>SUMIFS('Committments Dump'!$R:$R,'Committments Dump'!$C:$C,'Category Table'!Y$2,'Committments Dump'!$B:$B,'Category Table'!$A347)</f>
        <v/>
      </c>
      <c r="Z347" s="114">
        <f>SUMIFS('Committments Dump'!$R:$R,'Committments Dump'!$C:$C,'Category Table'!Z$2,'Committments Dump'!$B:$B,'Category Table'!$A347)</f>
        <v/>
      </c>
      <c r="AA347" s="113">
        <f>SUMIFS('Committments Dump'!$S:$S,'Committments Dump'!$C:$C,'Category Table'!AA$2,'Committments Dump'!$B:$B,'Category Table'!$A347)</f>
        <v/>
      </c>
      <c r="AB347" s="114">
        <f>SUMIFS('Committments Dump'!$S:$S,'Committments Dump'!$C:$C,'Category Table'!AB$2,'Committments Dump'!$B:$B,'Category Table'!$A347)</f>
        <v/>
      </c>
      <c r="AC347" s="114">
        <f>SUMIFS('Committments Dump'!$S:$S,'Committments Dump'!$C:$C,'Category Table'!AC$2,'Committments Dump'!$B:$B,'Category Table'!$A347)</f>
        <v/>
      </c>
      <c r="AD347" s="113">
        <f>U347+X347+AA347</f>
        <v/>
      </c>
      <c r="AE347" s="114">
        <f>V347+Y347+AB347</f>
        <v/>
      </c>
      <c r="AF347" s="114">
        <f>W347+Z347+AC347</f>
        <v/>
      </c>
      <c r="AG347" s="113">
        <f>R347+AD347</f>
        <v/>
      </c>
      <c r="AH347" s="114">
        <f>S347+AE347</f>
        <v/>
      </c>
      <c r="AI347" s="114">
        <f>T347+AF347</f>
        <v/>
      </c>
      <c r="AJ347" s="113" t="n"/>
      <c r="AK347" s="114" t="n"/>
      <c r="AL347" s="114" t="n"/>
      <c r="AM347" s="113">
        <f>(O347-AG347)+AJ347</f>
        <v/>
      </c>
      <c r="AN347" s="114">
        <f>(P347-AH347)+AK347</f>
        <v/>
      </c>
      <c r="AO347" s="114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11" t="n"/>
      <c r="D348" s="112" t="n"/>
      <c r="E348" s="112" t="n"/>
      <c r="F348" s="111" t="n"/>
      <c r="G348" s="112" t="n"/>
      <c r="H348" s="112" t="n"/>
      <c r="I348" s="111" t="n"/>
      <c r="J348" s="112" t="n"/>
      <c r="K348" s="112" t="n"/>
      <c r="L348" s="111" t="n"/>
      <c r="M348" s="112" t="n"/>
      <c r="N348" s="112" t="n"/>
      <c r="O348" s="111">
        <f>L348+I348+F348+C348</f>
        <v/>
      </c>
      <c r="P348" s="112">
        <f>M348+J348+G348+D348</f>
        <v/>
      </c>
      <c r="Q348" s="112">
        <f>N348+K348+H348+E348</f>
        <v/>
      </c>
      <c r="R348" s="111">
        <f>SUMIFS('PO Log'!$E:$E,'PO Log'!$D:$D,'Category Table'!R$2,'PO Log'!$C:$C,'Category Table'!$A348)</f>
        <v/>
      </c>
      <c r="S348" s="112">
        <f>SUMIFS('PO Log'!$E:$E,'PO Log'!$D:$D,'Category Table'!S$2,'PO Log'!$C:$C,'Category Table'!$A348)</f>
        <v/>
      </c>
      <c r="T348" s="112">
        <f>SUMIFS('PO Log'!$E:$E,'PO Log'!$D:$D,'Category Table'!T$2,'PO Log'!$C:$C,'Category Table'!$A348)</f>
        <v/>
      </c>
      <c r="U348" s="111">
        <f>SUMIFS('Committments Dump'!$Q:$Q,'Committments Dump'!$C:$C,'Category Table'!U$2,'Committments Dump'!$B:$B,'Category Table'!$A348)</f>
        <v/>
      </c>
      <c r="V348" s="112">
        <f>SUMIFS('Committments Dump'!$Q:$Q,'Committments Dump'!$C:$C,'Category Table'!V$2,'Committments Dump'!$B:$B,'Category Table'!$A348)</f>
        <v/>
      </c>
      <c r="W348" s="112">
        <f>SUMIFS('Committments Dump'!$Q:$Q,'Committments Dump'!$C:$C,'Category Table'!W$2,'Committments Dump'!$B:$B,'Category Table'!$A348)</f>
        <v/>
      </c>
      <c r="X348" s="111">
        <f>SUMIFS('Committments Dump'!$R:$R,'Committments Dump'!$C:$C,'Category Table'!X$2,'Committments Dump'!$B:$B,'Category Table'!$A348)</f>
        <v/>
      </c>
      <c r="Y348" s="112">
        <f>SUMIFS('Committments Dump'!$R:$R,'Committments Dump'!$C:$C,'Category Table'!Y$2,'Committments Dump'!$B:$B,'Category Table'!$A348)</f>
        <v/>
      </c>
      <c r="Z348" s="112">
        <f>SUMIFS('Committments Dump'!$R:$R,'Committments Dump'!$C:$C,'Category Table'!Z$2,'Committments Dump'!$B:$B,'Category Table'!$A348)</f>
        <v/>
      </c>
      <c r="AA348" s="111">
        <f>SUMIFS('Committments Dump'!$S:$S,'Committments Dump'!$C:$C,'Category Table'!AA$2,'Committments Dump'!$B:$B,'Category Table'!$A348)</f>
        <v/>
      </c>
      <c r="AB348" s="112">
        <f>SUMIFS('Committments Dump'!$S:$S,'Committments Dump'!$C:$C,'Category Table'!AB$2,'Committments Dump'!$B:$B,'Category Table'!$A348)</f>
        <v/>
      </c>
      <c r="AC348" s="112">
        <f>SUMIFS('Committments Dump'!$S:$S,'Committments Dump'!$C:$C,'Category Table'!AC$2,'Committments Dump'!$B:$B,'Category Table'!$A348)</f>
        <v/>
      </c>
      <c r="AD348" s="111">
        <f>U348+X348+AA348</f>
        <v/>
      </c>
      <c r="AE348" s="112">
        <f>V348+Y348+AB348</f>
        <v/>
      </c>
      <c r="AF348" s="112">
        <f>W348+Z348+AC348</f>
        <v/>
      </c>
      <c r="AG348" s="111">
        <f>R348+AD348</f>
        <v/>
      </c>
      <c r="AH348" s="112">
        <f>S348+AE348</f>
        <v/>
      </c>
      <c r="AI348" s="112">
        <f>T348+AF348</f>
        <v/>
      </c>
      <c r="AJ348" s="111" t="n"/>
      <c r="AK348" s="112" t="n"/>
      <c r="AL348" s="112" t="n"/>
      <c r="AM348" s="111">
        <f>(O348-AG348)+AJ348</f>
        <v/>
      </c>
      <c r="AN348" s="112">
        <f>(P348-AH348)+AK348</f>
        <v/>
      </c>
      <c r="AO348" s="112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13" t="n"/>
      <c r="D349" s="114" t="n"/>
      <c r="E349" s="114" t="n"/>
      <c r="F349" s="113" t="n"/>
      <c r="G349" s="114" t="n"/>
      <c r="H349" s="114" t="n"/>
      <c r="I349" s="113" t="n"/>
      <c r="J349" s="114" t="n"/>
      <c r="K349" s="114" t="n"/>
      <c r="L349" s="113" t="n"/>
      <c r="M349" s="114" t="n"/>
      <c r="N349" s="114" t="n"/>
      <c r="O349" s="113">
        <f>L349+I349+F349+C349</f>
        <v/>
      </c>
      <c r="P349" s="114">
        <f>M349+J349+G349+D349</f>
        <v/>
      </c>
      <c r="Q349" s="114">
        <f>N349+K349+H349+E349</f>
        <v/>
      </c>
      <c r="R349" s="113">
        <f>SUMIFS('PO Log'!$E:$E,'PO Log'!$D:$D,'Category Table'!R$2,'PO Log'!$C:$C,'Category Table'!$A349)</f>
        <v/>
      </c>
      <c r="S349" s="114">
        <f>SUMIFS('PO Log'!$E:$E,'PO Log'!$D:$D,'Category Table'!S$2,'PO Log'!$C:$C,'Category Table'!$A349)</f>
        <v/>
      </c>
      <c r="T349" s="114">
        <f>SUMIFS('PO Log'!$E:$E,'PO Log'!$D:$D,'Category Table'!T$2,'PO Log'!$C:$C,'Category Table'!$A349)</f>
        <v/>
      </c>
      <c r="U349" s="113">
        <f>SUMIFS('Committments Dump'!$Q:$Q,'Committments Dump'!$C:$C,'Category Table'!U$2,'Committments Dump'!$B:$B,'Category Table'!$A349)</f>
        <v/>
      </c>
      <c r="V349" s="114">
        <f>SUMIFS('Committments Dump'!$Q:$Q,'Committments Dump'!$C:$C,'Category Table'!V$2,'Committments Dump'!$B:$B,'Category Table'!$A349)</f>
        <v/>
      </c>
      <c r="W349" s="114">
        <f>SUMIFS('Committments Dump'!$Q:$Q,'Committments Dump'!$C:$C,'Category Table'!W$2,'Committments Dump'!$B:$B,'Category Table'!$A349)</f>
        <v/>
      </c>
      <c r="X349" s="113">
        <f>SUMIFS('Committments Dump'!$R:$R,'Committments Dump'!$C:$C,'Category Table'!X$2,'Committments Dump'!$B:$B,'Category Table'!$A349)</f>
        <v/>
      </c>
      <c r="Y349" s="114">
        <f>SUMIFS('Committments Dump'!$R:$R,'Committments Dump'!$C:$C,'Category Table'!Y$2,'Committments Dump'!$B:$B,'Category Table'!$A349)</f>
        <v/>
      </c>
      <c r="Z349" s="114">
        <f>SUMIFS('Committments Dump'!$R:$R,'Committments Dump'!$C:$C,'Category Table'!Z$2,'Committments Dump'!$B:$B,'Category Table'!$A349)</f>
        <v/>
      </c>
      <c r="AA349" s="113">
        <f>SUMIFS('Committments Dump'!$S:$S,'Committments Dump'!$C:$C,'Category Table'!AA$2,'Committments Dump'!$B:$B,'Category Table'!$A349)</f>
        <v/>
      </c>
      <c r="AB349" s="114">
        <f>SUMIFS('Committments Dump'!$S:$S,'Committments Dump'!$C:$C,'Category Table'!AB$2,'Committments Dump'!$B:$B,'Category Table'!$A349)</f>
        <v/>
      </c>
      <c r="AC349" s="114">
        <f>SUMIFS('Committments Dump'!$S:$S,'Committments Dump'!$C:$C,'Category Table'!AC$2,'Committments Dump'!$B:$B,'Category Table'!$A349)</f>
        <v/>
      </c>
      <c r="AD349" s="113">
        <f>U349+X349+AA349</f>
        <v/>
      </c>
      <c r="AE349" s="114">
        <f>V349+Y349+AB349</f>
        <v/>
      </c>
      <c r="AF349" s="114">
        <f>W349+Z349+AC349</f>
        <v/>
      </c>
      <c r="AG349" s="113">
        <f>R349+AD349</f>
        <v/>
      </c>
      <c r="AH349" s="114">
        <f>S349+AE349</f>
        <v/>
      </c>
      <c r="AI349" s="114">
        <f>T349+AF349</f>
        <v/>
      </c>
      <c r="AJ349" s="113" t="n"/>
      <c r="AK349" s="114" t="n"/>
      <c r="AL349" s="114" t="n"/>
      <c r="AM349" s="113">
        <f>(O349-AG349)+AJ349</f>
        <v/>
      </c>
      <c r="AN349" s="114">
        <f>(P349-AH349)+AK349</f>
        <v/>
      </c>
      <c r="AO349" s="114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11" t="n"/>
      <c r="D350" s="112" t="n"/>
      <c r="E350" s="112" t="n"/>
      <c r="F350" s="111" t="n"/>
      <c r="G350" s="112" t="n"/>
      <c r="H350" s="112" t="n"/>
      <c r="I350" s="111" t="n"/>
      <c r="J350" s="112" t="n"/>
      <c r="K350" s="112" t="n"/>
      <c r="L350" s="111" t="n"/>
      <c r="M350" s="112" t="n"/>
      <c r="N350" s="112" t="n"/>
      <c r="O350" s="111">
        <f>L350+I350+F350+C350</f>
        <v/>
      </c>
      <c r="P350" s="112">
        <f>M350+J350+G350+D350</f>
        <v/>
      </c>
      <c r="Q350" s="112">
        <f>N350+K350+H350+E350</f>
        <v/>
      </c>
      <c r="R350" s="111">
        <f>SUMIFS('PO Log'!$E:$E,'PO Log'!$D:$D,'Category Table'!R$2,'PO Log'!$C:$C,'Category Table'!$A350)</f>
        <v/>
      </c>
      <c r="S350" s="112">
        <f>SUMIFS('PO Log'!$E:$E,'PO Log'!$D:$D,'Category Table'!S$2,'PO Log'!$C:$C,'Category Table'!$A350)</f>
        <v/>
      </c>
      <c r="T350" s="112">
        <f>SUMIFS('PO Log'!$E:$E,'PO Log'!$D:$D,'Category Table'!T$2,'PO Log'!$C:$C,'Category Table'!$A350)</f>
        <v/>
      </c>
      <c r="U350" s="111">
        <f>SUMIFS('Committments Dump'!$Q:$Q,'Committments Dump'!$C:$C,'Category Table'!U$2,'Committments Dump'!$B:$B,'Category Table'!$A350)</f>
        <v/>
      </c>
      <c r="V350" s="112">
        <f>SUMIFS('Committments Dump'!$Q:$Q,'Committments Dump'!$C:$C,'Category Table'!V$2,'Committments Dump'!$B:$B,'Category Table'!$A350)</f>
        <v/>
      </c>
      <c r="W350" s="112">
        <f>SUMIFS('Committments Dump'!$Q:$Q,'Committments Dump'!$C:$C,'Category Table'!W$2,'Committments Dump'!$B:$B,'Category Table'!$A350)</f>
        <v/>
      </c>
      <c r="X350" s="111">
        <f>SUMIFS('Committments Dump'!$R:$R,'Committments Dump'!$C:$C,'Category Table'!X$2,'Committments Dump'!$B:$B,'Category Table'!$A350)</f>
        <v/>
      </c>
      <c r="Y350" s="112">
        <f>SUMIFS('Committments Dump'!$R:$R,'Committments Dump'!$C:$C,'Category Table'!Y$2,'Committments Dump'!$B:$B,'Category Table'!$A350)</f>
        <v/>
      </c>
      <c r="Z350" s="112">
        <f>SUMIFS('Committments Dump'!$R:$R,'Committments Dump'!$C:$C,'Category Table'!Z$2,'Committments Dump'!$B:$B,'Category Table'!$A350)</f>
        <v/>
      </c>
      <c r="AA350" s="111">
        <f>SUMIFS('Committments Dump'!$S:$S,'Committments Dump'!$C:$C,'Category Table'!AA$2,'Committments Dump'!$B:$B,'Category Table'!$A350)</f>
        <v/>
      </c>
      <c r="AB350" s="112">
        <f>SUMIFS('Committments Dump'!$S:$S,'Committments Dump'!$C:$C,'Category Table'!AB$2,'Committments Dump'!$B:$B,'Category Table'!$A350)</f>
        <v/>
      </c>
      <c r="AC350" s="112">
        <f>SUMIFS('Committments Dump'!$S:$S,'Committments Dump'!$C:$C,'Category Table'!AC$2,'Committments Dump'!$B:$B,'Category Table'!$A350)</f>
        <v/>
      </c>
      <c r="AD350" s="111">
        <f>U350+X350+AA350</f>
        <v/>
      </c>
      <c r="AE350" s="112">
        <f>V350+Y350+AB350</f>
        <v/>
      </c>
      <c r="AF350" s="112">
        <f>W350+Z350+AC350</f>
        <v/>
      </c>
      <c r="AG350" s="111">
        <f>R350+AD350</f>
        <v/>
      </c>
      <c r="AH350" s="112">
        <f>S350+AE350</f>
        <v/>
      </c>
      <c r="AI350" s="112">
        <f>T350+AF350</f>
        <v/>
      </c>
      <c r="AJ350" s="111" t="n"/>
      <c r="AK350" s="112" t="n"/>
      <c r="AL350" s="112" t="n"/>
      <c r="AM350" s="111">
        <f>(O350-AG350)+AJ350</f>
        <v/>
      </c>
      <c r="AN350" s="112">
        <f>(P350-AH350)+AK350</f>
        <v/>
      </c>
      <c r="AO350" s="112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13" t="n"/>
      <c r="D351" s="114" t="n"/>
      <c r="E351" s="114" t="n"/>
      <c r="F351" s="113" t="n"/>
      <c r="G351" s="114" t="n"/>
      <c r="H351" s="114" t="n"/>
      <c r="I351" s="113" t="n"/>
      <c r="J351" s="114" t="n"/>
      <c r="K351" s="114" t="n"/>
      <c r="L351" s="113" t="n"/>
      <c r="M351" s="114" t="n"/>
      <c r="N351" s="114" t="n"/>
      <c r="O351" s="113">
        <f>L351+I351+F351+C351</f>
        <v/>
      </c>
      <c r="P351" s="114">
        <f>M351+J351+G351+D351</f>
        <v/>
      </c>
      <c r="Q351" s="114">
        <f>N351+K351+H351+E351</f>
        <v/>
      </c>
      <c r="R351" s="113">
        <f>SUMIFS('PO Log'!$E:$E,'PO Log'!$D:$D,'Category Table'!R$2,'PO Log'!$C:$C,'Category Table'!$A351)</f>
        <v/>
      </c>
      <c r="S351" s="114">
        <f>SUMIFS('PO Log'!$E:$E,'PO Log'!$D:$D,'Category Table'!S$2,'PO Log'!$C:$C,'Category Table'!$A351)</f>
        <v/>
      </c>
      <c r="T351" s="114">
        <f>SUMIFS('PO Log'!$E:$E,'PO Log'!$D:$D,'Category Table'!T$2,'PO Log'!$C:$C,'Category Table'!$A351)</f>
        <v/>
      </c>
      <c r="U351" s="113">
        <f>SUMIFS('Committments Dump'!$Q:$Q,'Committments Dump'!$C:$C,'Category Table'!U$2,'Committments Dump'!$B:$B,'Category Table'!$A351)</f>
        <v/>
      </c>
      <c r="V351" s="114">
        <f>SUMIFS('Committments Dump'!$Q:$Q,'Committments Dump'!$C:$C,'Category Table'!V$2,'Committments Dump'!$B:$B,'Category Table'!$A351)</f>
        <v/>
      </c>
      <c r="W351" s="114">
        <f>SUMIFS('Committments Dump'!$Q:$Q,'Committments Dump'!$C:$C,'Category Table'!W$2,'Committments Dump'!$B:$B,'Category Table'!$A351)</f>
        <v/>
      </c>
      <c r="X351" s="113">
        <f>SUMIFS('Committments Dump'!$R:$R,'Committments Dump'!$C:$C,'Category Table'!X$2,'Committments Dump'!$B:$B,'Category Table'!$A351)</f>
        <v/>
      </c>
      <c r="Y351" s="114">
        <f>SUMIFS('Committments Dump'!$R:$R,'Committments Dump'!$C:$C,'Category Table'!Y$2,'Committments Dump'!$B:$B,'Category Table'!$A351)</f>
        <v/>
      </c>
      <c r="Z351" s="114">
        <f>SUMIFS('Committments Dump'!$R:$R,'Committments Dump'!$C:$C,'Category Table'!Z$2,'Committments Dump'!$B:$B,'Category Table'!$A351)</f>
        <v/>
      </c>
      <c r="AA351" s="113">
        <f>SUMIFS('Committments Dump'!$S:$S,'Committments Dump'!$C:$C,'Category Table'!AA$2,'Committments Dump'!$B:$B,'Category Table'!$A351)</f>
        <v/>
      </c>
      <c r="AB351" s="114">
        <f>SUMIFS('Committments Dump'!$S:$S,'Committments Dump'!$C:$C,'Category Table'!AB$2,'Committments Dump'!$B:$B,'Category Table'!$A351)</f>
        <v/>
      </c>
      <c r="AC351" s="114">
        <f>SUMIFS('Committments Dump'!$S:$S,'Committments Dump'!$C:$C,'Category Table'!AC$2,'Committments Dump'!$B:$B,'Category Table'!$A351)</f>
        <v/>
      </c>
      <c r="AD351" s="113">
        <f>U351+X351+AA351</f>
        <v/>
      </c>
      <c r="AE351" s="114">
        <f>V351+Y351+AB351</f>
        <v/>
      </c>
      <c r="AF351" s="114">
        <f>W351+Z351+AC351</f>
        <v/>
      </c>
      <c r="AG351" s="113">
        <f>R351+AD351</f>
        <v/>
      </c>
      <c r="AH351" s="114">
        <f>S351+AE351</f>
        <v/>
      </c>
      <c r="AI351" s="114">
        <f>T351+AF351</f>
        <v/>
      </c>
      <c r="AJ351" s="113" t="n"/>
      <c r="AK351" s="114" t="n"/>
      <c r="AL351" s="114" t="n"/>
      <c r="AM351" s="113">
        <f>(O351-AG351)+AJ351</f>
        <v/>
      </c>
      <c r="AN351" s="114">
        <f>(P351-AH351)+AK351</f>
        <v/>
      </c>
      <c r="AO351" s="114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11" t="n"/>
      <c r="D352" s="112" t="n"/>
      <c r="E352" s="112" t="n"/>
      <c r="F352" s="111" t="n"/>
      <c r="G352" s="112" t="n"/>
      <c r="H352" s="112" t="n"/>
      <c r="I352" s="111" t="n"/>
      <c r="J352" s="112" t="n"/>
      <c r="K352" s="112" t="n"/>
      <c r="L352" s="111" t="n"/>
      <c r="M352" s="112" t="n"/>
      <c r="N352" s="112" t="n"/>
      <c r="O352" s="111">
        <f>L352+I352+F352+C352</f>
        <v/>
      </c>
      <c r="P352" s="112">
        <f>M352+J352+G352+D352</f>
        <v/>
      </c>
      <c r="Q352" s="112">
        <f>N352+K352+H352+E352</f>
        <v/>
      </c>
      <c r="R352" s="111">
        <f>SUMIFS('PO Log'!$E:$E,'PO Log'!$D:$D,'Category Table'!R$2,'PO Log'!$C:$C,'Category Table'!$A352)</f>
        <v/>
      </c>
      <c r="S352" s="112">
        <f>SUMIFS('PO Log'!$E:$E,'PO Log'!$D:$D,'Category Table'!S$2,'PO Log'!$C:$C,'Category Table'!$A352)</f>
        <v/>
      </c>
      <c r="T352" s="112">
        <f>SUMIFS('PO Log'!$E:$E,'PO Log'!$D:$D,'Category Table'!T$2,'PO Log'!$C:$C,'Category Table'!$A352)</f>
        <v/>
      </c>
      <c r="U352" s="111">
        <f>SUMIFS('Committments Dump'!$Q:$Q,'Committments Dump'!$C:$C,'Category Table'!U$2,'Committments Dump'!$B:$B,'Category Table'!$A352)</f>
        <v/>
      </c>
      <c r="V352" s="112">
        <f>SUMIFS('Committments Dump'!$Q:$Q,'Committments Dump'!$C:$C,'Category Table'!V$2,'Committments Dump'!$B:$B,'Category Table'!$A352)</f>
        <v/>
      </c>
      <c r="W352" s="112">
        <f>SUMIFS('Committments Dump'!$Q:$Q,'Committments Dump'!$C:$C,'Category Table'!W$2,'Committments Dump'!$B:$B,'Category Table'!$A352)</f>
        <v/>
      </c>
      <c r="X352" s="111">
        <f>SUMIFS('Committments Dump'!$R:$R,'Committments Dump'!$C:$C,'Category Table'!X$2,'Committments Dump'!$B:$B,'Category Table'!$A352)</f>
        <v/>
      </c>
      <c r="Y352" s="112">
        <f>SUMIFS('Committments Dump'!$R:$R,'Committments Dump'!$C:$C,'Category Table'!Y$2,'Committments Dump'!$B:$B,'Category Table'!$A352)</f>
        <v/>
      </c>
      <c r="Z352" s="112">
        <f>SUMIFS('Committments Dump'!$R:$R,'Committments Dump'!$C:$C,'Category Table'!Z$2,'Committments Dump'!$B:$B,'Category Table'!$A352)</f>
        <v/>
      </c>
      <c r="AA352" s="111">
        <f>SUMIFS('Committments Dump'!$S:$S,'Committments Dump'!$C:$C,'Category Table'!AA$2,'Committments Dump'!$B:$B,'Category Table'!$A352)</f>
        <v/>
      </c>
      <c r="AB352" s="112">
        <f>SUMIFS('Committments Dump'!$S:$S,'Committments Dump'!$C:$C,'Category Table'!AB$2,'Committments Dump'!$B:$B,'Category Table'!$A352)</f>
        <v/>
      </c>
      <c r="AC352" s="112">
        <f>SUMIFS('Committments Dump'!$S:$S,'Committments Dump'!$C:$C,'Category Table'!AC$2,'Committments Dump'!$B:$B,'Category Table'!$A352)</f>
        <v/>
      </c>
      <c r="AD352" s="111">
        <f>U352+X352+AA352</f>
        <v/>
      </c>
      <c r="AE352" s="112">
        <f>V352+Y352+AB352</f>
        <v/>
      </c>
      <c r="AF352" s="112">
        <f>W352+Z352+AC352</f>
        <v/>
      </c>
      <c r="AG352" s="111">
        <f>R352+AD352</f>
        <v/>
      </c>
      <c r="AH352" s="112">
        <f>S352+AE352</f>
        <v/>
      </c>
      <c r="AI352" s="112">
        <f>T352+AF352</f>
        <v/>
      </c>
      <c r="AJ352" s="111" t="n"/>
      <c r="AK352" s="112" t="n"/>
      <c r="AL352" s="112" t="n"/>
      <c r="AM352" s="111">
        <f>(O352-AG352)+AJ352</f>
        <v/>
      </c>
      <c r="AN352" s="112">
        <f>(P352-AH352)+AK352</f>
        <v/>
      </c>
      <c r="AO352" s="112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13" t="n"/>
      <c r="D353" s="114" t="n"/>
      <c r="E353" s="114" t="n"/>
      <c r="F353" s="113" t="n"/>
      <c r="G353" s="114" t="n"/>
      <c r="H353" s="114" t="n"/>
      <c r="I353" s="113" t="n"/>
      <c r="J353" s="114" t="n"/>
      <c r="K353" s="114" t="n"/>
      <c r="L353" s="113" t="n"/>
      <c r="M353" s="114" t="n"/>
      <c r="N353" s="114" t="n"/>
      <c r="O353" s="113">
        <f>L353+I353+F353+C353</f>
        <v/>
      </c>
      <c r="P353" s="114">
        <f>M353+J353+G353+D353</f>
        <v/>
      </c>
      <c r="Q353" s="114">
        <f>N353+K353+H353+E353</f>
        <v/>
      </c>
      <c r="R353" s="113">
        <f>SUMIFS('PO Log'!$E:$E,'PO Log'!$D:$D,'Category Table'!R$2,'PO Log'!$C:$C,'Category Table'!$A353)</f>
        <v/>
      </c>
      <c r="S353" s="114">
        <f>SUMIFS('PO Log'!$E:$E,'PO Log'!$D:$D,'Category Table'!S$2,'PO Log'!$C:$C,'Category Table'!$A353)</f>
        <v/>
      </c>
      <c r="T353" s="114">
        <f>SUMIFS('PO Log'!$E:$E,'PO Log'!$D:$D,'Category Table'!T$2,'PO Log'!$C:$C,'Category Table'!$A353)</f>
        <v/>
      </c>
      <c r="U353" s="113">
        <f>SUMIFS('Committments Dump'!$Q:$Q,'Committments Dump'!$C:$C,'Category Table'!U$2,'Committments Dump'!$B:$B,'Category Table'!$A353)</f>
        <v/>
      </c>
      <c r="V353" s="114">
        <f>SUMIFS('Committments Dump'!$Q:$Q,'Committments Dump'!$C:$C,'Category Table'!V$2,'Committments Dump'!$B:$B,'Category Table'!$A353)</f>
        <v/>
      </c>
      <c r="W353" s="114">
        <f>SUMIFS('Committments Dump'!$Q:$Q,'Committments Dump'!$C:$C,'Category Table'!W$2,'Committments Dump'!$B:$B,'Category Table'!$A353)</f>
        <v/>
      </c>
      <c r="X353" s="113">
        <f>SUMIFS('Committments Dump'!$R:$R,'Committments Dump'!$C:$C,'Category Table'!X$2,'Committments Dump'!$B:$B,'Category Table'!$A353)</f>
        <v/>
      </c>
      <c r="Y353" s="114">
        <f>SUMIFS('Committments Dump'!$R:$R,'Committments Dump'!$C:$C,'Category Table'!Y$2,'Committments Dump'!$B:$B,'Category Table'!$A353)</f>
        <v/>
      </c>
      <c r="Z353" s="114">
        <f>SUMIFS('Committments Dump'!$R:$R,'Committments Dump'!$C:$C,'Category Table'!Z$2,'Committments Dump'!$B:$B,'Category Table'!$A353)</f>
        <v/>
      </c>
      <c r="AA353" s="113">
        <f>SUMIFS('Committments Dump'!$S:$S,'Committments Dump'!$C:$C,'Category Table'!AA$2,'Committments Dump'!$B:$B,'Category Table'!$A353)</f>
        <v/>
      </c>
      <c r="AB353" s="114">
        <f>SUMIFS('Committments Dump'!$S:$S,'Committments Dump'!$C:$C,'Category Table'!AB$2,'Committments Dump'!$B:$B,'Category Table'!$A353)</f>
        <v/>
      </c>
      <c r="AC353" s="114">
        <f>SUMIFS('Committments Dump'!$S:$S,'Committments Dump'!$C:$C,'Category Table'!AC$2,'Committments Dump'!$B:$B,'Category Table'!$A353)</f>
        <v/>
      </c>
      <c r="AD353" s="113">
        <f>U353+X353+AA353</f>
        <v/>
      </c>
      <c r="AE353" s="114">
        <f>V353+Y353+AB353</f>
        <v/>
      </c>
      <c r="AF353" s="114">
        <f>W353+Z353+AC353</f>
        <v/>
      </c>
      <c r="AG353" s="113">
        <f>R353+AD353</f>
        <v/>
      </c>
      <c r="AH353" s="114">
        <f>S353+AE353</f>
        <v/>
      </c>
      <c r="AI353" s="114">
        <f>T353+AF353</f>
        <v/>
      </c>
      <c r="AJ353" s="113" t="n"/>
      <c r="AK353" s="114" t="n"/>
      <c r="AL353" s="114" t="n"/>
      <c r="AM353" s="113">
        <f>(O353-AG353)+AJ353</f>
        <v/>
      </c>
      <c r="AN353" s="114">
        <f>(P353-AH353)+AK353</f>
        <v/>
      </c>
      <c r="AO353" s="114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11" t="n"/>
      <c r="D354" s="112" t="n"/>
      <c r="E354" s="112" t="n"/>
      <c r="F354" s="111" t="n"/>
      <c r="G354" s="112" t="n"/>
      <c r="H354" s="112" t="n"/>
      <c r="I354" s="111" t="n"/>
      <c r="J354" s="112" t="n"/>
      <c r="K354" s="112" t="n"/>
      <c r="L354" s="111" t="n"/>
      <c r="M354" s="112" t="n"/>
      <c r="N354" s="112" t="n"/>
      <c r="O354" s="111">
        <f>L354+I354+F354+C354</f>
        <v/>
      </c>
      <c r="P354" s="112">
        <f>M354+J354+G354+D354</f>
        <v/>
      </c>
      <c r="Q354" s="112">
        <f>N354+K354+H354+E354</f>
        <v/>
      </c>
      <c r="R354" s="111">
        <f>SUMIFS('PO Log'!$E:$E,'PO Log'!$D:$D,'Category Table'!R$2,'PO Log'!$C:$C,'Category Table'!$A354)</f>
        <v/>
      </c>
      <c r="S354" s="112">
        <f>SUMIFS('PO Log'!$E:$E,'PO Log'!$D:$D,'Category Table'!S$2,'PO Log'!$C:$C,'Category Table'!$A354)</f>
        <v/>
      </c>
      <c r="T354" s="112">
        <f>SUMIFS('PO Log'!$E:$E,'PO Log'!$D:$D,'Category Table'!T$2,'PO Log'!$C:$C,'Category Table'!$A354)</f>
        <v/>
      </c>
      <c r="U354" s="111">
        <f>SUMIFS('Committments Dump'!$Q:$Q,'Committments Dump'!$C:$C,'Category Table'!U$2,'Committments Dump'!$B:$B,'Category Table'!$A354)</f>
        <v/>
      </c>
      <c r="V354" s="112">
        <f>SUMIFS('Committments Dump'!$Q:$Q,'Committments Dump'!$C:$C,'Category Table'!V$2,'Committments Dump'!$B:$B,'Category Table'!$A354)</f>
        <v/>
      </c>
      <c r="W354" s="112">
        <f>SUMIFS('Committments Dump'!$Q:$Q,'Committments Dump'!$C:$C,'Category Table'!W$2,'Committments Dump'!$B:$B,'Category Table'!$A354)</f>
        <v/>
      </c>
      <c r="X354" s="111">
        <f>SUMIFS('Committments Dump'!$R:$R,'Committments Dump'!$C:$C,'Category Table'!X$2,'Committments Dump'!$B:$B,'Category Table'!$A354)</f>
        <v/>
      </c>
      <c r="Y354" s="112">
        <f>SUMIFS('Committments Dump'!$R:$R,'Committments Dump'!$C:$C,'Category Table'!Y$2,'Committments Dump'!$B:$B,'Category Table'!$A354)</f>
        <v/>
      </c>
      <c r="Z354" s="112">
        <f>SUMIFS('Committments Dump'!$R:$R,'Committments Dump'!$C:$C,'Category Table'!Z$2,'Committments Dump'!$B:$B,'Category Table'!$A354)</f>
        <v/>
      </c>
      <c r="AA354" s="111">
        <f>SUMIFS('Committments Dump'!$S:$S,'Committments Dump'!$C:$C,'Category Table'!AA$2,'Committments Dump'!$B:$B,'Category Table'!$A354)</f>
        <v/>
      </c>
      <c r="AB354" s="112">
        <f>SUMIFS('Committments Dump'!$S:$S,'Committments Dump'!$C:$C,'Category Table'!AB$2,'Committments Dump'!$B:$B,'Category Table'!$A354)</f>
        <v/>
      </c>
      <c r="AC354" s="112">
        <f>SUMIFS('Committments Dump'!$S:$S,'Committments Dump'!$C:$C,'Category Table'!AC$2,'Committments Dump'!$B:$B,'Category Table'!$A354)</f>
        <v/>
      </c>
      <c r="AD354" s="111">
        <f>U354+X354+AA354</f>
        <v/>
      </c>
      <c r="AE354" s="112">
        <f>V354+Y354+AB354</f>
        <v/>
      </c>
      <c r="AF354" s="112">
        <f>W354+Z354+AC354</f>
        <v/>
      </c>
      <c r="AG354" s="111">
        <f>R354+AD354</f>
        <v/>
      </c>
      <c r="AH354" s="112">
        <f>S354+AE354</f>
        <v/>
      </c>
      <c r="AI354" s="112">
        <f>T354+AF354</f>
        <v/>
      </c>
      <c r="AJ354" s="111" t="n"/>
      <c r="AK354" s="112" t="n"/>
      <c r="AL354" s="112" t="n"/>
      <c r="AM354" s="111">
        <f>(O354-AG354)+AJ354</f>
        <v/>
      </c>
      <c r="AN354" s="112">
        <f>(P354-AH354)+AK354</f>
        <v/>
      </c>
      <c r="AO354" s="112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13" t="n"/>
      <c r="D355" s="114" t="n"/>
      <c r="E355" s="114" t="n"/>
      <c r="F355" s="113" t="n"/>
      <c r="G355" s="114" t="n"/>
      <c r="H355" s="114" t="n"/>
      <c r="I355" s="113" t="n"/>
      <c r="J355" s="114" t="n"/>
      <c r="K355" s="114" t="n"/>
      <c r="L355" s="113" t="n"/>
      <c r="M355" s="114" t="n"/>
      <c r="N355" s="114" t="n"/>
      <c r="O355" s="113">
        <f>L355+I355+F355+C355</f>
        <v/>
      </c>
      <c r="P355" s="114">
        <f>M355+J355+G355+D355</f>
        <v/>
      </c>
      <c r="Q355" s="114">
        <f>N355+K355+H355+E355</f>
        <v/>
      </c>
      <c r="R355" s="113">
        <f>SUMIFS('PO Log'!$E:$E,'PO Log'!$D:$D,'Category Table'!R$2,'PO Log'!$C:$C,'Category Table'!$A355)</f>
        <v/>
      </c>
      <c r="S355" s="114">
        <f>SUMIFS('PO Log'!$E:$E,'PO Log'!$D:$D,'Category Table'!S$2,'PO Log'!$C:$C,'Category Table'!$A355)</f>
        <v/>
      </c>
      <c r="T355" s="114">
        <f>SUMIFS('PO Log'!$E:$E,'PO Log'!$D:$D,'Category Table'!T$2,'PO Log'!$C:$C,'Category Table'!$A355)</f>
        <v/>
      </c>
      <c r="U355" s="113">
        <f>SUMIFS('Committments Dump'!$Q:$Q,'Committments Dump'!$C:$C,'Category Table'!U$2,'Committments Dump'!$B:$B,'Category Table'!$A355)</f>
        <v/>
      </c>
      <c r="V355" s="114">
        <f>SUMIFS('Committments Dump'!$Q:$Q,'Committments Dump'!$C:$C,'Category Table'!V$2,'Committments Dump'!$B:$B,'Category Table'!$A355)</f>
        <v/>
      </c>
      <c r="W355" s="114">
        <f>SUMIFS('Committments Dump'!$Q:$Q,'Committments Dump'!$C:$C,'Category Table'!W$2,'Committments Dump'!$B:$B,'Category Table'!$A355)</f>
        <v/>
      </c>
      <c r="X355" s="113">
        <f>SUMIFS('Committments Dump'!$R:$R,'Committments Dump'!$C:$C,'Category Table'!X$2,'Committments Dump'!$B:$B,'Category Table'!$A355)</f>
        <v/>
      </c>
      <c r="Y355" s="114">
        <f>SUMIFS('Committments Dump'!$R:$R,'Committments Dump'!$C:$C,'Category Table'!Y$2,'Committments Dump'!$B:$B,'Category Table'!$A355)</f>
        <v/>
      </c>
      <c r="Z355" s="114">
        <f>SUMIFS('Committments Dump'!$R:$R,'Committments Dump'!$C:$C,'Category Table'!Z$2,'Committments Dump'!$B:$B,'Category Table'!$A355)</f>
        <v/>
      </c>
      <c r="AA355" s="113">
        <f>SUMIFS('Committments Dump'!$S:$S,'Committments Dump'!$C:$C,'Category Table'!AA$2,'Committments Dump'!$B:$B,'Category Table'!$A355)</f>
        <v/>
      </c>
      <c r="AB355" s="114">
        <f>SUMIFS('Committments Dump'!$S:$S,'Committments Dump'!$C:$C,'Category Table'!AB$2,'Committments Dump'!$B:$B,'Category Table'!$A355)</f>
        <v/>
      </c>
      <c r="AC355" s="114">
        <f>SUMIFS('Committments Dump'!$S:$S,'Committments Dump'!$C:$C,'Category Table'!AC$2,'Committments Dump'!$B:$B,'Category Table'!$A355)</f>
        <v/>
      </c>
      <c r="AD355" s="113">
        <f>U355+X355+AA355</f>
        <v/>
      </c>
      <c r="AE355" s="114">
        <f>V355+Y355+AB355</f>
        <v/>
      </c>
      <c r="AF355" s="114">
        <f>W355+Z355+AC355</f>
        <v/>
      </c>
      <c r="AG355" s="113">
        <f>R355+AD355</f>
        <v/>
      </c>
      <c r="AH355" s="114">
        <f>S355+AE355</f>
        <v/>
      </c>
      <c r="AI355" s="114">
        <f>T355+AF355</f>
        <v/>
      </c>
      <c r="AJ355" s="113" t="n"/>
      <c r="AK355" s="114" t="n"/>
      <c r="AL355" s="114" t="n"/>
      <c r="AM355" s="113">
        <f>(O355-AG355)+AJ355</f>
        <v/>
      </c>
      <c r="AN355" s="114">
        <f>(P355-AH355)+AK355</f>
        <v/>
      </c>
      <c r="AO355" s="114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11" t="n"/>
      <c r="D356" s="112" t="n"/>
      <c r="E356" s="112" t="n"/>
      <c r="F356" s="111" t="n"/>
      <c r="G356" s="112" t="n"/>
      <c r="H356" s="112" t="n"/>
      <c r="I356" s="111" t="n"/>
      <c r="J356" s="112" t="n"/>
      <c r="K356" s="112" t="n"/>
      <c r="L356" s="111" t="n"/>
      <c r="M356" s="112" t="n"/>
      <c r="N356" s="112" t="n"/>
      <c r="O356" s="111">
        <f>L356+I356+F356+C356</f>
        <v/>
      </c>
      <c r="P356" s="112">
        <f>M356+J356+G356+D356</f>
        <v/>
      </c>
      <c r="Q356" s="112">
        <f>N356+K356+H356+E356</f>
        <v/>
      </c>
      <c r="R356" s="111">
        <f>SUMIFS('PO Log'!$E:$E,'PO Log'!$D:$D,'Category Table'!R$2,'PO Log'!$C:$C,'Category Table'!$A356)</f>
        <v/>
      </c>
      <c r="S356" s="112">
        <f>SUMIFS('PO Log'!$E:$E,'PO Log'!$D:$D,'Category Table'!S$2,'PO Log'!$C:$C,'Category Table'!$A356)</f>
        <v/>
      </c>
      <c r="T356" s="112">
        <f>SUMIFS('PO Log'!$E:$E,'PO Log'!$D:$D,'Category Table'!T$2,'PO Log'!$C:$C,'Category Table'!$A356)</f>
        <v/>
      </c>
      <c r="U356" s="111">
        <f>SUMIFS('Committments Dump'!$Q:$Q,'Committments Dump'!$C:$C,'Category Table'!U$2,'Committments Dump'!$B:$B,'Category Table'!$A356)</f>
        <v/>
      </c>
      <c r="V356" s="112">
        <f>SUMIFS('Committments Dump'!$Q:$Q,'Committments Dump'!$C:$C,'Category Table'!V$2,'Committments Dump'!$B:$B,'Category Table'!$A356)</f>
        <v/>
      </c>
      <c r="W356" s="112">
        <f>SUMIFS('Committments Dump'!$Q:$Q,'Committments Dump'!$C:$C,'Category Table'!W$2,'Committments Dump'!$B:$B,'Category Table'!$A356)</f>
        <v/>
      </c>
      <c r="X356" s="111">
        <f>SUMIFS('Committments Dump'!$R:$R,'Committments Dump'!$C:$C,'Category Table'!X$2,'Committments Dump'!$B:$B,'Category Table'!$A356)</f>
        <v/>
      </c>
      <c r="Y356" s="112">
        <f>SUMIFS('Committments Dump'!$R:$R,'Committments Dump'!$C:$C,'Category Table'!Y$2,'Committments Dump'!$B:$B,'Category Table'!$A356)</f>
        <v/>
      </c>
      <c r="Z356" s="112">
        <f>SUMIFS('Committments Dump'!$R:$R,'Committments Dump'!$C:$C,'Category Table'!Z$2,'Committments Dump'!$B:$B,'Category Table'!$A356)</f>
        <v/>
      </c>
      <c r="AA356" s="111">
        <f>SUMIFS('Committments Dump'!$S:$S,'Committments Dump'!$C:$C,'Category Table'!AA$2,'Committments Dump'!$B:$B,'Category Table'!$A356)</f>
        <v/>
      </c>
      <c r="AB356" s="112">
        <f>SUMIFS('Committments Dump'!$S:$S,'Committments Dump'!$C:$C,'Category Table'!AB$2,'Committments Dump'!$B:$B,'Category Table'!$A356)</f>
        <v/>
      </c>
      <c r="AC356" s="112">
        <f>SUMIFS('Committments Dump'!$S:$S,'Committments Dump'!$C:$C,'Category Table'!AC$2,'Committments Dump'!$B:$B,'Category Table'!$A356)</f>
        <v/>
      </c>
      <c r="AD356" s="111">
        <f>U356+X356+AA356</f>
        <v/>
      </c>
      <c r="AE356" s="112">
        <f>V356+Y356+AB356</f>
        <v/>
      </c>
      <c r="AF356" s="112">
        <f>W356+Z356+AC356</f>
        <v/>
      </c>
      <c r="AG356" s="111">
        <f>R356+AD356</f>
        <v/>
      </c>
      <c r="AH356" s="112">
        <f>S356+AE356</f>
        <v/>
      </c>
      <c r="AI356" s="112">
        <f>T356+AF356</f>
        <v/>
      </c>
      <c r="AJ356" s="111" t="n"/>
      <c r="AK356" s="112" t="n"/>
      <c r="AL356" s="112" t="n"/>
      <c r="AM356" s="111">
        <f>(O356-AG356)+AJ356</f>
        <v/>
      </c>
      <c r="AN356" s="112">
        <f>(P356-AH356)+AK356</f>
        <v/>
      </c>
      <c r="AO356" s="112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13" t="n"/>
      <c r="D357" s="114" t="n"/>
      <c r="E357" s="114" t="n"/>
      <c r="F357" s="113" t="n"/>
      <c r="G357" s="114" t="n"/>
      <c r="H357" s="114" t="n"/>
      <c r="I357" s="113" t="n"/>
      <c r="J357" s="114" t="n"/>
      <c r="K357" s="114" t="n"/>
      <c r="L357" s="113" t="n"/>
      <c r="M357" s="114" t="n"/>
      <c r="N357" s="114" t="n"/>
      <c r="O357" s="113">
        <f>L357+I357+F357+C357</f>
        <v/>
      </c>
      <c r="P357" s="114">
        <f>M357+J357+G357+D357</f>
        <v/>
      </c>
      <c r="Q357" s="114">
        <f>N357+K357+H357+E357</f>
        <v/>
      </c>
      <c r="R357" s="113">
        <f>SUMIFS('PO Log'!$E:$E,'PO Log'!$D:$D,'Category Table'!R$2,'PO Log'!$C:$C,'Category Table'!$A357)</f>
        <v/>
      </c>
      <c r="S357" s="114">
        <f>SUMIFS('PO Log'!$E:$E,'PO Log'!$D:$D,'Category Table'!S$2,'PO Log'!$C:$C,'Category Table'!$A357)</f>
        <v/>
      </c>
      <c r="T357" s="114">
        <f>SUMIFS('PO Log'!$E:$E,'PO Log'!$D:$D,'Category Table'!T$2,'PO Log'!$C:$C,'Category Table'!$A357)</f>
        <v/>
      </c>
      <c r="U357" s="113">
        <f>SUMIFS('Committments Dump'!$Q:$Q,'Committments Dump'!$C:$C,'Category Table'!U$2,'Committments Dump'!$B:$B,'Category Table'!$A357)</f>
        <v/>
      </c>
      <c r="V357" s="114">
        <f>SUMIFS('Committments Dump'!$Q:$Q,'Committments Dump'!$C:$C,'Category Table'!V$2,'Committments Dump'!$B:$B,'Category Table'!$A357)</f>
        <v/>
      </c>
      <c r="W357" s="114">
        <f>SUMIFS('Committments Dump'!$Q:$Q,'Committments Dump'!$C:$C,'Category Table'!W$2,'Committments Dump'!$B:$B,'Category Table'!$A357)</f>
        <v/>
      </c>
      <c r="X357" s="113">
        <f>SUMIFS('Committments Dump'!$R:$R,'Committments Dump'!$C:$C,'Category Table'!X$2,'Committments Dump'!$B:$B,'Category Table'!$A357)</f>
        <v/>
      </c>
      <c r="Y357" s="114">
        <f>SUMIFS('Committments Dump'!$R:$R,'Committments Dump'!$C:$C,'Category Table'!Y$2,'Committments Dump'!$B:$B,'Category Table'!$A357)</f>
        <v/>
      </c>
      <c r="Z357" s="114">
        <f>SUMIFS('Committments Dump'!$R:$R,'Committments Dump'!$C:$C,'Category Table'!Z$2,'Committments Dump'!$B:$B,'Category Table'!$A357)</f>
        <v/>
      </c>
      <c r="AA357" s="113">
        <f>SUMIFS('Committments Dump'!$S:$S,'Committments Dump'!$C:$C,'Category Table'!AA$2,'Committments Dump'!$B:$B,'Category Table'!$A357)</f>
        <v/>
      </c>
      <c r="AB357" s="114">
        <f>SUMIFS('Committments Dump'!$S:$S,'Committments Dump'!$C:$C,'Category Table'!AB$2,'Committments Dump'!$B:$B,'Category Table'!$A357)</f>
        <v/>
      </c>
      <c r="AC357" s="114">
        <f>SUMIFS('Committments Dump'!$S:$S,'Committments Dump'!$C:$C,'Category Table'!AC$2,'Committments Dump'!$B:$B,'Category Table'!$A357)</f>
        <v/>
      </c>
      <c r="AD357" s="113">
        <f>U357+X357+AA357</f>
        <v/>
      </c>
      <c r="AE357" s="114">
        <f>V357+Y357+AB357</f>
        <v/>
      </c>
      <c r="AF357" s="114">
        <f>W357+Z357+AC357</f>
        <v/>
      </c>
      <c r="AG357" s="113">
        <f>R357+AD357</f>
        <v/>
      </c>
      <c r="AH357" s="114">
        <f>S357+AE357</f>
        <v/>
      </c>
      <c r="AI357" s="114">
        <f>T357+AF357</f>
        <v/>
      </c>
      <c r="AJ357" s="113" t="n"/>
      <c r="AK357" s="114" t="n"/>
      <c r="AL357" s="114" t="n"/>
      <c r="AM357" s="113">
        <f>(O357-AG357)+AJ357</f>
        <v/>
      </c>
      <c r="AN357" s="114">
        <f>(P357-AH357)+AK357</f>
        <v/>
      </c>
      <c r="AO357" s="114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11" t="n"/>
      <c r="D358" s="112" t="n"/>
      <c r="E358" s="112" t="n"/>
      <c r="F358" s="111" t="n"/>
      <c r="G358" s="112" t="n"/>
      <c r="H358" s="112" t="n"/>
      <c r="I358" s="111" t="n"/>
      <c r="J358" s="112" t="n"/>
      <c r="K358" s="112" t="n"/>
      <c r="L358" s="111" t="n"/>
      <c r="M358" s="112" t="n"/>
      <c r="N358" s="112" t="n"/>
      <c r="O358" s="111">
        <f>L358+I358+F358+C358</f>
        <v/>
      </c>
      <c r="P358" s="112">
        <f>M358+J358+G358+D358</f>
        <v/>
      </c>
      <c r="Q358" s="112">
        <f>N358+K358+H358+E358</f>
        <v/>
      </c>
      <c r="R358" s="111">
        <f>SUMIFS('PO Log'!$E:$E,'PO Log'!$D:$D,'Category Table'!R$2,'PO Log'!$C:$C,'Category Table'!$A358)</f>
        <v/>
      </c>
      <c r="S358" s="112">
        <f>SUMIFS('PO Log'!$E:$E,'PO Log'!$D:$D,'Category Table'!S$2,'PO Log'!$C:$C,'Category Table'!$A358)</f>
        <v/>
      </c>
      <c r="T358" s="112">
        <f>SUMIFS('PO Log'!$E:$E,'PO Log'!$D:$D,'Category Table'!T$2,'PO Log'!$C:$C,'Category Table'!$A358)</f>
        <v/>
      </c>
      <c r="U358" s="111">
        <f>SUMIFS('Committments Dump'!$Q:$Q,'Committments Dump'!$C:$C,'Category Table'!U$2,'Committments Dump'!$B:$B,'Category Table'!$A358)</f>
        <v/>
      </c>
      <c r="V358" s="112">
        <f>SUMIFS('Committments Dump'!$Q:$Q,'Committments Dump'!$C:$C,'Category Table'!V$2,'Committments Dump'!$B:$B,'Category Table'!$A358)</f>
        <v/>
      </c>
      <c r="W358" s="112">
        <f>SUMIFS('Committments Dump'!$Q:$Q,'Committments Dump'!$C:$C,'Category Table'!W$2,'Committments Dump'!$B:$B,'Category Table'!$A358)</f>
        <v/>
      </c>
      <c r="X358" s="111">
        <f>SUMIFS('Committments Dump'!$R:$R,'Committments Dump'!$C:$C,'Category Table'!X$2,'Committments Dump'!$B:$B,'Category Table'!$A358)</f>
        <v/>
      </c>
      <c r="Y358" s="112">
        <f>SUMIFS('Committments Dump'!$R:$R,'Committments Dump'!$C:$C,'Category Table'!Y$2,'Committments Dump'!$B:$B,'Category Table'!$A358)</f>
        <v/>
      </c>
      <c r="Z358" s="112">
        <f>SUMIFS('Committments Dump'!$R:$R,'Committments Dump'!$C:$C,'Category Table'!Z$2,'Committments Dump'!$B:$B,'Category Table'!$A358)</f>
        <v/>
      </c>
      <c r="AA358" s="111">
        <f>SUMIFS('Committments Dump'!$S:$S,'Committments Dump'!$C:$C,'Category Table'!AA$2,'Committments Dump'!$B:$B,'Category Table'!$A358)</f>
        <v/>
      </c>
      <c r="AB358" s="112">
        <f>SUMIFS('Committments Dump'!$S:$S,'Committments Dump'!$C:$C,'Category Table'!AB$2,'Committments Dump'!$B:$B,'Category Table'!$A358)</f>
        <v/>
      </c>
      <c r="AC358" s="112">
        <f>SUMIFS('Committments Dump'!$S:$S,'Committments Dump'!$C:$C,'Category Table'!AC$2,'Committments Dump'!$B:$B,'Category Table'!$A358)</f>
        <v/>
      </c>
      <c r="AD358" s="111">
        <f>U358+X358+AA358</f>
        <v/>
      </c>
      <c r="AE358" s="112">
        <f>V358+Y358+AB358</f>
        <v/>
      </c>
      <c r="AF358" s="112">
        <f>W358+Z358+AC358</f>
        <v/>
      </c>
      <c r="AG358" s="111">
        <f>R358+AD358</f>
        <v/>
      </c>
      <c r="AH358" s="112">
        <f>S358+AE358</f>
        <v/>
      </c>
      <c r="AI358" s="112">
        <f>T358+AF358</f>
        <v/>
      </c>
      <c r="AJ358" s="111" t="n"/>
      <c r="AK358" s="112" t="n"/>
      <c r="AL358" s="112" t="n"/>
      <c r="AM358" s="111">
        <f>(O358-AG358)+AJ358</f>
        <v/>
      </c>
      <c r="AN358" s="112">
        <f>(P358-AH358)+AK358</f>
        <v/>
      </c>
      <c r="AO358" s="112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13" t="n"/>
      <c r="D359" s="114" t="n"/>
      <c r="E359" s="114" t="n"/>
      <c r="F359" s="113" t="n"/>
      <c r="G359" s="114" t="n"/>
      <c r="H359" s="114" t="n"/>
      <c r="I359" s="113" t="n"/>
      <c r="J359" s="114" t="n"/>
      <c r="K359" s="114" t="n"/>
      <c r="L359" s="113" t="n"/>
      <c r="M359" s="114" t="n"/>
      <c r="N359" s="114" t="n"/>
      <c r="O359" s="113">
        <f>L359+I359+F359+C359</f>
        <v/>
      </c>
      <c r="P359" s="114">
        <f>M359+J359+G359+D359</f>
        <v/>
      </c>
      <c r="Q359" s="114">
        <f>N359+K359+H359+E359</f>
        <v/>
      </c>
      <c r="R359" s="113">
        <f>SUMIFS('PO Log'!$E:$E,'PO Log'!$D:$D,'Category Table'!R$2,'PO Log'!$C:$C,'Category Table'!$A359)</f>
        <v/>
      </c>
      <c r="S359" s="114">
        <f>SUMIFS('PO Log'!$E:$E,'PO Log'!$D:$D,'Category Table'!S$2,'PO Log'!$C:$C,'Category Table'!$A359)</f>
        <v/>
      </c>
      <c r="T359" s="114">
        <f>SUMIFS('PO Log'!$E:$E,'PO Log'!$D:$D,'Category Table'!T$2,'PO Log'!$C:$C,'Category Table'!$A359)</f>
        <v/>
      </c>
      <c r="U359" s="113">
        <f>SUMIFS('Committments Dump'!$Q:$Q,'Committments Dump'!$C:$C,'Category Table'!U$2,'Committments Dump'!$B:$B,'Category Table'!$A359)</f>
        <v/>
      </c>
      <c r="V359" s="114">
        <f>SUMIFS('Committments Dump'!$Q:$Q,'Committments Dump'!$C:$C,'Category Table'!V$2,'Committments Dump'!$B:$B,'Category Table'!$A359)</f>
        <v/>
      </c>
      <c r="W359" s="114">
        <f>SUMIFS('Committments Dump'!$Q:$Q,'Committments Dump'!$C:$C,'Category Table'!W$2,'Committments Dump'!$B:$B,'Category Table'!$A359)</f>
        <v/>
      </c>
      <c r="X359" s="113">
        <f>SUMIFS('Committments Dump'!$R:$R,'Committments Dump'!$C:$C,'Category Table'!X$2,'Committments Dump'!$B:$B,'Category Table'!$A359)</f>
        <v/>
      </c>
      <c r="Y359" s="114">
        <f>SUMIFS('Committments Dump'!$R:$R,'Committments Dump'!$C:$C,'Category Table'!Y$2,'Committments Dump'!$B:$B,'Category Table'!$A359)</f>
        <v/>
      </c>
      <c r="Z359" s="114">
        <f>SUMIFS('Committments Dump'!$R:$R,'Committments Dump'!$C:$C,'Category Table'!Z$2,'Committments Dump'!$B:$B,'Category Table'!$A359)</f>
        <v/>
      </c>
      <c r="AA359" s="113">
        <f>SUMIFS('Committments Dump'!$S:$S,'Committments Dump'!$C:$C,'Category Table'!AA$2,'Committments Dump'!$B:$B,'Category Table'!$A359)</f>
        <v/>
      </c>
      <c r="AB359" s="114">
        <f>SUMIFS('Committments Dump'!$S:$S,'Committments Dump'!$C:$C,'Category Table'!AB$2,'Committments Dump'!$B:$B,'Category Table'!$A359)</f>
        <v/>
      </c>
      <c r="AC359" s="114">
        <f>SUMIFS('Committments Dump'!$S:$S,'Committments Dump'!$C:$C,'Category Table'!AC$2,'Committments Dump'!$B:$B,'Category Table'!$A359)</f>
        <v/>
      </c>
      <c r="AD359" s="113">
        <f>U359+X359+AA359</f>
        <v/>
      </c>
      <c r="AE359" s="114">
        <f>V359+Y359+AB359</f>
        <v/>
      </c>
      <c r="AF359" s="114">
        <f>W359+Z359+AC359</f>
        <v/>
      </c>
      <c r="AG359" s="113">
        <f>R359+AD359</f>
        <v/>
      </c>
      <c r="AH359" s="114">
        <f>S359+AE359</f>
        <v/>
      </c>
      <c r="AI359" s="114">
        <f>T359+AF359</f>
        <v/>
      </c>
      <c r="AJ359" s="113" t="n"/>
      <c r="AK359" s="114" t="n"/>
      <c r="AL359" s="114" t="n"/>
      <c r="AM359" s="113">
        <f>(O359-AG359)+AJ359</f>
        <v/>
      </c>
      <c r="AN359" s="114">
        <f>(P359-AH359)+AK359</f>
        <v/>
      </c>
      <c r="AO359" s="114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11" t="n"/>
      <c r="D360" s="112" t="n"/>
      <c r="E360" s="112" t="n"/>
      <c r="F360" s="111" t="n"/>
      <c r="G360" s="112" t="n"/>
      <c r="H360" s="112" t="n"/>
      <c r="I360" s="111" t="n"/>
      <c r="J360" s="112" t="n"/>
      <c r="K360" s="112" t="n"/>
      <c r="L360" s="111" t="n"/>
      <c r="M360" s="112" t="n"/>
      <c r="N360" s="112" t="n"/>
      <c r="O360" s="111">
        <f>L360+I360+F360+C360</f>
        <v/>
      </c>
      <c r="P360" s="112">
        <f>M360+J360+G360+D360</f>
        <v/>
      </c>
      <c r="Q360" s="112">
        <f>N360+K360+H360+E360</f>
        <v/>
      </c>
      <c r="R360" s="111">
        <f>SUMIFS('PO Log'!$E:$E,'PO Log'!$D:$D,'Category Table'!R$2,'PO Log'!$C:$C,'Category Table'!$A360)</f>
        <v/>
      </c>
      <c r="S360" s="112">
        <f>SUMIFS('PO Log'!$E:$E,'PO Log'!$D:$D,'Category Table'!S$2,'PO Log'!$C:$C,'Category Table'!$A360)</f>
        <v/>
      </c>
      <c r="T360" s="112">
        <f>SUMIFS('PO Log'!$E:$E,'PO Log'!$D:$D,'Category Table'!T$2,'PO Log'!$C:$C,'Category Table'!$A360)</f>
        <v/>
      </c>
      <c r="U360" s="111">
        <f>SUMIFS('Committments Dump'!$Q:$Q,'Committments Dump'!$C:$C,'Category Table'!U$2,'Committments Dump'!$B:$B,'Category Table'!$A360)</f>
        <v/>
      </c>
      <c r="V360" s="112">
        <f>SUMIFS('Committments Dump'!$Q:$Q,'Committments Dump'!$C:$C,'Category Table'!V$2,'Committments Dump'!$B:$B,'Category Table'!$A360)</f>
        <v/>
      </c>
      <c r="W360" s="112">
        <f>SUMIFS('Committments Dump'!$Q:$Q,'Committments Dump'!$C:$C,'Category Table'!W$2,'Committments Dump'!$B:$B,'Category Table'!$A360)</f>
        <v/>
      </c>
      <c r="X360" s="111">
        <f>SUMIFS('Committments Dump'!$R:$R,'Committments Dump'!$C:$C,'Category Table'!X$2,'Committments Dump'!$B:$B,'Category Table'!$A360)</f>
        <v/>
      </c>
      <c r="Y360" s="112">
        <f>SUMIFS('Committments Dump'!$R:$R,'Committments Dump'!$C:$C,'Category Table'!Y$2,'Committments Dump'!$B:$B,'Category Table'!$A360)</f>
        <v/>
      </c>
      <c r="Z360" s="112">
        <f>SUMIFS('Committments Dump'!$R:$R,'Committments Dump'!$C:$C,'Category Table'!Z$2,'Committments Dump'!$B:$B,'Category Table'!$A360)</f>
        <v/>
      </c>
      <c r="AA360" s="111">
        <f>SUMIFS('Committments Dump'!$S:$S,'Committments Dump'!$C:$C,'Category Table'!AA$2,'Committments Dump'!$B:$B,'Category Table'!$A360)</f>
        <v/>
      </c>
      <c r="AB360" s="112">
        <f>SUMIFS('Committments Dump'!$S:$S,'Committments Dump'!$C:$C,'Category Table'!AB$2,'Committments Dump'!$B:$B,'Category Table'!$A360)</f>
        <v/>
      </c>
      <c r="AC360" s="112">
        <f>SUMIFS('Committments Dump'!$S:$S,'Committments Dump'!$C:$C,'Category Table'!AC$2,'Committments Dump'!$B:$B,'Category Table'!$A360)</f>
        <v/>
      </c>
      <c r="AD360" s="111">
        <f>U360+X360+AA360</f>
        <v/>
      </c>
      <c r="AE360" s="112">
        <f>V360+Y360+AB360</f>
        <v/>
      </c>
      <c r="AF360" s="112">
        <f>W360+Z360+AC360</f>
        <v/>
      </c>
      <c r="AG360" s="111">
        <f>R360+AD360</f>
        <v/>
      </c>
      <c r="AH360" s="112">
        <f>S360+AE360</f>
        <v/>
      </c>
      <c r="AI360" s="112">
        <f>T360+AF360</f>
        <v/>
      </c>
      <c r="AJ360" s="111" t="n"/>
      <c r="AK360" s="112" t="n"/>
      <c r="AL360" s="112" t="n"/>
      <c r="AM360" s="111">
        <f>(O360-AG360)+AJ360</f>
        <v/>
      </c>
      <c r="AN360" s="112">
        <f>(P360-AH360)+AK360</f>
        <v/>
      </c>
      <c r="AO360" s="112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13" t="n"/>
      <c r="D361" s="114" t="n"/>
      <c r="E361" s="114" t="n"/>
      <c r="F361" s="113" t="n"/>
      <c r="G361" s="114" t="n"/>
      <c r="H361" s="114" t="n"/>
      <c r="I361" s="113" t="n"/>
      <c r="J361" s="114" t="n"/>
      <c r="K361" s="114" t="n"/>
      <c r="L361" s="113" t="n"/>
      <c r="M361" s="114" t="n"/>
      <c r="N361" s="114" t="n"/>
      <c r="O361" s="113">
        <f>L361+I361+F361+C361</f>
        <v/>
      </c>
      <c r="P361" s="114">
        <f>M361+J361+G361+D361</f>
        <v/>
      </c>
      <c r="Q361" s="114">
        <f>N361+K361+H361+E361</f>
        <v/>
      </c>
      <c r="R361" s="113">
        <f>SUMIFS('PO Log'!$E:$E,'PO Log'!$D:$D,'Category Table'!R$2,'PO Log'!$C:$C,'Category Table'!$A361)</f>
        <v/>
      </c>
      <c r="S361" s="114">
        <f>SUMIFS('PO Log'!$E:$E,'PO Log'!$D:$D,'Category Table'!S$2,'PO Log'!$C:$C,'Category Table'!$A361)</f>
        <v/>
      </c>
      <c r="T361" s="114">
        <f>SUMIFS('PO Log'!$E:$E,'PO Log'!$D:$D,'Category Table'!T$2,'PO Log'!$C:$C,'Category Table'!$A361)</f>
        <v/>
      </c>
      <c r="U361" s="113">
        <f>SUMIFS('Committments Dump'!$Q:$Q,'Committments Dump'!$C:$C,'Category Table'!U$2,'Committments Dump'!$B:$B,'Category Table'!$A361)</f>
        <v/>
      </c>
      <c r="V361" s="114">
        <f>SUMIFS('Committments Dump'!$Q:$Q,'Committments Dump'!$C:$C,'Category Table'!V$2,'Committments Dump'!$B:$B,'Category Table'!$A361)</f>
        <v/>
      </c>
      <c r="W361" s="114">
        <f>SUMIFS('Committments Dump'!$Q:$Q,'Committments Dump'!$C:$C,'Category Table'!W$2,'Committments Dump'!$B:$B,'Category Table'!$A361)</f>
        <v/>
      </c>
      <c r="X361" s="113">
        <f>SUMIFS('Committments Dump'!$R:$R,'Committments Dump'!$C:$C,'Category Table'!X$2,'Committments Dump'!$B:$B,'Category Table'!$A361)</f>
        <v/>
      </c>
      <c r="Y361" s="114">
        <f>SUMIFS('Committments Dump'!$R:$R,'Committments Dump'!$C:$C,'Category Table'!Y$2,'Committments Dump'!$B:$B,'Category Table'!$A361)</f>
        <v/>
      </c>
      <c r="Z361" s="114">
        <f>SUMIFS('Committments Dump'!$R:$R,'Committments Dump'!$C:$C,'Category Table'!Z$2,'Committments Dump'!$B:$B,'Category Table'!$A361)</f>
        <v/>
      </c>
      <c r="AA361" s="113">
        <f>SUMIFS('Committments Dump'!$S:$S,'Committments Dump'!$C:$C,'Category Table'!AA$2,'Committments Dump'!$B:$B,'Category Table'!$A361)</f>
        <v/>
      </c>
      <c r="AB361" s="114">
        <f>SUMIFS('Committments Dump'!$S:$S,'Committments Dump'!$C:$C,'Category Table'!AB$2,'Committments Dump'!$B:$B,'Category Table'!$A361)</f>
        <v/>
      </c>
      <c r="AC361" s="114">
        <f>SUMIFS('Committments Dump'!$S:$S,'Committments Dump'!$C:$C,'Category Table'!AC$2,'Committments Dump'!$B:$B,'Category Table'!$A361)</f>
        <v/>
      </c>
      <c r="AD361" s="113">
        <f>U361+X361+AA361</f>
        <v/>
      </c>
      <c r="AE361" s="114">
        <f>V361+Y361+AB361</f>
        <v/>
      </c>
      <c r="AF361" s="114">
        <f>W361+Z361+AC361</f>
        <v/>
      </c>
      <c r="AG361" s="113">
        <f>R361+AD361</f>
        <v/>
      </c>
      <c r="AH361" s="114">
        <f>S361+AE361</f>
        <v/>
      </c>
      <c r="AI361" s="114">
        <f>T361+AF361</f>
        <v/>
      </c>
      <c r="AJ361" s="113" t="n"/>
      <c r="AK361" s="114" t="n"/>
      <c r="AL361" s="114" t="n"/>
      <c r="AM361" s="113">
        <f>(O361-AG361)+AJ361</f>
        <v/>
      </c>
      <c r="AN361" s="114">
        <f>(P361-AH361)+AK361</f>
        <v/>
      </c>
      <c r="AO361" s="114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11" t="n"/>
      <c r="D362" s="112" t="n"/>
      <c r="E362" s="112" t="n"/>
      <c r="F362" s="111" t="n"/>
      <c r="G362" s="112" t="n"/>
      <c r="H362" s="112" t="n"/>
      <c r="I362" s="111" t="n"/>
      <c r="J362" s="112" t="n"/>
      <c r="K362" s="112" t="n"/>
      <c r="L362" s="111" t="n"/>
      <c r="M362" s="112" t="n"/>
      <c r="N362" s="112" t="n"/>
      <c r="O362" s="111">
        <f>L362+I362+F362+C362</f>
        <v/>
      </c>
      <c r="P362" s="112">
        <f>M362+J362+G362+D362</f>
        <v/>
      </c>
      <c r="Q362" s="112">
        <f>N362+K362+H362+E362</f>
        <v/>
      </c>
      <c r="R362" s="111">
        <f>SUMIFS('PO Log'!$E:$E,'PO Log'!$D:$D,'Category Table'!R$2,'PO Log'!$C:$C,'Category Table'!$A362)</f>
        <v/>
      </c>
      <c r="S362" s="112">
        <f>SUMIFS('PO Log'!$E:$E,'PO Log'!$D:$D,'Category Table'!S$2,'PO Log'!$C:$C,'Category Table'!$A362)</f>
        <v/>
      </c>
      <c r="T362" s="112">
        <f>SUMIFS('PO Log'!$E:$E,'PO Log'!$D:$D,'Category Table'!T$2,'PO Log'!$C:$C,'Category Table'!$A362)</f>
        <v/>
      </c>
      <c r="U362" s="111">
        <f>SUMIFS('Committments Dump'!$Q:$Q,'Committments Dump'!$C:$C,'Category Table'!U$2,'Committments Dump'!$B:$B,'Category Table'!$A362)</f>
        <v/>
      </c>
      <c r="V362" s="112">
        <f>SUMIFS('Committments Dump'!$Q:$Q,'Committments Dump'!$C:$C,'Category Table'!V$2,'Committments Dump'!$B:$B,'Category Table'!$A362)</f>
        <v/>
      </c>
      <c r="W362" s="112">
        <f>SUMIFS('Committments Dump'!$Q:$Q,'Committments Dump'!$C:$C,'Category Table'!W$2,'Committments Dump'!$B:$B,'Category Table'!$A362)</f>
        <v/>
      </c>
      <c r="X362" s="111">
        <f>SUMIFS('Committments Dump'!$R:$R,'Committments Dump'!$C:$C,'Category Table'!X$2,'Committments Dump'!$B:$B,'Category Table'!$A362)</f>
        <v/>
      </c>
      <c r="Y362" s="112">
        <f>SUMIFS('Committments Dump'!$R:$R,'Committments Dump'!$C:$C,'Category Table'!Y$2,'Committments Dump'!$B:$B,'Category Table'!$A362)</f>
        <v/>
      </c>
      <c r="Z362" s="112">
        <f>SUMIFS('Committments Dump'!$R:$R,'Committments Dump'!$C:$C,'Category Table'!Z$2,'Committments Dump'!$B:$B,'Category Table'!$A362)</f>
        <v/>
      </c>
      <c r="AA362" s="111">
        <f>SUMIFS('Committments Dump'!$S:$S,'Committments Dump'!$C:$C,'Category Table'!AA$2,'Committments Dump'!$B:$B,'Category Table'!$A362)</f>
        <v/>
      </c>
      <c r="AB362" s="112">
        <f>SUMIFS('Committments Dump'!$S:$S,'Committments Dump'!$C:$C,'Category Table'!AB$2,'Committments Dump'!$B:$B,'Category Table'!$A362)</f>
        <v/>
      </c>
      <c r="AC362" s="112">
        <f>SUMIFS('Committments Dump'!$S:$S,'Committments Dump'!$C:$C,'Category Table'!AC$2,'Committments Dump'!$B:$B,'Category Table'!$A362)</f>
        <v/>
      </c>
      <c r="AD362" s="111">
        <f>U362+X362+AA362</f>
        <v/>
      </c>
      <c r="AE362" s="112">
        <f>V362+Y362+AB362</f>
        <v/>
      </c>
      <c r="AF362" s="112">
        <f>W362+Z362+AC362</f>
        <v/>
      </c>
      <c r="AG362" s="111">
        <f>R362+AD362</f>
        <v/>
      </c>
      <c r="AH362" s="112">
        <f>S362+AE362</f>
        <v/>
      </c>
      <c r="AI362" s="112">
        <f>T362+AF362</f>
        <v/>
      </c>
      <c r="AJ362" s="111" t="n"/>
      <c r="AK362" s="112" t="n"/>
      <c r="AL362" s="112" t="n"/>
      <c r="AM362" s="111">
        <f>(O362-AG362)+AJ362</f>
        <v/>
      </c>
      <c r="AN362" s="112">
        <f>(P362-AH362)+AK362</f>
        <v/>
      </c>
      <c r="AO362" s="112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13" t="n"/>
      <c r="D363" s="114" t="n"/>
      <c r="E363" s="114" t="n"/>
      <c r="F363" s="113" t="n"/>
      <c r="G363" s="114" t="n"/>
      <c r="H363" s="114" t="n"/>
      <c r="I363" s="113" t="n"/>
      <c r="J363" s="114" t="n"/>
      <c r="K363" s="114" t="n"/>
      <c r="L363" s="113" t="n"/>
      <c r="M363" s="114" t="n"/>
      <c r="N363" s="114" t="n"/>
      <c r="O363" s="113">
        <f>L363+I363+F363+C363</f>
        <v/>
      </c>
      <c r="P363" s="114">
        <f>M363+J363+G363+D363</f>
        <v/>
      </c>
      <c r="Q363" s="114">
        <f>N363+K363+H363+E363</f>
        <v/>
      </c>
      <c r="R363" s="113">
        <f>SUMIFS('PO Log'!$E:$E,'PO Log'!$D:$D,'Category Table'!R$2,'PO Log'!$C:$C,'Category Table'!$A363)</f>
        <v/>
      </c>
      <c r="S363" s="114">
        <f>SUMIFS('PO Log'!$E:$E,'PO Log'!$D:$D,'Category Table'!S$2,'PO Log'!$C:$C,'Category Table'!$A363)</f>
        <v/>
      </c>
      <c r="T363" s="114">
        <f>SUMIFS('PO Log'!$E:$E,'PO Log'!$D:$D,'Category Table'!T$2,'PO Log'!$C:$C,'Category Table'!$A363)</f>
        <v/>
      </c>
      <c r="U363" s="113">
        <f>SUMIFS('Committments Dump'!$Q:$Q,'Committments Dump'!$C:$C,'Category Table'!U$2,'Committments Dump'!$B:$B,'Category Table'!$A363)</f>
        <v/>
      </c>
      <c r="V363" s="114">
        <f>SUMIFS('Committments Dump'!$Q:$Q,'Committments Dump'!$C:$C,'Category Table'!V$2,'Committments Dump'!$B:$B,'Category Table'!$A363)</f>
        <v/>
      </c>
      <c r="W363" s="114">
        <f>SUMIFS('Committments Dump'!$Q:$Q,'Committments Dump'!$C:$C,'Category Table'!W$2,'Committments Dump'!$B:$B,'Category Table'!$A363)</f>
        <v/>
      </c>
      <c r="X363" s="113">
        <f>SUMIFS('Committments Dump'!$R:$R,'Committments Dump'!$C:$C,'Category Table'!X$2,'Committments Dump'!$B:$B,'Category Table'!$A363)</f>
        <v/>
      </c>
      <c r="Y363" s="114">
        <f>SUMIFS('Committments Dump'!$R:$R,'Committments Dump'!$C:$C,'Category Table'!Y$2,'Committments Dump'!$B:$B,'Category Table'!$A363)</f>
        <v/>
      </c>
      <c r="Z363" s="114">
        <f>SUMIFS('Committments Dump'!$R:$R,'Committments Dump'!$C:$C,'Category Table'!Z$2,'Committments Dump'!$B:$B,'Category Table'!$A363)</f>
        <v/>
      </c>
      <c r="AA363" s="113">
        <f>SUMIFS('Committments Dump'!$S:$S,'Committments Dump'!$C:$C,'Category Table'!AA$2,'Committments Dump'!$B:$B,'Category Table'!$A363)</f>
        <v/>
      </c>
      <c r="AB363" s="114">
        <f>SUMIFS('Committments Dump'!$S:$S,'Committments Dump'!$C:$C,'Category Table'!AB$2,'Committments Dump'!$B:$B,'Category Table'!$A363)</f>
        <v/>
      </c>
      <c r="AC363" s="114">
        <f>SUMIFS('Committments Dump'!$S:$S,'Committments Dump'!$C:$C,'Category Table'!AC$2,'Committments Dump'!$B:$B,'Category Table'!$A363)</f>
        <v/>
      </c>
      <c r="AD363" s="113">
        <f>U363+X363+AA363</f>
        <v/>
      </c>
      <c r="AE363" s="114">
        <f>V363+Y363+AB363</f>
        <v/>
      </c>
      <c r="AF363" s="114">
        <f>W363+Z363+AC363</f>
        <v/>
      </c>
      <c r="AG363" s="113">
        <f>R363+AD363</f>
        <v/>
      </c>
      <c r="AH363" s="114">
        <f>S363+AE363</f>
        <v/>
      </c>
      <c r="AI363" s="114">
        <f>T363+AF363</f>
        <v/>
      </c>
      <c r="AJ363" s="113" t="n"/>
      <c r="AK363" s="114" t="n"/>
      <c r="AL363" s="114" t="n"/>
      <c r="AM363" s="113">
        <f>(O363-AG363)+AJ363</f>
        <v/>
      </c>
      <c r="AN363" s="114">
        <f>(P363-AH363)+AK363</f>
        <v/>
      </c>
      <c r="AO363" s="114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11" t="n"/>
      <c r="D364" s="112" t="n"/>
      <c r="E364" s="112" t="n"/>
      <c r="F364" s="111" t="n"/>
      <c r="G364" s="112" t="n"/>
      <c r="H364" s="112" t="n"/>
      <c r="I364" s="111" t="n"/>
      <c r="J364" s="112" t="n"/>
      <c r="K364" s="112" t="n"/>
      <c r="L364" s="111" t="n"/>
      <c r="M364" s="112" t="n"/>
      <c r="N364" s="112" t="n"/>
      <c r="O364" s="111">
        <f>L364+I364+F364+C364</f>
        <v/>
      </c>
      <c r="P364" s="112">
        <f>M364+J364+G364+D364</f>
        <v/>
      </c>
      <c r="Q364" s="112">
        <f>N364+K364+H364+E364</f>
        <v/>
      </c>
      <c r="R364" s="111">
        <f>SUMIFS('PO Log'!$E:$E,'PO Log'!$D:$D,'Category Table'!R$2,'PO Log'!$C:$C,'Category Table'!$A364)</f>
        <v/>
      </c>
      <c r="S364" s="112">
        <f>SUMIFS('PO Log'!$E:$E,'PO Log'!$D:$D,'Category Table'!S$2,'PO Log'!$C:$C,'Category Table'!$A364)</f>
        <v/>
      </c>
      <c r="T364" s="112">
        <f>SUMIFS('PO Log'!$E:$E,'PO Log'!$D:$D,'Category Table'!T$2,'PO Log'!$C:$C,'Category Table'!$A364)</f>
        <v/>
      </c>
      <c r="U364" s="111">
        <f>SUMIFS('Committments Dump'!$Q:$Q,'Committments Dump'!$C:$C,'Category Table'!U$2,'Committments Dump'!$B:$B,'Category Table'!$A364)</f>
        <v/>
      </c>
      <c r="V364" s="112">
        <f>SUMIFS('Committments Dump'!$Q:$Q,'Committments Dump'!$C:$C,'Category Table'!V$2,'Committments Dump'!$B:$B,'Category Table'!$A364)</f>
        <v/>
      </c>
      <c r="W364" s="112">
        <f>SUMIFS('Committments Dump'!$Q:$Q,'Committments Dump'!$C:$C,'Category Table'!W$2,'Committments Dump'!$B:$B,'Category Table'!$A364)</f>
        <v/>
      </c>
      <c r="X364" s="111">
        <f>SUMIFS('Committments Dump'!$R:$R,'Committments Dump'!$C:$C,'Category Table'!X$2,'Committments Dump'!$B:$B,'Category Table'!$A364)</f>
        <v/>
      </c>
      <c r="Y364" s="112">
        <f>SUMIFS('Committments Dump'!$R:$R,'Committments Dump'!$C:$C,'Category Table'!Y$2,'Committments Dump'!$B:$B,'Category Table'!$A364)</f>
        <v/>
      </c>
      <c r="Z364" s="112">
        <f>SUMIFS('Committments Dump'!$R:$R,'Committments Dump'!$C:$C,'Category Table'!Z$2,'Committments Dump'!$B:$B,'Category Table'!$A364)</f>
        <v/>
      </c>
      <c r="AA364" s="111">
        <f>SUMIFS('Committments Dump'!$S:$S,'Committments Dump'!$C:$C,'Category Table'!AA$2,'Committments Dump'!$B:$B,'Category Table'!$A364)</f>
        <v/>
      </c>
      <c r="AB364" s="112">
        <f>SUMIFS('Committments Dump'!$S:$S,'Committments Dump'!$C:$C,'Category Table'!AB$2,'Committments Dump'!$B:$B,'Category Table'!$A364)</f>
        <v/>
      </c>
      <c r="AC364" s="112">
        <f>SUMIFS('Committments Dump'!$S:$S,'Committments Dump'!$C:$C,'Category Table'!AC$2,'Committments Dump'!$B:$B,'Category Table'!$A364)</f>
        <v/>
      </c>
      <c r="AD364" s="111">
        <f>U364+X364+AA364</f>
        <v/>
      </c>
      <c r="AE364" s="112">
        <f>V364+Y364+AB364</f>
        <v/>
      </c>
      <c r="AF364" s="112">
        <f>W364+Z364+AC364</f>
        <v/>
      </c>
      <c r="AG364" s="111">
        <f>R364+AD364</f>
        <v/>
      </c>
      <c r="AH364" s="112">
        <f>S364+AE364</f>
        <v/>
      </c>
      <c r="AI364" s="112">
        <f>T364+AF364</f>
        <v/>
      </c>
      <c r="AJ364" s="111" t="n"/>
      <c r="AK364" s="112" t="n"/>
      <c r="AL364" s="112" t="n"/>
      <c r="AM364" s="111">
        <f>(O364-AG364)+AJ364</f>
        <v/>
      </c>
      <c r="AN364" s="112">
        <f>(P364-AH364)+AK364</f>
        <v/>
      </c>
      <c r="AO364" s="112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13" t="n"/>
      <c r="D365" s="114" t="n"/>
      <c r="E365" s="114" t="n"/>
      <c r="F365" s="113" t="n"/>
      <c r="G365" s="114" t="n"/>
      <c r="H365" s="114" t="n"/>
      <c r="I365" s="113" t="n"/>
      <c r="J365" s="114" t="n"/>
      <c r="K365" s="114" t="n"/>
      <c r="L365" s="113" t="n"/>
      <c r="M365" s="114" t="n"/>
      <c r="N365" s="114" t="n"/>
      <c r="O365" s="113">
        <f>L365+I365+F365+C365</f>
        <v/>
      </c>
      <c r="P365" s="114">
        <f>M365+J365+G365+D365</f>
        <v/>
      </c>
      <c r="Q365" s="114">
        <f>N365+K365+H365+E365</f>
        <v/>
      </c>
      <c r="R365" s="113">
        <f>SUMIFS('PO Log'!$E:$E,'PO Log'!$D:$D,'Category Table'!R$2,'PO Log'!$C:$C,'Category Table'!$A365)</f>
        <v/>
      </c>
      <c r="S365" s="114">
        <f>SUMIFS('PO Log'!$E:$E,'PO Log'!$D:$D,'Category Table'!S$2,'PO Log'!$C:$C,'Category Table'!$A365)</f>
        <v/>
      </c>
      <c r="T365" s="114">
        <f>SUMIFS('PO Log'!$E:$E,'PO Log'!$D:$D,'Category Table'!T$2,'PO Log'!$C:$C,'Category Table'!$A365)</f>
        <v/>
      </c>
      <c r="U365" s="113">
        <f>SUMIFS('Committments Dump'!$Q:$Q,'Committments Dump'!$C:$C,'Category Table'!U$2,'Committments Dump'!$B:$B,'Category Table'!$A365)</f>
        <v/>
      </c>
      <c r="V365" s="114">
        <f>SUMIFS('Committments Dump'!$Q:$Q,'Committments Dump'!$C:$C,'Category Table'!V$2,'Committments Dump'!$B:$B,'Category Table'!$A365)</f>
        <v/>
      </c>
      <c r="W365" s="114">
        <f>SUMIFS('Committments Dump'!$Q:$Q,'Committments Dump'!$C:$C,'Category Table'!W$2,'Committments Dump'!$B:$B,'Category Table'!$A365)</f>
        <v/>
      </c>
      <c r="X365" s="113">
        <f>SUMIFS('Committments Dump'!$R:$R,'Committments Dump'!$C:$C,'Category Table'!X$2,'Committments Dump'!$B:$B,'Category Table'!$A365)</f>
        <v/>
      </c>
      <c r="Y365" s="114">
        <f>SUMIFS('Committments Dump'!$R:$R,'Committments Dump'!$C:$C,'Category Table'!Y$2,'Committments Dump'!$B:$B,'Category Table'!$A365)</f>
        <v/>
      </c>
      <c r="Z365" s="114">
        <f>SUMIFS('Committments Dump'!$R:$R,'Committments Dump'!$C:$C,'Category Table'!Z$2,'Committments Dump'!$B:$B,'Category Table'!$A365)</f>
        <v/>
      </c>
      <c r="AA365" s="113">
        <f>SUMIFS('Committments Dump'!$S:$S,'Committments Dump'!$C:$C,'Category Table'!AA$2,'Committments Dump'!$B:$B,'Category Table'!$A365)</f>
        <v/>
      </c>
      <c r="AB365" s="114">
        <f>SUMIFS('Committments Dump'!$S:$S,'Committments Dump'!$C:$C,'Category Table'!AB$2,'Committments Dump'!$B:$B,'Category Table'!$A365)</f>
        <v/>
      </c>
      <c r="AC365" s="114">
        <f>SUMIFS('Committments Dump'!$S:$S,'Committments Dump'!$C:$C,'Category Table'!AC$2,'Committments Dump'!$B:$B,'Category Table'!$A365)</f>
        <v/>
      </c>
      <c r="AD365" s="113">
        <f>U365+X365+AA365</f>
        <v/>
      </c>
      <c r="AE365" s="114">
        <f>V365+Y365+AB365</f>
        <v/>
      </c>
      <c r="AF365" s="114">
        <f>W365+Z365+AC365</f>
        <v/>
      </c>
      <c r="AG365" s="113">
        <f>R365+AD365</f>
        <v/>
      </c>
      <c r="AH365" s="114">
        <f>S365+AE365</f>
        <v/>
      </c>
      <c r="AI365" s="114">
        <f>T365+AF365</f>
        <v/>
      </c>
      <c r="AJ365" s="113" t="n"/>
      <c r="AK365" s="114" t="n"/>
      <c r="AL365" s="114" t="n"/>
      <c r="AM365" s="113">
        <f>(O365-AG365)+AJ365</f>
        <v/>
      </c>
      <c r="AN365" s="114">
        <f>(P365-AH365)+AK365</f>
        <v/>
      </c>
      <c r="AO365" s="114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11" t="n"/>
      <c r="D366" s="112" t="n"/>
      <c r="E366" s="112" t="n"/>
      <c r="F366" s="111" t="n"/>
      <c r="G366" s="112" t="n"/>
      <c r="H366" s="112" t="n"/>
      <c r="I366" s="111" t="n"/>
      <c r="J366" s="112" t="n"/>
      <c r="K366" s="112" t="n"/>
      <c r="L366" s="111" t="n"/>
      <c r="M366" s="112" t="n"/>
      <c r="N366" s="112" t="n"/>
      <c r="O366" s="111">
        <f>L366+I366+F366+C366</f>
        <v/>
      </c>
      <c r="P366" s="112">
        <f>M366+J366+G366+D366</f>
        <v/>
      </c>
      <c r="Q366" s="112">
        <f>N366+K366+H366+E366</f>
        <v/>
      </c>
      <c r="R366" s="111">
        <f>SUMIFS('PO Log'!$E:$E,'PO Log'!$D:$D,'Category Table'!R$2,'PO Log'!$C:$C,'Category Table'!$A366)</f>
        <v/>
      </c>
      <c r="S366" s="112">
        <f>SUMIFS('PO Log'!$E:$E,'PO Log'!$D:$D,'Category Table'!S$2,'PO Log'!$C:$C,'Category Table'!$A366)</f>
        <v/>
      </c>
      <c r="T366" s="112">
        <f>SUMIFS('PO Log'!$E:$E,'PO Log'!$D:$D,'Category Table'!T$2,'PO Log'!$C:$C,'Category Table'!$A366)</f>
        <v/>
      </c>
      <c r="U366" s="111">
        <f>SUMIFS('Committments Dump'!$Q:$Q,'Committments Dump'!$C:$C,'Category Table'!U$2,'Committments Dump'!$B:$B,'Category Table'!$A366)</f>
        <v/>
      </c>
      <c r="V366" s="112">
        <f>SUMIFS('Committments Dump'!$Q:$Q,'Committments Dump'!$C:$C,'Category Table'!V$2,'Committments Dump'!$B:$B,'Category Table'!$A366)</f>
        <v/>
      </c>
      <c r="W366" s="112">
        <f>SUMIFS('Committments Dump'!$Q:$Q,'Committments Dump'!$C:$C,'Category Table'!W$2,'Committments Dump'!$B:$B,'Category Table'!$A366)</f>
        <v/>
      </c>
      <c r="X366" s="111">
        <f>SUMIFS('Committments Dump'!$R:$R,'Committments Dump'!$C:$C,'Category Table'!X$2,'Committments Dump'!$B:$B,'Category Table'!$A366)</f>
        <v/>
      </c>
      <c r="Y366" s="112">
        <f>SUMIFS('Committments Dump'!$R:$R,'Committments Dump'!$C:$C,'Category Table'!Y$2,'Committments Dump'!$B:$B,'Category Table'!$A366)</f>
        <v/>
      </c>
      <c r="Z366" s="112">
        <f>SUMIFS('Committments Dump'!$R:$R,'Committments Dump'!$C:$C,'Category Table'!Z$2,'Committments Dump'!$B:$B,'Category Table'!$A366)</f>
        <v/>
      </c>
      <c r="AA366" s="111">
        <f>SUMIFS('Committments Dump'!$S:$S,'Committments Dump'!$C:$C,'Category Table'!AA$2,'Committments Dump'!$B:$B,'Category Table'!$A366)</f>
        <v/>
      </c>
      <c r="AB366" s="112">
        <f>SUMIFS('Committments Dump'!$S:$S,'Committments Dump'!$C:$C,'Category Table'!AB$2,'Committments Dump'!$B:$B,'Category Table'!$A366)</f>
        <v/>
      </c>
      <c r="AC366" s="112">
        <f>SUMIFS('Committments Dump'!$S:$S,'Committments Dump'!$C:$C,'Category Table'!AC$2,'Committments Dump'!$B:$B,'Category Table'!$A366)</f>
        <v/>
      </c>
      <c r="AD366" s="111">
        <f>U366+X366+AA366</f>
        <v/>
      </c>
      <c r="AE366" s="112">
        <f>V366+Y366+AB366</f>
        <v/>
      </c>
      <c r="AF366" s="112">
        <f>W366+Z366+AC366</f>
        <v/>
      </c>
      <c r="AG366" s="111">
        <f>R366+AD366</f>
        <v/>
      </c>
      <c r="AH366" s="112">
        <f>S366+AE366</f>
        <v/>
      </c>
      <c r="AI366" s="112">
        <f>T366+AF366</f>
        <v/>
      </c>
      <c r="AJ366" s="111" t="n"/>
      <c r="AK366" s="112" t="n"/>
      <c r="AL366" s="112" t="n"/>
      <c r="AM366" s="111">
        <f>(O366-AG366)+AJ366</f>
        <v/>
      </c>
      <c r="AN366" s="112">
        <f>(P366-AH366)+AK366</f>
        <v/>
      </c>
      <c r="AO366" s="112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13" t="n"/>
      <c r="D367" s="114" t="n"/>
      <c r="E367" s="114" t="n"/>
      <c r="F367" s="113" t="n"/>
      <c r="G367" s="114" t="n"/>
      <c r="H367" s="114" t="n"/>
      <c r="I367" s="113" t="n"/>
      <c r="J367" s="114" t="n"/>
      <c r="K367" s="114" t="n"/>
      <c r="L367" s="113" t="n"/>
      <c r="M367" s="114" t="n"/>
      <c r="N367" s="114" t="n"/>
      <c r="O367" s="113">
        <f>L367+I367+F367+C367</f>
        <v/>
      </c>
      <c r="P367" s="114">
        <f>M367+J367+G367+D367</f>
        <v/>
      </c>
      <c r="Q367" s="114">
        <f>N367+K367+H367+E367</f>
        <v/>
      </c>
      <c r="R367" s="113">
        <f>SUMIFS('PO Log'!$E:$E,'PO Log'!$D:$D,'Category Table'!R$2,'PO Log'!$C:$C,'Category Table'!$A367)</f>
        <v/>
      </c>
      <c r="S367" s="114">
        <f>SUMIFS('PO Log'!$E:$E,'PO Log'!$D:$D,'Category Table'!S$2,'PO Log'!$C:$C,'Category Table'!$A367)</f>
        <v/>
      </c>
      <c r="T367" s="114">
        <f>SUMIFS('PO Log'!$E:$E,'PO Log'!$D:$D,'Category Table'!T$2,'PO Log'!$C:$C,'Category Table'!$A367)</f>
        <v/>
      </c>
      <c r="U367" s="113">
        <f>SUMIFS('Committments Dump'!$Q:$Q,'Committments Dump'!$C:$C,'Category Table'!U$2,'Committments Dump'!$B:$B,'Category Table'!$A367)</f>
        <v/>
      </c>
      <c r="V367" s="114">
        <f>SUMIFS('Committments Dump'!$Q:$Q,'Committments Dump'!$C:$C,'Category Table'!V$2,'Committments Dump'!$B:$B,'Category Table'!$A367)</f>
        <v/>
      </c>
      <c r="W367" s="114">
        <f>SUMIFS('Committments Dump'!$Q:$Q,'Committments Dump'!$C:$C,'Category Table'!W$2,'Committments Dump'!$B:$B,'Category Table'!$A367)</f>
        <v/>
      </c>
      <c r="X367" s="113">
        <f>SUMIFS('Committments Dump'!$R:$R,'Committments Dump'!$C:$C,'Category Table'!X$2,'Committments Dump'!$B:$B,'Category Table'!$A367)</f>
        <v/>
      </c>
      <c r="Y367" s="114">
        <f>SUMIFS('Committments Dump'!$R:$R,'Committments Dump'!$C:$C,'Category Table'!Y$2,'Committments Dump'!$B:$B,'Category Table'!$A367)</f>
        <v/>
      </c>
      <c r="Z367" s="114">
        <f>SUMIFS('Committments Dump'!$R:$R,'Committments Dump'!$C:$C,'Category Table'!Z$2,'Committments Dump'!$B:$B,'Category Table'!$A367)</f>
        <v/>
      </c>
      <c r="AA367" s="113">
        <f>SUMIFS('Committments Dump'!$S:$S,'Committments Dump'!$C:$C,'Category Table'!AA$2,'Committments Dump'!$B:$B,'Category Table'!$A367)</f>
        <v/>
      </c>
      <c r="AB367" s="114">
        <f>SUMIFS('Committments Dump'!$S:$S,'Committments Dump'!$C:$C,'Category Table'!AB$2,'Committments Dump'!$B:$B,'Category Table'!$A367)</f>
        <v/>
      </c>
      <c r="AC367" s="114">
        <f>SUMIFS('Committments Dump'!$S:$S,'Committments Dump'!$C:$C,'Category Table'!AC$2,'Committments Dump'!$B:$B,'Category Table'!$A367)</f>
        <v/>
      </c>
      <c r="AD367" s="113">
        <f>U367+X367+AA367</f>
        <v/>
      </c>
      <c r="AE367" s="114">
        <f>V367+Y367+AB367</f>
        <v/>
      </c>
      <c r="AF367" s="114">
        <f>W367+Z367+AC367</f>
        <v/>
      </c>
      <c r="AG367" s="113">
        <f>R367+AD367</f>
        <v/>
      </c>
      <c r="AH367" s="114">
        <f>S367+AE367</f>
        <v/>
      </c>
      <c r="AI367" s="114">
        <f>T367+AF367</f>
        <v/>
      </c>
      <c r="AJ367" s="113" t="n"/>
      <c r="AK367" s="114" t="n"/>
      <c r="AL367" s="114" t="n"/>
      <c r="AM367" s="113">
        <f>(O367-AG367)+AJ367</f>
        <v/>
      </c>
      <c r="AN367" s="114">
        <f>(P367-AH367)+AK367</f>
        <v/>
      </c>
      <c r="AO367" s="114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11" t="n"/>
      <c r="D368" s="112" t="n"/>
      <c r="E368" s="112" t="n"/>
      <c r="F368" s="111" t="n"/>
      <c r="G368" s="112" t="n"/>
      <c r="H368" s="112" t="n"/>
      <c r="I368" s="111" t="n"/>
      <c r="J368" s="112" t="n"/>
      <c r="K368" s="112" t="n"/>
      <c r="L368" s="111" t="n"/>
      <c r="M368" s="112" t="n"/>
      <c r="N368" s="112" t="n"/>
      <c r="O368" s="111">
        <f>L368+I368+F368+C368</f>
        <v/>
      </c>
      <c r="P368" s="112">
        <f>M368+J368+G368+D368</f>
        <v/>
      </c>
      <c r="Q368" s="112">
        <f>N368+K368+H368+E368</f>
        <v/>
      </c>
      <c r="R368" s="111">
        <f>SUMIFS('PO Log'!$E:$E,'PO Log'!$D:$D,'Category Table'!R$2,'PO Log'!$C:$C,'Category Table'!$A368)</f>
        <v/>
      </c>
      <c r="S368" s="112">
        <f>SUMIFS('PO Log'!$E:$E,'PO Log'!$D:$D,'Category Table'!S$2,'PO Log'!$C:$C,'Category Table'!$A368)</f>
        <v/>
      </c>
      <c r="T368" s="112">
        <f>SUMIFS('PO Log'!$E:$E,'PO Log'!$D:$D,'Category Table'!T$2,'PO Log'!$C:$C,'Category Table'!$A368)</f>
        <v/>
      </c>
      <c r="U368" s="111">
        <f>SUMIFS('Committments Dump'!$Q:$Q,'Committments Dump'!$C:$C,'Category Table'!U$2,'Committments Dump'!$B:$B,'Category Table'!$A368)</f>
        <v/>
      </c>
      <c r="V368" s="112">
        <f>SUMIFS('Committments Dump'!$Q:$Q,'Committments Dump'!$C:$C,'Category Table'!V$2,'Committments Dump'!$B:$B,'Category Table'!$A368)</f>
        <v/>
      </c>
      <c r="W368" s="112">
        <f>SUMIFS('Committments Dump'!$Q:$Q,'Committments Dump'!$C:$C,'Category Table'!W$2,'Committments Dump'!$B:$B,'Category Table'!$A368)</f>
        <v/>
      </c>
      <c r="X368" s="111">
        <f>SUMIFS('Committments Dump'!$R:$R,'Committments Dump'!$C:$C,'Category Table'!X$2,'Committments Dump'!$B:$B,'Category Table'!$A368)</f>
        <v/>
      </c>
      <c r="Y368" s="112">
        <f>SUMIFS('Committments Dump'!$R:$R,'Committments Dump'!$C:$C,'Category Table'!Y$2,'Committments Dump'!$B:$B,'Category Table'!$A368)</f>
        <v/>
      </c>
      <c r="Z368" s="112">
        <f>SUMIFS('Committments Dump'!$R:$R,'Committments Dump'!$C:$C,'Category Table'!Z$2,'Committments Dump'!$B:$B,'Category Table'!$A368)</f>
        <v/>
      </c>
      <c r="AA368" s="111">
        <f>SUMIFS('Committments Dump'!$S:$S,'Committments Dump'!$C:$C,'Category Table'!AA$2,'Committments Dump'!$B:$B,'Category Table'!$A368)</f>
        <v/>
      </c>
      <c r="AB368" s="112">
        <f>SUMIFS('Committments Dump'!$S:$S,'Committments Dump'!$C:$C,'Category Table'!AB$2,'Committments Dump'!$B:$B,'Category Table'!$A368)</f>
        <v/>
      </c>
      <c r="AC368" s="112">
        <f>SUMIFS('Committments Dump'!$S:$S,'Committments Dump'!$C:$C,'Category Table'!AC$2,'Committments Dump'!$B:$B,'Category Table'!$A368)</f>
        <v/>
      </c>
      <c r="AD368" s="111">
        <f>U368+X368+AA368</f>
        <v/>
      </c>
      <c r="AE368" s="112">
        <f>V368+Y368+AB368</f>
        <v/>
      </c>
      <c r="AF368" s="112">
        <f>W368+Z368+AC368</f>
        <v/>
      </c>
      <c r="AG368" s="111">
        <f>R368+AD368</f>
        <v/>
      </c>
      <c r="AH368" s="112">
        <f>S368+AE368</f>
        <v/>
      </c>
      <c r="AI368" s="112">
        <f>T368+AF368</f>
        <v/>
      </c>
      <c r="AJ368" s="111" t="n"/>
      <c r="AK368" s="112" t="n"/>
      <c r="AL368" s="112" t="n"/>
      <c r="AM368" s="111">
        <f>(O368-AG368)+AJ368</f>
        <v/>
      </c>
      <c r="AN368" s="112">
        <f>(P368-AH368)+AK368</f>
        <v/>
      </c>
      <c r="AO368" s="112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13" t="n"/>
      <c r="D369" s="114" t="n"/>
      <c r="E369" s="114" t="n"/>
      <c r="F369" s="113" t="n"/>
      <c r="G369" s="114" t="n"/>
      <c r="H369" s="114" t="n"/>
      <c r="I369" s="113" t="n"/>
      <c r="J369" s="114" t="n"/>
      <c r="K369" s="114" t="n"/>
      <c r="L369" s="113" t="n"/>
      <c r="M369" s="114" t="n"/>
      <c r="N369" s="114" t="n"/>
      <c r="O369" s="113">
        <f>L369+I369+F369+C369</f>
        <v/>
      </c>
      <c r="P369" s="114">
        <f>M369+J369+G369+D369</f>
        <v/>
      </c>
      <c r="Q369" s="114">
        <f>N369+K369+H369+E369</f>
        <v/>
      </c>
      <c r="R369" s="113">
        <f>SUMIFS('PO Log'!$E:$E,'PO Log'!$D:$D,'Category Table'!R$2,'PO Log'!$C:$C,'Category Table'!$A369)</f>
        <v/>
      </c>
      <c r="S369" s="114">
        <f>SUMIFS('PO Log'!$E:$E,'PO Log'!$D:$D,'Category Table'!S$2,'PO Log'!$C:$C,'Category Table'!$A369)</f>
        <v/>
      </c>
      <c r="T369" s="114">
        <f>SUMIFS('PO Log'!$E:$E,'PO Log'!$D:$D,'Category Table'!T$2,'PO Log'!$C:$C,'Category Table'!$A369)</f>
        <v/>
      </c>
      <c r="U369" s="113">
        <f>SUMIFS('Committments Dump'!$Q:$Q,'Committments Dump'!$C:$C,'Category Table'!U$2,'Committments Dump'!$B:$B,'Category Table'!$A369)</f>
        <v/>
      </c>
      <c r="V369" s="114">
        <f>SUMIFS('Committments Dump'!$Q:$Q,'Committments Dump'!$C:$C,'Category Table'!V$2,'Committments Dump'!$B:$B,'Category Table'!$A369)</f>
        <v/>
      </c>
      <c r="W369" s="114">
        <f>SUMIFS('Committments Dump'!$Q:$Q,'Committments Dump'!$C:$C,'Category Table'!W$2,'Committments Dump'!$B:$B,'Category Table'!$A369)</f>
        <v/>
      </c>
      <c r="X369" s="113">
        <f>SUMIFS('Committments Dump'!$R:$R,'Committments Dump'!$C:$C,'Category Table'!X$2,'Committments Dump'!$B:$B,'Category Table'!$A369)</f>
        <v/>
      </c>
      <c r="Y369" s="114">
        <f>SUMIFS('Committments Dump'!$R:$R,'Committments Dump'!$C:$C,'Category Table'!Y$2,'Committments Dump'!$B:$B,'Category Table'!$A369)</f>
        <v/>
      </c>
      <c r="Z369" s="114">
        <f>SUMIFS('Committments Dump'!$R:$R,'Committments Dump'!$C:$C,'Category Table'!Z$2,'Committments Dump'!$B:$B,'Category Table'!$A369)</f>
        <v/>
      </c>
      <c r="AA369" s="113">
        <f>SUMIFS('Committments Dump'!$S:$S,'Committments Dump'!$C:$C,'Category Table'!AA$2,'Committments Dump'!$B:$B,'Category Table'!$A369)</f>
        <v/>
      </c>
      <c r="AB369" s="114">
        <f>SUMIFS('Committments Dump'!$S:$S,'Committments Dump'!$C:$C,'Category Table'!AB$2,'Committments Dump'!$B:$B,'Category Table'!$A369)</f>
        <v/>
      </c>
      <c r="AC369" s="114">
        <f>SUMIFS('Committments Dump'!$S:$S,'Committments Dump'!$C:$C,'Category Table'!AC$2,'Committments Dump'!$B:$B,'Category Table'!$A369)</f>
        <v/>
      </c>
      <c r="AD369" s="113">
        <f>U369+X369+AA369</f>
        <v/>
      </c>
      <c r="AE369" s="114">
        <f>V369+Y369+AB369</f>
        <v/>
      </c>
      <c r="AF369" s="114">
        <f>W369+Z369+AC369</f>
        <v/>
      </c>
      <c r="AG369" s="113">
        <f>R369+AD369</f>
        <v/>
      </c>
      <c r="AH369" s="114">
        <f>S369+AE369</f>
        <v/>
      </c>
      <c r="AI369" s="114">
        <f>T369+AF369</f>
        <v/>
      </c>
      <c r="AJ369" s="113" t="n"/>
      <c r="AK369" s="114" t="n"/>
      <c r="AL369" s="114" t="n"/>
      <c r="AM369" s="113">
        <f>(O369-AG369)+AJ369</f>
        <v/>
      </c>
      <c r="AN369" s="114">
        <f>(P369-AH369)+AK369</f>
        <v/>
      </c>
      <c r="AO369" s="114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11" t="n"/>
      <c r="D370" s="112" t="n"/>
      <c r="E370" s="112" t="n"/>
      <c r="F370" s="111" t="n"/>
      <c r="G370" s="112" t="n"/>
      <c r="H370" s="112" t="n"/>
      <c r="I370" s="111" t="n"/>
      <c r="J370" s="112" t="n"/>
      <c r="K370" s="112" t="n"/>
      <c r="L370" s="111" t="n"/>
      <c r="M370" s="112" t="n"/>
      <c r="N370" s="112" t="n"/>
      <c r="O370" s="111">
        <f>L370+I370+F370+C370</f>
        <v/>
      </c>
      <c r="P370" s="112">
        <f>M370+J370+G370+D370</f>
        <v/>
      </c>
      <c r="Q370" s="112">
        <f>N370+K370+H370+E370</f>
        <v/>
      </c>
      <c r="R370" s="111">
        <f>SUMIFS('PO Log'!$E:$E,'PO Log'!$D:$D,'Category Table'!R$2,'PO Log'!$C:$C,'Category Table'!$A370)</f>
        <v/>
      </c>
      <c r="S370" s="112">
        <f>SUMIFS('PO Log'!$E:$E,'PO Log'!$D:$D,'Category Table'!S$2,'PO Log'!$C:$C,'Category Table'!$A370)</f>
        <v/>
      </c>
      <c r="T370" s="112">
        <f>SUMIFS('PO Log'!$E:$E,'PO Log'!$D:$D,'Category Table'!T$2,'PO Log'!$C:$C,'Category Table'!$A370)</f>
        <v/>
      </c>
      <c r="U370" s="111">
        <f>SUMIFS('Committments Dump'!$Q:$Q,'Committments Dump'!$C:$C,'Category Table'!U$2,'Committments Dump'!$B:$B,'Category Table'!$A370)</f>
        <v/>
      </c>
      <c r="V370" s="112">
        <f>SUMIFS('Committments Dump'!$Q:$Q,'Committments Dump'!$C:$C,'Category Table'!V$2,'Committments Dump'!$B:$B,'Category Table'!$A370)</f>
        <v/>
      </c>
      <c r="W370" s="112">
        <f>SUMIFS('Committments Dump'!$Q:$Q,'Committments Dump'!$C:$C,'Category Table'!W$2,'Committments Dump'!$B:$B,'Category Table'!$A370)</f>
        <v/>
      </c>
      <c r="X370" s="111">
        <f>SUMIFS('Committments Dump'!$R:$R,'Committments Dump'!$C:$C,'Category Table'!X$2,'Committments Dump'!$B:$B,'Category Table'!$A370)</f>
        <v/>
      </c>
      <c r="Y370" s="112">
        <f>SUMIFS('Committments Dump'!$R:$R,'Committments Dump'!$C:$C,'Category Table'!Y$2,'Committments Dump'!$B:$B,'Category Table'!$A370)</f>
        <v/>
      </c>
      <c r="Z370" s="112">
        <f>SUMIFS('Committments Dump'!$R:$R,'Committments Dump'!$C:$C,'Category Table'!Z$2,'Committments Dump'!$B:$B,'Category Table'!$A370)</f>
        <v/>
      </c>
      <c r="AA370" s="111">
        <f>SUMIFS('Committments Dump'!$S:$S,'Committments Dump'!$C:$C,'Category Table'!AA$2,'Committments Dump'!$B:$B,'Category Table'!$A370)</f>
        <v/>
      </c>
      <c r="AB370" s="112">
        <f>SUMIFS('Committments Dump'!$S:$S,'Committments Dump'!$C:$C,'Category Table'!AB$2,'Committments Dump'!$B:$B,'Category Table'!$A370)</f>
        <v/>
      </c>
      <c r="AC370" s="112">
        <f>SUMIFS('Committments Dump'!$S:$S,'Committments Dump'!$C:$C,'Category Table'!AC$2,'Committments Dump'!$B:$B,'Category Table'!$A370)</f>
        <v/>
      </c>
      <c r="AD370" s="111">
        <f>U370+X370+AA370</f>
        <v/>
      </c>
      <c r="AE370" s="112">
        <f>V370+Y370+AB370</f>
        <v/>
      </c>
      <c r="AF370" s="112">
        <f>W370+Z370+AC370</f>
        <v/>
      </c>
      <c r="AG370" s="111">
        <f>R370+AD370</f>
        <v/>
      </c>
      <c r="AH370" s="112">
        <f>S370+AE370</f>
        <v/>
      </c>
      <c r="AI370" s="112">
        <f>T370+AF370</f>
        <v/>
      </c>
      <c r="AJ370" s="111" t="n"/>
      <c r="AK370" s="112" t="n"/>
      <c r="AL370" s="112" t="n"/>
      <c r="AM370" s="111">
        <f>(O370-AG370)+AJ370</f>
        <v/>
      </c>
      <c r="AN370" s="112">
        <f>(P370-AH370)+AK370</f>
        <v/>
      </c>
      <c r="AO370" s="112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12" min="5" max="5"/>
    <col width="34.44140625" customWidth="1" min="6" max="6"/>
  </cols>
  <sheetData>
    <row r="1" ht="15" customHeight="1" thickBot="1">
      <c r="E1" s="112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15" t="n"/>
      <c r="F3" s="59" t="n"/>
    </row>
    <row r="4">
      <c r="A4" s="60" t="n"/>
      <c r="B4" s="66" t="n"/>
      <c r="C4" s="61" t="n"/>
      <c r="D4" s="73" t="n"/>
      <c r="E4" s="116" t="n"/>
      <c r="F4" s="62" t="n"/>
    </row>
    <row r="5">
      <c r="A5" s="58" t="n"/>
      <c r="B5" s="67" t="n"/>
      <c r="E5" s="115" t="n"/>
      <c r="F5" s="59" t="n"/>
    </row>
    <row r="6">
      <c r="A6" s="60" t="n"/>
      <c r="B6" s="66" t="n"/>
      <c r="C6" s="61" t="n"/>
      <c r="D6" s="73" t="n"/>
      <c r="E6" s="116" t="n"/>
      <c r="F6" s="62" t="n"/>
    </row>
    <row r="7">
      <c r="A7" s="58" t="n"/>
      <c r="B7" s="67" t="n"/>
      <c r="E7" s="115" t="n"/>
      <c r="F7" s="59" t="n"/>
    </row>
    <row r="8">
      <c r="A8" s="60" t="n"/>
      <c r="B8" s="66" t="n"/>
      <c r="C8" s="61" t="n"/>
      <c r="D8" s="73" t="n"/>
      <c r="E8" s="116" t="n"/>
      <c r="F8" s="62" t="n"/>
    </row>
    <row r="9">
      <c r="A9" s="58" t="n"/>
      <c r="B9" s="67" t="n"/>
      <c r="E9" s="115" t="n"/>
      <c r="F9" s="59" t="n"/>
    </row>
    <row r="10">
      <c r="A10" s="60" t="n"/>
      <c r="B10" s="66" t="n"/>
      <c r="C10" s="61" t="n"/>
      <c r="D10" s="73" t="n"/>
      <c r="E10" s="116" t="n"/>
      <c r="F10" s="62" t="n"/>
    </row>
    <row r="11">
      <c r="A11" s="58" t="n"/>
      <c r="B11" s="67" t="n"/>
      <c r="E11" s="115" t="n"/>
      <c r="F11" s="59" t="n"/>
    </row>
    <row r="12">
      <c r="A12" s="60" t="n"/>
      <c r="B12" s="66" t="n"/>
      <c r="C12" s="61" t="n"/>
      <c r="D12" s="73" t="n"/>
      <c r="E12" s="116" t="n"/>
      <c r="F12" s="62" t="n"/>
    </row>
    <row r="13">
      <c r="A13" s="58" t="n"/>
      <c r="B13" s="67" t="n"/>
      <c r="E13" s="115" t="n"/>
      <c r="F13" s="59" t="n"/>
    </row>
    <row r="14">
      <c r="A14" s="60" t="n"/>
      <c r="B14" s="66" t="n"/>
      <c r="C14" s="61" t="n"/>
      <c r="D14" s="73" t="n"/>
      <c r="E14" s="116" t="n"/>
      <c r="F14" s="62" t="n"/>
    </row>
    <row r="15">
      <c r="A15" s="58" t="n"/>
      <c r="B15" s="67" t="n"/>
      <c r="E15" s="115" t="n"/>
      <c r="F15" s="59" t="n"/>
    </row>
    <row r="16">
      <c r="A16" s="60" t="n"/>
      <c r="B16" s="66" t="n"/>
      <c r="C16" s="61" t="n"/>
      <c r="D16" s="73" t="n"/>
      <c r="E16" s="116" t="n"/>
      <c r="F16" s="62" t="n"/>
    </row>
    <row r="17">
      <c r="A17" s="58" t="n"/>
      <c r="B17" s="67" t="n"/>
      <c r="E17" s="115" t="n"/>
      <c r="F17" s="59" t="n"/>
    </row>
    <row r="18">
      <c r="A18" s="60" t="n"/>
      <c r="B18" s="66" t="n"/>
      <c r="C18" s="61" t="n"/>
      <c r="D18" s="73" t="n"/>
      <c r="E18" s="116" t="n"/>
      <c r="F18" s="62" t="n"/>
    </row>
    <row r="19">
      <c r="A19" s="58" t="n"/>
      <c r="B19" s="67" t="n"/>
      <c r="E19" s="115" t="n"/>
      <c r="F19" s="59" t="n"/>
    </row>
    <row r="20">
      <c r="A20" s="60" t="n"/>
      <c r="B20" s="66" t="n"/>
      <c r="C20" s="61" t="n"/>
      <c r="D20" s="73" t="n"/>
      <c r="E20" s="116" t="n"/>
      <c r="F20" s="62" t="n"/>
    </row>
    <row r="21">
      <c r="A21" s="58" t="n"/>
      <c r="B21" s="67" t="n"/>
      <c r="E21" s="115" t="n"/>
      <c r="F21" s="59" t="n"/>
    </row>
    <row r="22">
      <c r="A22" s="60" t="n"/>
      <c r="B22" s="66" t="n"/>
      <c r="C22" s="61" t="n"/>
      <c r="D22" s="73" t="n"/>
      <c r="E22" s="116" t="n"/>
      <c r="F22" s="62" t="n"/>
    </row>
    <row r="23">
      <c r="A23" s="58" t="n"/>
      <c r="B23" s="67" t="n"/>
      <c r="E23" s="115" t="n"/>
      <c r="F23" s="59" t="n"/>
    </row>
    <row r="24">
      <c r="A24" s="60" t="n"/>
      <c r="B24" s="66" t="n"/>
      <c r="C24" s="61" t="n"/>
      <c r="D24" s="73" t="n"/>
      <c r="E24" s="116" t="n"/>
      <c r="F24" s="62" t="n"/>
    </row>
    <row r="25">
      <c r="A25" s="58" t="n"/>
      <c r="B25" s="67" t="n"/>
      <c r="E25" s="115" t="n"/>
      <c r="F25" s="59" t="n"/>
    </row>
    <row r="26">
      <c r="A26" s="60" t="n"/>
      <c r="B26" s="66" t="n"/>
      <c r="C26" s="61" t="n"/>
      <c r="D26" s="73" t="n"/>
      <c r="E26" s="116" t="n"/>
      <c r="F26" s="62" t="n"/>
    </row>
    <row r="27">
      <c r="A27" s="58" t="n"/>
      <c r="B27" s="67" t="n"/>
      <c r="E27" s="115" t="n"/>
      <c r="F27" s="59" t="n"/>
    </row>
    <row r="28">
      <c r="A28" s="60" t="n"/>
      <c r="B28" s="66" t="n"/>
      <c r="C28" s="61" t="n"/>
      <c r="D28" s="73" t="n"/>
      <c r="E28" s="116" t="n"/>
      <c r="F28" s="62" t="n"/>
    </row>
    <row r="29">
      <c r="A29" s="58" t="n"/>
      <c r="B29" s="67" t="n"/>
      <c r="E29" s="115" t="n"/>
      <c r="F29" s="59" t="n"/>
    </row>
    <row r="30">
      <c r="A30" s="60" t="n"/>
      <c r="B30" s="66" t="n"/>
      <c r="C30" s="61" t="n"/>
      <c r="D30" s="73" t="n"/>
      <c r="E30" s="116" t="n"/>
      <c r="F30" s="62" t="n"/>
    </row>
    <row r="31">
      <c r="A31" s="58" t="n"/>
      <c r="B31" s="67" t="n"/>
      <c r="E31" s="115" t="n"/>
      <c r="F31" s="59" t="n"/>
    </row>
    <row r="32">
      <c r="A32" s="60" t="n"/>
      <c r="B32" s="66" t="n"/>
      <c r="C32" s="61" t="n"/>
      <c r="D32" s="73" t="n"/>
      <c r="E32" s="116" t="n"/>
      <c r="F32" s="62" t="n"/>
    </row>
    <row r="33">
      <c r="A33" s="58" t="n"/>
      <c r="B33" s="67" t="n"/>
      <c r="E33" s="115" t="n"/>
      <c r="F33" s="59" t="n"/>
    </row>
    <row r="34">
      <c r="A34" s="60" t="n"/>
      <c r="B34" s="66" t="n"/>
      <c r="C34" s="61" t="n"/>
      <c r="D34" s="73" t="n"/>
      <c r="E34" s="116" t="n"/>
      <c r="F34" s="62" t="n"/>
    </row>
    <row r="35">
      <c r="A35" s="58" t="n"/>
      <c r="B35" s="67" t="n"/>
      <c r="E35" s="115" t="n"/>
      <c r="F35" s="59" t="n"/>
    </row>
    <row r="36">
      <c r="A36" s="60" t="n"/>
      <c r="B36" s="66" t="n"/>
      <c r="C36" s="61" t="n"/>
      <c r="D36" s="73" t="n"/>
      <c r="E36" s="116" t="n"/>
      <c r="F36" s="62" t="n"/>
    </row>
    <row r="37">
      <c r="A37" s="58" t="n"/>
      <c r="B37" s="67" t="n"/>
      <c r="E37" s="115" t="n"/>
      <c r="F37" s="59" t="n"/>
    </row>
    <row r="38">
      <c r="A38" s="60" t="n"/>
      <c r="B38" s="66" t="n"/>
      <c r="C38" s="61" t="n"/>
      <c r="D38" s="73" t="n"/>
      <c r="E38" s="116" t="n"/>
      <c r="F38" s="62" t="n"/>
    </row>
    <row r="39">
      <c r="A39" s="58" t="n"/>
      <c r="B39" s="67" t="n"/>
      <c r="E39" s="115" t="n"/>
      <c r="F39" s="59" t="n"/>
    </row>
    <row r="40">
      <c r="A40" s="60" t="n"/>
      <c r="B40" s="66" t="n"/>
      <c r="C40" s="61" t="n"/>
      <c r="D40" s="73" t="n"/>
      <c r="E40" s="116" t="n"/>
      <c r="F40" s="62" t="n"/>
    </row>
    <row r="41">
      <c r="A41" s="58" t="n"/>
      <c r="B41" s="67" t="n"/>
      <c r="E41" s="115" t="n"/>
      <c r="F41" s="59" t="n"/>
    </row>
    <row r="42">
      <c r="A42" s="60" t="n"/>
      <c r="B42" s="66" t="n"/>
      <c r="C42" s="61" t="n"/>
      <c r="D42" s="73" t="n"/>
      <c r="E42" s="116" t="n"/>
      <c r="F42" s="62" t="n"/>
    </row>
    <row r="43">
      <c r="A43" s="58" t="n"/>
      <c r="B43" s="67" t="n"/>
      <c r="E43" s="115" t="n"/>
      <c r="F43" s="59" t="n"/>
    </row>
    <row r="44">
      <c r="A44" s="60" t="n"/>
      <c r="B44" s="66" t="n"/>
      <c r="C44" s="61" t="n"/>
      <c r="D44" s="73" t="n"/>
      <c r="E44" s="116" t="n"/>
      <c r="F44" s="62" t="n"/>
    </row>
    <row r="45">
      <c r="A45" s="58" t="n"/>
      <c r="B45" s="67" t="n"/>
      <c r="E45" s="115" t="n"/>
      <c r="F45" s="59" t="n"/>
    </row>
    <row r="46">
      <c r="A46" s="60" t="n"/>
      <c r="B46" s="66" t="n"/>
      <c r="C46" s="61" t="n"/>
      <c r="D46" s="73" t="n"/>
      <c r="E46" s="116" t="n"/>
      <c r="F46" s="62" t="n"/>
    </row>
    <row r="47">
      <c r="A47" s="58" t="n"/>
      <c r="B47" s="67" t="n"/>
      <c r="E47" s="115" t="n"/>
      <c r="F47" s="59" t="n"/>
    </row>
    <row r="48">
      <c r="A48" s="60" t="n"/>
      <c r="B48" s="66" t="n"/>
      <c r="C48" s="61" t="n"/>
      <c r="D48" s="73" t="n"/>
      <c r="E48" s="116" t="n"/>
      <c r="F48" s="62" t="n"/>
    </row>
    <row r="49">
      <c r="A49" s="58" t="n"/>
      <c r="B49" s="67" t="n"/>
      <c r="E49" s="115" t="n"/>
      <c r="F49" s="59" t="n"/>
    </row>
    <row r="50">
      <c r="A50" s="60" t="n"/>
      <c r="B50" s="66" t="n"/>
      <c r="C50" s="61" t="n"/>
      <c r="D50" s="73" t="n"/>
      <c r="E50" s="116" t="n"/>
      <c r="F50" s="62" t="n"/>
    </row>
    <row r="51">
      <c r="A51" s="58" t="n"/>
      <c r="B51" s="67" t="n"/>
      <c r="E51" s="115" t="n"/>
      <c r="F51" s="59" t="n"/>
    </row>
    <row r="52">
      <c r="A52" s="60" t="n"/>
      <c r="B52" s="66" t="n"/>
      <c r="C52" s="61" t="n"/>
      <c r="D52" s="73" t="n"/>
      <c r="E52" s="116" t="n"/>
      <c r="F52" s="62" t="n"/>
    </row>
    <row r="53">
      <c r="A53" s="58" t="n"/>
      <c r="B53" s="67" t="n"/>
      <c r="E53" s="115" t="n"/>
      <c r="F53" s="59" t="n"/>
    </row>
    <row r="54">
      <c r="A54" s="60" t="n"/>
      <c r="B54" s="66" t="n"/>
      <c r="C54" s="61" t="n"/>
      <c r="D54" s="73" t="n"/>
      <c r="E54" s="116" t="n"/>
      <c r="F54" s="62" t="n"/>
    </row>
    <row r="55">
      <c r="A55" s="58" t="n"/>
      <c r="B55" s="67" t="n"/>
      <c r="E55" s="115" t="n"/>
      <c r="F55" s="59" t="n"/>
    </row>
    <row r="56">
      <c r="A56" s="60" t="n"/>
      <c r="B56" s="66" t="n"/>
      <c r="C56" s="61" t="n"/>
      <c r="D56" s="73" t="n"/>
      <c r="E56" s="116" t="n"/>
      <c r="F56" s="62" t="n"/>
    </row>
    <row r="57">
      <c r="A57" s="58" t="n"/>
      <c r="B57" s="67" t="n"/>
      <c r="E57" s="115" t="n"/>
      <c r="F57" s="59" t="n"/>
    </row>
    <row r="58">
      <c r="A58" s="60" t="n"/>
      <c r="B58" s="66" t="n"/>
      <c r="C58" s="61" t="n"/>
      <c r="D58" s="73" t="n"/>
      <c r="E58" s="116" t="n"/>
      <c r="F58" s="62" t="n"/>
    </row>
    <row r="59">
      <c r="A59" s="58" t="n"/>
      <c r="B59" s="67" t="n"/>
      <c r="E59" s="115" t="n"/>
      <c r="F59" s="59" t="n"/>
    </row>
    <row r="60">
      <c r="A60" s="60" t="n"/>
      <c r="B60" s="66" t="n"/>
      <c r="C60" s="61" t="n"/>
      <c r="D60" s="73" t="n"/>
      <c r="E60" s="116" t="n"/>
      <c r="F60" s="62" t="n"/>
    </row>
    <row r="61">
      <c r="A61" s="58" t="n"/>
      <c r="B61" s="67" t="n"/>
      <c r="E61" s="115" t="n"/>
      <c r="F61" s="59" t="n"/>
    </row>
    <row r="62">
      <c r="A62" s="60" t="n"/>
      <c r="B62" s="66" t="n"/>
      <c r="C62" s="61" t="n"/>
      <c r="D62" s="73" t="n"/>
      <c r="E62" s="116" t="n"/>
      <c r="F62" s="62" t="n"/>
    </row>
    <row r="63">
      <c r="A63" s="58" t="n"/>
      <c r="B63" s="67" t="n"/>
      <c r="E63" s="115" t="n"/>
      <c r="F63" s="59" t="n"/>
    </row>
    <row r="64">
      <c r="A64" s="60" t="n"/>
      <c r="B64" s="66" t="n"/>
      <c r="C64" s="61" t="n"/>
      <c r="D64" s="73" t="n"/>
      <c r="E64" s="116" t="n"/>
      <c r="F64" s="62" t="n"/>
    </row>
    <row r="65">
      <c r="A65" s="58" t="n"/>
      <c r="B65" s="67" t="n"/>
      <c r="E65" s="115" t="n"/>
      <c r="F65" s="59" t="n"/>
    </row>
    <row r="66">
      <c r="A66" s="60" t="n"/>
      <c r="B66" s="66" t="n"/>
      <c r="C66" s="61" t="n"/>
      <c r="D66" s="73" t="n"/>
      <c r="E66" s="116" t="n"/>
      <c r="F66" s="62" t="n"/>
    </row>
    <row r="67">
      <c r="A67" s="58" t="n"/>
      <c r="B67" s="67" t="n"/>
      <c r="E67" s="115" t="n"/>
      <c r="F67" s="59" t="n"/>
    </row>
    <row r="68">
      <c r="A68" s="60" t="n"/>
      <c r="B68" s="66" t="n"/>
      <c r="C68" s="61" t="n"/>
      <c r="D68" s="73" t="n"/>
      <c r="E68" s="116" t="n"/>
      <c r="F68" s="62" t="n"/>
    </row>
    <row r="69">
      <c r="A69" s="58" t="n"/>
      <c r="B69" s="67" t="n"/>
      <c r="E69" s="115" t="n"/>
      <c r="F69" s="59" t="n"/>
    </row>
    <row r="70">
      <c r="A70" s="60" t="n"/>
      <c r="B70" s="66" t="n"/>
      <c r="C70" s="61" t="n"/>
      <c r="D70" s="73" t="n"/>
      <c r="E70" s="116" t="n"/>
      <c r="F70" s="62" t="n"/>
    </row>
    <row r="71">
      <c r="A71" s="58" t="n"/>
      <c r="B71" s="67" t="n"/>
      <c r="E71" s="115" t="n"/>
      <c r="F71" s="59" t="n"/>
    </row>
    <row r="72">
      <c r="A72" s="60" t="n"/>
      <c r="B72" s="66" t="n"/>
      <c r="C72" s="61" t="n"/>
      <c r="D72" s="73" t="n"/>
      <c r="E72" s="116" t="n"/>
      <c r="F72" s="62" t="n"/>
    </row>
    <row r="73">
      <c r="A73" s="58" t="n"/>
      <c r="B73" s="67" t="n"/>
      <c r="E73" s="115" t="n"/>
      <c r="F73" s="59" t="n"/>
    </row>
    <row r="74">
      <c r="A74" s="60" t="n"/>
      <c r="B74" s="66" t="n"/>
      <c r="C74" s="61" t="n"/>
      <c r="D74" s="73" t="n"/>
      <c r="E74" s="116" t="n"/>
      <c r="F74" s="62" t="n"/>
    </row>
    <row r="75">
      <c r="A75" s="58" t="n"/>
      <c r="B75" s="67" t="n"/>
      <c r="E75" s="115" t="n"/>
      <c r="F75" s="59" t="n"/>
    </row>
    <row r="76">
      <c r="A76" s="60" t="n"/>
      <c r="B76" s="66" t="n"/>
      <c r="C76" s="61" t="n"/>
      <c r="D76" s="73" t="n"/>
      <c r="E76" s="116" t="n"/>
      <c r="F76" s="62" t="n"/>
    </row>
    <row r="77">
      <c r="A77" s="58" t="n"/>
      <c r="B77" s="67" t="n"/>
      <c r="E77" s="115" t="n"/>
      <c r="F77" s="59" t="n"/>
    </row>
    <row r="78">
      <c r="A78" s="60" t="n"/>
      <c r="B78" s="66" t="n"/>
      <c r="C78" s="61" t="n"/>
      <c r="D78" s="73" t="n"/>
      <c r="E78" s="116" t="n"/>
      <c r="F78" s="62" t="n"/>
    </row>
    <row r="79">
      <c r="A79" s="58" t="n"/>
      <c r="B79" s="67" t="n"/>
      <c r="E79" s="115" t="n"/>
      <c r="F79" s="59" t="n"/>
    </row>
    <row r="80">
      <c r="A80" s="60" t="n"/>
      <c r="B80" s="66" t="n"/>
      <c r="C80" s="61" t="n"/>
      <c r="D80" s="73" t="n"/>
      <c r="E80" s="116" t="n"/>
      <c r="F80" s="62" t="n"/>
    </row>
    <row r="81">
      <c r="A81" s="58" t="n"/>
      <c r="B81" s="67" t="n"/>
      <c r="E81" s="115" t="n"/>
      <c r="F81" s="59" t="n"/>
    </row>
    <row r="82">
      <c r="A82" s="60" t="n"/>
      <c r="B82" s="66" t="n"/>
      <c r="C82" s="61" t="n"/>
      <c r="D82" s="73" t="n"/>
      <c r="E82" s="116" t="n"/>
      <c r="F82" s="62" t="n"/>
    </row>
    <row r="83">
      <c r="A83" s="58" t="n"/>
      <c r="B83" s="67" t="n"/>
      <c r="E83" s="115" t="n"/>
      <c r="F83" s="59" t="n"/>
    </row>
    <row r="84">
      <c r="A84" s="60" t="n"/>
      <c r="B84" s="66" t="n"/>
      <c r="C84" s="61" t="n"/>
      <c r="D84" s="73" t="n"/>
      <c r="E84" s="116" t="n"/>
      <c r="F84" s="62" t="n"/>
    </row>
    <row r="85">
      <c r="A85" s="58" t="n"/>
      <c r="B85" s="67" t="n"/>
      <c r="E85" s="115" t="n"/>
      <c r="F85" s="59" t="n"/>
    </row>
    <row r="86">
      <c r="A86" s="60" t="n"/>
      <c r="B86" s="66" t="n"/>
      <c r="C86" s="61" t="n"/>
      <c r="D86" s="73" t="n"/>
      <c r="E86" s="116" t="n"/>
      <c r="F86" s="62" t="n"/>
    </row>
    <row r="87">
      <c r="A87" s="58" t="n"/>
      <c r="B87" s="67" t="n"/>
      <c r="E87" s="115" t="n"/>
      <c r="F87" s="59" t="n"/>
    </row>
    <row r="88">
      <c r="A88" s="60" t="n"/>
      <c r="B88" s="66" t="n"/>
      <c r="C88" s="61" t="n"/>
      <c r="D88" s="73" t="n"/>
      <c r="E88" s="116" t="n"/>
      <c r="F88" s="62" t="n"/>
    </row>
    <row r="89">
      <c r="A89" s="58" t="n"/>
      <c r="B89" s="67" t="n"/>
      <c r="E89" s="115" t="n"/>
      <c r="F89" s="59" t="n"/>
    </row>
    <row r="90">
      <c r="A90" s="60" t="n"/>
      <c r="B90" s="66" t="n"/>
      <c r="C90" s="61" t="n"/>
      <c r="D90" s="73" t="n"/>
      <c r="E90" s="116" t="n"/>
      <c r="F90" s="62" t="n"/>
    </row>
    <row r="91">
      <c r="A91" s="58" t="n"/>
      <c r="B91" s="67" t="n"/>
      <c r="E91" s="115" t="n"/>
      <c r="F91" s="59" t="n"/>
    </row>
    <row r="92">
      <c r="A92" s="60" t="n"/>
      <c r="B92" s="66" t="n"/>
      <c r="C92" s="61" t="n"/>
      <c r="D92" s="73" t="n"/>
      <c r="E92" s="116" t="n"/>
      <c r="F92" s="62" t="n"/>
    </row>
    <row r="93">
      <c r="A93" s="58" t="n"/>
      <c r="B93" s="67" t="n"/>
      <c r="E93" s="115" t="n"/>
      <c r="F93" s="59" t="n"/>
    </row>
    <row r="94">
      <c r="A94" s="60" t="n"/>
      <c r="B94" s="66" t="n"/>
      <c r="C94" s="61" t="n"/>
      <c r="D94" s="73" t="n"/>
      <c r="E94" s="116" t="n"/>
      <c r="F94" s="62" t="n"/>
    </row>
    <row r="95">
      <c r="A95" s="58" t="n"/>
      <c r="B95" s="67" t="n"/>
      <c r="E95" s="115" t="n"/>
      <c r="F95" s="59" t="n"/>
    </row>
    <row r="96">
      <c r="A96" s="60" t="n"/>
      <c r="B96" s="66" t="n"/>
      <c r="C96" s="61" t="n"/>
      <c r="D96" s="73" t="n"/>
      <c r="E96" s="116" t="n"/>
      <c r="F96" s="62" t="n"/>
    </row>
    <row r="97">
      <c r="A97" s="58" t="n"/>
      <c r="B97" s="67" t="n"/>
      <c r="E97" s="115" t="n"/>
      <c r="F97" s="59" t="n"/>
    </row>
    <row r="98">
      <c r="A98" s="60" t="n"/>
      <c r="B98" s="66" t="n"/>
      <c r="C98" s="61" t="n"/>
      <c r="D98" s="73" t="n"/>
      <c r="E98" s="116" t="n"/>
      <c r="F98" s="62" t="n"/>
    </row>
    <row r="99">
      <c r="A99" s="58" t="n"/>
      <c r="B99" s="67" t="n"/>
      <c r="E99" s="115" t="n"/>
      <c r="F99" s="59" t="n"/>
    </row>
    <row r="100">
      <c r="A100" s="60" t="n"/>
      <c r="B100" s="66" t="n"/>
      <c r="C100" s="61" t="n"/>
      <c r="D100" s="73" t="n"/>
      <c r="E100" s="116" t="n"/>
      <c r="F100" s="62" t="n"/>
    </row>
    <row r="101">
      <c r="A101" s="58" t="n"/>
      <c r="B101" s="67" t="n"/>
      <c r="E101" s="115" t="n"/>
      <c r="F101" s="59" t="n"/>
    </row>
    <row r="102">
      <c r="A102" s="60" t="n"/>
      <c r="B102" s="66" t="n"/>
      <c r="C102" s="61" t="n"/>
      <c r="D102" s="73" t="n"/>
      <c r="E102" s="116" t="n"/>
      <c r="F102" s="62" t="n"/>
    </row>
    <row r="103">
      <c r="A103" s="58" t="n"/>
      <c r="B103" s="67" t="n"/>
      <c r="E103" s="115" t="n"/>
      <c r="F103" s="59" t="n"/>
    </row>
    <row r="104">
      <c r="A104" s="60" t="n"/>
      <c r="B104" s="66" t="n"/>
      <c r="C104" s="61" t="n"/>
      <c r="D104" s="73" t="n"/>
      <c r="E104" s="116" t="n"/>
      <c r="F104" s="62" t="n"/>
    </row>
    <row r="105">
      <c r="A105" s="58" t="n"/>
      <c r="B105" s="67" t="n"/>
      <c r="E105" s="115" t="n"/>
      <c r="F105" s="59" t="n"/>
    </row>
    <row r="106">
      <c r="A106" s="60" t="n"/>
      <c r="B106" s="66" t="n"/>
      <c r="C106" s="61" t="n"/>
      <c r="D106" s="73" t="n"/>
      <c r="E106" s="116" t="n"/>
      <c r="F106" s="62" t="n"/>
    </row>
    <row r="107">
      <c r="A107" s="58" t="n"/>
      <c r="B107" s="67" t="n"/>
      <c r="E107" s="115" t="n"/>
      <c r="F107" s="59" t="n"/>
    </row>
    <row r="108">
      <c r="A108" s="60" t="n"/>
      <c r="B108" s="66" t="n"/>
      <c r="C108" s="61" t="n"/>
      <c r="D108" s="73" t="n"/>
      <c r="E108" s="116" t="n"/>
      <c r="F108" s="62" t="n"/>
    </row>
    <row r="109">
      <c r="A109" s="58" t="n"/>
      <c r="B109" s="67" t="n"/>
      <c r="E109" s="115" t="n"/>
      <c r="F109" s="59" t="n"/>
    </row>
    <row r="110">
      <c r="A110" s="60" t="n"/>
      <c r="B110" s="66" t="n"/>
      <c r="C110" s="61" t="n"/>
      <c r="D110" s="73" t="n"/>
      <c r="E110" s="116" t="n"/>
      <c r="F110" s="62" t="n"/>
    </row>
    <row r="111">
      <c r="A111" s="58" t="n"/>
      <c r="B111" s="67" t="n"/>
      <c r="E111" s="115" t="n"/>
      <c r="F111" s="59" t="n"/>
    </row>
    <row r="112">
      <c r="A112" s="60" t="n"/>
      <c r="B112" s="66" t="n"/>
      <c r="C112" s="61" t="n"/>
      <c r="D112" s="73" t="n"/>
      <c r="E112" s="116" t="n"/>
      <c r="F112" s="62" t="n"/>
    </row>
    <row r="113">
      <c r="A113" s="58" t="n"/>
      <c r="B113" s="67" t="n"/>
      <c r="E113" s="115" t="n"/>
      <c r="F113" s="59" t="n"/>
    </row>
    <row r="114">
      <c r="A114" s="60" t="n"/>
      <c r="B114" s="66" t="n"/>
      <c r="C114" s="61" t="n"/>
      <c r="D114" s="73" t="n"/>
      <c r="E114" s="116" t="n"/>
      <c r="F114" s="62" t="n"/>
    </row>
    <row r="115">
      <c r="A115" s="58" t="n"/>
      <c r="B115" s="67" t="n"/>
      <c r="E115" s="115" t="n"/>
      <c r="F115" s="59" t="n"/>
    </row>
    <row r="116">
      <c r="A116" s="60" t="n"/>
      <c r="B116" s="66" t="n"/>
      <c r="C116" s="61" t="n"/>
      <c r="D116" s="73" t="n"/>
      <c r="E116" s="116" t="n"/>
      <c r="F116" s="62" t="n"/>
    </row>
    <row r="117">
      <c r="A117" s="58" t="n"/>
      <c r="B117" s="67" t="n"/>
      <c r="E117" s="115" t="n"/>
      <c r="F117" s="59" t="n"/>
    </row>
    <row r="118">
      <c r="A118" s="60" t="n"/>
      <c r="B118" s="66" t="n"/>
      <c r="C118" s="61" t="n"/>
      <c r="D118" s="73" t="n"/>
      <c r="E118" s="116" t="n"/>
      <c r="F118" s="62" t="n"/>
    </row>
    <row r="119">
      <c r="A119" s="58" t="n"/>
      <c r="B119" s="67" t="n"/>
      <c r="E119" s="115" t="n"/>
      <c r="F119" s="59" t="n"/>
    </row>
    <row r="120">
      <c r="A120" s="60" t="n"/>
      <c r="B120" s="66" t="n"/>
      <c r="C120" s="61" t="n"/>
      <c r="D120" s="73" t="n"/>
      <c r="E120" s="116" t="n"/>
      <c r="F120" s="62" t="n"/>
    </row>
    <row r="121">
      <c r="A121" s="58" t="n"/>
      <c r="B121" s="67" t="n"/>
      <c r="E121" s="115" t="n"/>
      <c r="F121" s="59" t="n"/>
    </row>
    <row r="122">
      <c r="A122" s="60" t="n"/>
      <c r="B122" s="66" t="n"/>
      <c r="C122" s="61" t="n"/>
      <c r="D122" s="73" t="n"/>
      <c r="E122" s="116" t="n"/>
      <c r="F122" s="62" t="n"/>
    </row>
    <row r="123">
      <c r="A123" s="58" t="n"/>
      <c r="B123" s="67" t="n"/>
      <c r="E123" s="115" t="n"/>
      <c r="F123" s="59" t="n"/>
    </row>
    <row r="124">
      <c r="A124" s="60" t="n"/>
      <c r="B124" s="66" t="n"/>
      <c r="C124" s="61" t="n"/>
      <c r="D124" s="73" t="n"/>
      <c r="E124" s="116" t="n"/>
      <c r="F124" s="62" t="n"/>
    </row>
    <row r="125">
      <c r="A125" s="58" t="n"/>
      <c r="B125" s="67" t="n"/>
      <c r="E125" s="115" t="n"/>
      <c r="F125" s="59" t="n"/>
    </row>
    <row r="126">
      <c r="A126" s="60" t="n"/>
      <c r="B126" s="66" t="n"/>
      <c r="C126" s="61" t="n"/>
      <c r="D126" s="73" t="n"/>
      <c r="E126" s="116" t="n"/>
      <c r="F126" s="62" t="n"/>
    </row>
    <row r="127">
      <c r="A127" s="58" t="n"/>
      <c r="B127" s="67" t="n"/>
      <c r="E127" s="115" t="n"/>
      <c r="F127" s="59" t="n"/>
    </row>
    <row r="128">
      <c r="A128" s="60" t="n"/>
      <c r="B128" s="66" t="n"/>
      <c r="C128" s="61" t="n"/>
      <c r="D128" s="73" t="n"/>
      <c r="E128" s="116" t="n"/>
      <c r="F128" s="62" t="n"/>
    </row>
    <row r="129">
      <c r="A129" s="58" t="n"/>
      <c r="B129" s="67" t="n"/>
      <c r="E129" s="115" t="n"/>
      <c r="F129" s="59" t="n"/>
    </row>
    <row r="130">
      <c r="A130" s="60" t="n"/>
      <c r="B130" s="66" t="n"/>
      <c r="C130" s="61" t="n"/>
      <c r="D130" s="73" t="n"/>
      <c r="E130" s="116" t="n"/>
      <c r="F130" s="62" t="n"/>
    </row>
    <row r="131">
      <c r="A131" s="58" t="n"/>
      <c r="B131" s="67" t="n"/>
      <c r="E131" s="115" t="n"/>
      <c r="F131" s="59" t="n"/>
    </row>
    <row r="132">
      <c r="A132" s="60" t="n"/>
      <c r="B132" s="66" t="n"/>
      <c r="C132" s="61" t="n"/>
      <c r="D132" s="73" t="n"/>
      <c r="E132" s="116" t="n"/>
      <c r="F132" s="62" t="n"/>
    </row>
    <row r="133">
      <c r="A133" s="58" t="n"/>
      <c r="B133" s="67" t="n"/>
      <c r="E133" s="115" t="n"/>
      <c r="F133" s="59" t="n"/>
    </row>
    <row r="134">
      <c r="A134" s="60" t="n"/>
      <c r="B134" s="66" t="n"/>
      <c r="C134" s="61" t="n"/>
      <c r="D134" s="73" t="n"/>
      <c r="E134" s="116" t="n"/>
      <c r="F134" s="62" t="n"/>
    </row>
    <row r="135">
      <c r="A135" s="58" t="n"/>
      <c r="B135" s="67" t="n"/>
      <c r="E135" s="115" t="n"/>
      <c r="F135" s="59" t="n"/>
    </row>
    <row r="136">
      <c r="A136" s="60" t="n"/>
      <c r="B136" s="66" t="n"/>
      <c r="C136" s="61" t="n"/>
      <c r="D136" s="73" t="n"/>
      <c r="E136" s="116" t="n"/>
      <c r="F136" s="62" t="n"/>
    </row>
    <row r="137">
      <c r="A137" s="58" t="n"/>
      <c r="B137" s="67" t="n"/>
      <c r="E137" s="115" t="n"/>
      <c r="F137" s="59" t="n"/>
    </row>
    <row r="138">
      <c r="A138" s="60" t="n"/>
      <c r="B138" s="66" t="n"/>
      <c r="C138" s="61" t="n"/>
      <c r="D138" s="73" t="n"/>
      <c r="E138" s="116" t="n"/>
      <c r="F138" s="62" t="n"/>
    </row>
    <row r="139">
      <c r="A139" s="58" t="n"/>
      <c r="B139" s="67" t="n"/>
      <c r="E139" s="115" t="n"/>
      <c r="F139" s="59" t="n"/>
    </row>
    <row r="140">
      <c r="A140" s="60" t="n"/>
      <c r="B140" s="66" t="n"/>
      <c r="C140" s="61" t="n"/>
      <c r="D140" s="73" t="n"/>
      <c r="E140" s="116" t="n"/>
      <c r="F140" s="62" t="n"/>
    </row>
    <row r="141">
      <c r="A141" s="58" t="n"/>
      <c r="B141" s="67" t="n"/>
      <c r="E141" s="115" t="n"/>
      <c r="F141" s="59" t="n"/>
    </row>
    <row r="142">
      <c r="A142" s="60" t="n"/>
      <c r="B142" s="66" t="n"/>
      <c r="C142" s="61" t="n"/>
      <c r="D142" s="73" t="n"/>
      <c r="E142" s="116" t="n"/>
      <c r="F142" s="62" t="n"/>
    </row>
    <row r="143">
      <c r="A143" s="58" t="n"/>
      <c r="B143" s="67" t="n"/>
      <c r="E143" s="115" t="n"/>
      <c r="F143" s="59" t="n"/>
    </row>
    <row r="144">
      <c r="A144" s="60" t="n"/>
      <c r="B144" s="66" t="n"/>
      <c r="C144" s="61" t="n"/>
      <c r="D144" s="73" t="n"/>
      <c r="E144" s="116" t="n"/>
      <c r="F144" s="62" t="n"/>
    </row>
    <row r="145">
      <c r="A145" s="58" t="n"/>
      <c r="B145" s="67" t="n"/>
      <c r="E145" s="115" t="n"/>
      <c r="F145" s="59" t="n"/>
    </row>
    <row r="146">
      <c r="A146" s="60" t="n"/>
      <c r="B146" s="66" t="n"/>
      <c r="C146" s="61" t="n"/>
      <c r="D146" s="73" t="n"/>
      <c r="E146" s="116" t="n"/>
      <c r="F146" s="62" t="n"/>
    </row>
    <row r="147">
      <c r="A147" s="58" t="n"/>
      <c r="B147" s="67" t="n"/>
      <c r="E147" s="115" t="n"/>
      <c r="F147" s="59" t="n"/>
    </row>
    <row r="148">
      <c r="A148" s="60" t="n"/>
      <c r="B148" s="66" t="n"/>
      <c r="C148" s="61" t="n"/>
      <c r="D148" s="73" t="n"/>
      <c r="E148" s="116" t="n"/>
      <c r="F148" s="62" t="n"/>
    </row>
    <row r="149">
      <c r="A149" s="58" t="n"/>
      <c r="B149" s="67" t="n"/>
      <c r="E149" s="115" t="n"/>
      <c r="F149" s="59" t="n"/>
    </row>
    <row r="150" ht="15" customHeight="1" thickBot="1">
      <c r="A150" s="63" t="n"/>
      <c r="B150" s="70" t="n"/>
      <c r="C150" s="64" t="n"/>
      <c r="D150" s="74" t="n"/>
      <c r="E150" s="117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18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19" t="inlineStr">
        <is>
          <t>Quantity</t>
        </is>
      </c>
      <c r="M1" s="120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21" t="inlineStr">
        <is>
          <t>Accrued Costs</t>
        </is>
      </c>
      <c r="R1" s="121" t="inlineStr">
        <is>
          <t>Actual Costs To Date</t>
        </is>
      </c>
      <c r="S1" s="121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22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23" t="inlineStr"/>
      <c r="H3" s="124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23" t="inlineStr"/>
      <c r="H4" s="124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24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24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24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24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24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24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24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24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24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24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24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24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24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24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24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24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24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24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24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24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24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24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24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24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24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24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24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24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23" t="inlineStr"/>
      <c r="H33" s="124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23" t="inlineStr"/>
      <c r="H34" s="124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23" t="inlineStr"/>
      <c r="H35" s="124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23" t="inlineStr"/>
      <c r="H36" s="124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23" t="inlineStr"/>
      <c r="H37" s="124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23" t="inlineStr"/>
      <c r="H38" s="124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23" t="inlineStr"/>
      <c r="H39" s="124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23" t="inlineStr"/>
      <c r="H40" s="124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23" t="inlineStr"/>
      <c r="H41" s="124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23" t="inlineStr"/>
      <c r="H42" s="124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23" t="inlineStr"/>
      <c r="H43" s="124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23" t="inlineStr"/>
      <c r="H44" s="124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23" t="n">
        <v>45973</v>
      </c>
      <c r="H45" s="124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23" t="n">
        <v>45973</v>
      </c>
      <c r="H46" s="124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23" t="n">
        <v>45973</v>
      </c>
      <c r="H47" s="124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23" t="n">
        <v>46083</v>
      </c>
      <c r="H48" s="124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23" t="n">
        <v>46083</v>
      </c>
      <c r="H49" s="124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23" t="n">
        <v>46083</v>
      </c>
      <c r="H50" s="124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23" t="n">
        <v>46092</v>
      </c>
      <c r="H51" s="124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23" t="n">
        <v>46092</v>
      </c>
      <c r="H52" s="124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23" t="n">
        <v>46092</v>
      </c>
      <c r="H53" s="124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23" t="n">
        <v>46118</v>
      </c>
      <c r="H54" s="124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23" t="n">
        <v>46118</v>
      </c>
      <c r="H55" s="124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23" t="n">
        <v>46118</v>
      </c>
      <c r="H56" s="124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23" t="n">
        <v>46118</v>
      </c>
      <c r="H57" s="124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23" t="n">
        <v>46118</v>
      </c>
      <c r="H58" s="124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23" t="n">
        <v>46118</v>
      </c>
      <c r="H59" s="124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23" t="n">
        <v>46118</v>
      </c>
      <c r="H60" s="124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23" t="n">
        <v>46118</v>
      </c>
      <c r="H61" s="124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24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24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24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24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24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24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23" t="n">
        <v>46120</v>
      </c>
      <c r="H68" s="124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24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23" t="n">
        <v>46120</v>
      </c>
      <c r="H70" s="124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23" t="n">
        <v>46120</v>
      </c>
      <c r="H71" s="124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24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24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24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24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24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24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24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24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24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24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24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24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24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24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24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24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24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24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24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24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24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24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24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24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24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24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24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24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24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24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24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24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23" t="inlineStr"/>
      <c r="H104" s="124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23" t="inlineStr"/>
      <c r="H105" s="124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24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24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24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24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24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24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24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24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24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24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24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24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23" t="inlineStr"/>
      <c r="H118" s="124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23" t="inlineStr"/>
      <c r="H119" s="124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23" t="inlineStr"/>
      <c r="H120" s="124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24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24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24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24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24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24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24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24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24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24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24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24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24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24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24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23" t="inlineStr"/>
      <c r="H136" s="124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23" t="inlineStr"/>
      <c r="H137" s="124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23" t="inlineStr"/>
      <c r="H138" s="124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23" t="inlineStr"/>
      <c r="H139" s="124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24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24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24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24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24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24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24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24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24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24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24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24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24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24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23" t="inlineStr"/>
      <c r="H154" s="124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24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24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24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24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24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24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24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24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24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24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24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24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24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23" t="inlineStr"/>
      <c r="H168" s="124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23" t="inlineStr"/>
      <c r="H169" s="124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24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24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24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24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24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24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24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24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24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24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24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24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24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23" t="inlineStr"/>
      <c r="H183" s="124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24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24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24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24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24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24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24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24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24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24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24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23" t="inlineStr"/>
      <c r="H195" s="124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23" t="inlineStr"/>
      <c r="H196" s="124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23" t="inlineStr"/>
      <c r="H197" s="124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23" t="inlineStr"/>
      <c r="H198" s="124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23" t="inlineStr"/>
      <c r="H199" s="124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23" t="inlineStr"/>
      <c r="H200" s="124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24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24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24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24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24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24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24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24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24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24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23" t="n">
        <v>46104</v>
      </c>
      <c r="H211" s="124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23" t="n">
        <v>46104</v>
      </c>
      <c r="H212" s="124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23" t="n">
        <v>46104</v>
      </c>
      <c r="H213" s="124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23" t="n">
        <v>46104</v>
      </c>
      <c r="H214" s="124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23" t="n">
        <v>46169</v>
      </c>
      <c r="H215" s="124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24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24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24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24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24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24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24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24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24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24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24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23" t="n">
        <v>46168</v>
      </c>
      <c r="H227" s="124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23" t="inlineStr"/>
      <c r="H228" s="124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24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24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24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24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24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24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24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24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24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24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24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24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24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24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24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24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24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24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24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24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24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24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24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24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24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24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24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24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24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24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24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24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24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24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24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24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24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24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24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24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24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24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24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24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24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24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D275" t="inlineStr"/>
      <c r="E275" t="inlineStr">
        <is>
          <t>OC</t>
        </is>
      </c>
      <c r="F275" t="inlineStr"/>
      <c r="G275" t="inlineStr"/>
      <c r="H275" s="125" t="n">
        <v>46159</v>
      </c>
      <c r="I275" t="inlineStr"/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N275" t="inlineStr"/>
      <c r="O275" t="inlineStr">
        <is>
          <t>18867</t>
        </is>
      </c>
      <c r="P275" t="inlineStr">
        <is>
          <t>REXEL USA, INC.</t>
        </is>
      </c>
      <c r="Q275" s="112" t="n">
        <v>0</v>
      </c>
      <c r="R275" s="112" t="n">
        <v>123.43</v>
      </c>
      <c r="S275" s="112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25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12" t="n">
        <v>0</v>
      </c>
      <c r="R276" s="112" t="n">
        <v>0</v>
      </c>
      <c r="S276" s="112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25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12" t="n">
        <v>0</v>
      </c>
      <c r="R277" s="112" t="n">
        <v>0</v>
      </c>
      <c r="S277" s="112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25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12" t="n">
        <v>0</v>
      </c>
      <c r="R278" s="112" t="n">
        <v>0</v>
      </c>
      <c r="S278" s="112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25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12" t="n">
        <v>0</v>
      </c>
      <c r="R279" s="112" t="n">
        <v>0</v>
      </c>
      <c r="S279" s="112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25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12" t="n">
        <v>0</v>
      </c>
      <c r="R280" s="112" t="n">
        <v>0</v>
      </c>
      <c r="S280" s="112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D281" t="inlineStr"/>
      <c r="E281" t="inlineStr">
        <is>
          <t>EQ</t>
        </is>
      </c>
      <c r="F281" t="inlineStr"/>
      <c r="G281" t="inlineStr"/>
      <c r="H281" s="125" t="n">
        <v>45977</v>
      </c>
      <c r="I281" t="inlineStr"/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N281" t="inlineStr"/>
      <c r="O281" t="inlineStr">
        <is>
          <t>BH235</t>
        </is>
      </c>
      <c r="P281" t="inlineStr"/>
      <c r="Q281" s="112" t="n">
        <v>0</v>
      </c>
      <c r="R281" s="112" t="n">
        <v>125</v>
      </c>
      <c r="S281" s="112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D282" t="inlineStr"/>
      <c r="E282" t="inlineStr">
        <is>
          <t>EQ</t>
        </is>
      </c>
      <c r="F282" t="inlineStr"/>
      <c r="G282" t="inlineStr"/>
      <c r="H282" s="125" t="n">
        <v>45977</v>
      </c>
      <c r="I282" t="inlineStr"/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N282" t="inlineStr"/>
      <c r="O282" t="inlineStr">
        <is>
          <t>BH235</t>
        </is>
      </c>
      <c r="P282" t="inlineStr"/>
      <c r="Q282" s="112" t="n">
        <v>0</v>
      </c>
      <c r="R282" s="112" t="n">
        <v>125</v>
      </c>
      <c r="S282" s="112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D283" t="inlineStr"/>
      <c r="E283" t="inlineStr">
        <is>
          <t>EQ</t>
        </is>
      </c>
      <c r="F283" t="inlineStr"/>
      <c r="G283" t="inlineStr"/>
      <c r="H283" s="125" t="n">
        <v>45977</v>
      </c>
      <c r="I283" t="inlineStr"/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N283" t="inlineStr"/>
      <c r="O283" t="inlineStr">
        <is>
          <t>WLD110</t>
        </is>
      </c>
      <c r="P283" t="inlineStr"/>
      <c r="Q283" s="112" t="n">
        <v>0</v>
      </c>
      <c r="R283" s="112" t="n">
        <v>186.27</v>
      </c>
      <c r="S283" s="112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D284" t="inlineStr"/>
      <c r="E284" t="inlineStr">
        <is>
          <t>EQ</t>
        </is>
      </c>
      <c r="F284" t="inlineStr"/>
      <c r="G284" t="inlineStr"/>
      <c r="H284" s="125" t="n">
        <v>45977</v>
      </c>
      <c r="I284" t="inlineStr"/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N284" t="inlineStr"/>
      <c r="O284" t="inlineStr">
        <is>
          <t>WLD110</t>
        </is>
      </c>
      <c r="P284" t="inlineStr"/>
      <c r="Q284" s="112" t="n">
        <v>0</v>
      </c>
      <c r="R284" s="112" t="n">
        <v>186.27</v>
      </c>
      <c r="S284" s="112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D285" t="inlineStr"/>
      <c r="E285" t="inlineStr">
        <is>
          <t>EQ</t>
        </is>
      </c>
      <c r="F285" t="inlineStr"/>
      <c r="G285" t="inlineStr"/>
      <c r="H285" s="125" t="n">
        <v>45977</v>
      </c>
      <c r="I285" t="inlineStr"/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N285" t="inlineStr"/>
      <c r="O285" t="inlineStr">
        <is>
          <t>WLD144</t>
        </is>
      </c>
      <c r="P285" t="inlineStr"/>
      <c r="Q285" s="112" t="n">
        <v>0</v>
      </c>
      <c r="R285" s="112" t="n">
        <v>0</v>
      </c>
      <c r="S285" s="112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D286" t="inlineStr"/>
      <c r="E286" t="inlineStr">
        <is>
          <t>EQ</t>
        </is>
      </c>
      <c r="F286" t="inlineStr"/>
      <c r="G286" t="inlineStr"/>
      <c r="H286" s="125" t="n">
        <v>45977</v>
      </c>
      <c r="I286" t="inlineStr"/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N286" t="inlineStr"/>
      <c r="O286" t="inlineStr">
        <is>
          <t>WLD144</t>
        </is>
      </c>
      <c r="P286" t="inlineStr"/>
      <c r="Q286" s="112" t="n">
        <v>0</v>
      </c>
      <c r="R286" s="112" t="n">
        <v>0</v>
      </c>
      <c r="S286" s="112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D287" t="inlineStr"/>
      <c r="E287" t="inlineStr">
        <is>
          <t>EQ</t>
        </is>
      </c>
      <c r="F287" t="inlineStr"/>
      <c r="G287" t="inlineStr"/>
      <c r="H287" s="125" t="n">
        <v>45984</v>
      </c>
      <c r="I287" t="inlineStr"/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N287" t="inlineStr"/>
      <c r="O287" t="inlineStr">
        <is>
          <t>BH235</t>
        </is>
      </c>
      <c r="P287" t="inlineStr"/>
      <c r="Q287" s="112" t="n">
        <v>0</v>
      </c>
      <c r="R287" s="112" t="n">
        <v>125</v>
      </c>
      <c r="S287" s="112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D288" t="inlineStr"/>
      <c r="E288" t="inlineStr">
        <is>
          <t>EQ</t>
        </is>
      </c>
      <c r="F288" t="inlineStr"/>
      <c r="G288" t="inlineStr"/>
      <c r="H288" s="125" t="n">
        <v>45984</v>
      </c>
      <c r="I288" t="inlineStr"/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N288" t="inlineStr"/>
      <c r="O288" t="inlineStr">
        <is>
          <t>WLD110</t>
        </is>
      </c>
      <c r="P288" t="inlineStr"/>
      <c r="Q288" s="112" t="n">
        <v>0</v>
      </c>
      <c r="R288" s="112" t="n">
        <v>186.27</v>
      </c>
      <c r="S288" s="112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D289" t="inlineStr"/>
      <c r="E289" t="inlineStr">
        <is>
          <t>EQ</t>
        </is>
      </c>
      <c r="F289" t="inlineStr"/>
      <c r="G289" t="inlineStr"/>
      <c r="H289" s="125" t="n">
        <v>45984</v>
      </c>
      <c r="I289" t="inlineStr"/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N289" t="inlineStr"/>
      <c r="O289" t="inlineStr">
        <is>
          <t>WLD144</t>
        </is>
      </c>
      <c r="P289" t="inlineStr"/>
      <c r="Q289" s="112" t="n">
        <v>0</v>
      </c>
      <c r="R289" s="112" t="n">
        <v>0</v>
      </c>
      <c r="S289" s="112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D290" t="inlineStr"/>
      <c r="E290" t="inlineStr">
        <is>
          <t>EQ</t>
        </is>
      </c>
      <c r="F290" t="inlineStr"/>
      <c r="G290" t="inlineStr"/>
      <c r="H290" s="125" t="n">
        <v>45998</v>
      </c>
      <c r="I290" t="inlineStr"/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N290" t="inlineStr"/>
      <c r="O290" t="inlineStr">
        <is>
          <t>WLD110</t>
        </is>
      </c>
      <c r="P290" t="inlineStr"/>
      <c r="Q290" s="112" t="n">
        <v>0</v>
      </c>
      <c r="R290" s="112" t="n">
        <v>186.27</v>
      </c>
      <c r="S290" s="112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D291" t="inlineStr"/>
      <c r="E291" t="inlineStr">
        <is>
          <t>EQ</t>
        </is>
      </c>
      <c r="F291" t="inlineStr"/>
      <c r="G291" t="inlineStr"/>
      <c r="H291" s="125" t="n">
        <v>45998</v>
      </c>
      <c r="I291" t="inlineStr"/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N291" t="inlineStr"/>
      <c r="O291" t="inlineStr">
        <is>
          <t>WLD110</t>
        </is>
      </c>
      <c r="P291" t="inlineStr"/>
      <c r="Q291" s="112" t="n">
        <v>0</v>
      </c>
      <c r="R291" s="112" t="n">
        <v>186.27</v>
      </c>
      <c r="S291" s="112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D292" t="inlineStr"/>
      <c r="E292" t="inlineStr">
        <is>
          <t>EQ</t>
        </is>
      </c>
      <c r="F292" t="inlineStr"/>
      <c r="G292" t="inlineStr"/>
      <c r="H292" s="125" t="n">
        <v>46081</v>
      </c>
      <c r="I292" t="inlineStr"/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N292" t="inlineStr"/>
      <c r="O292" t="inlineStr">
        <is>
          <t>WLV106</t>
        </is>
      </c>
      <c r="P292" t="inlineStr"/>
      <c r="Q292" s="112" t="n">
        <v>0</v>
      </c>
      <c r="R292" s="112" t="n">
        <v>79.14</v>
      </c>
      <c r="S292" s="112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D293" t="inlineStr"/>
      <c r="E293" t="inlineStr">
        <is>
          <t>EQ</t>
        </is>
      </c>
      <c r="F293" t="inlineStr"/>
      <c r="G293" t="inlineStr"/>
      <c r="H293" s="125" t="n">
        <v>46081</v>
      </c>
      <c r="I293" t="inlineStr"/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N293" t="inlineStr"/>
      <c r="O293" t="inlineStr">
        <is>
          <t>WLV106</t>
        </is>
      </c>
      <c r="P293" t="inlineStr"/>
      <c r="Q293" s="112" t="n">
        <v>0</v>
      </c>
      <c r="R293" s="112" t="n">
        <v>79.14</v>
      </c>
      <c r="S293" s="112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D294" t="inlineStr"/>
      <c r="E294" t="inlineStr">
        <is>
          <t>EQ</t>
        </is>
      </c>
      <c r="F294" t="inlineStr"/>
      <c r="G294" t="inlineStr"/>
      <c r="H294" s="125" t="n">
        <v>46081</v>
      </c>
      <c r="I294" t="inlineStr"/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N294" t="inlineStr"/>
      <c r="O294" t="inlineStr">
        <is>
          <t>WLV106</t>
        </is>
      </c>
      <c r="P294" t="inlineStr"/>
      <c r="Q294" s="112" t="n">
        <v>0</v>
      </c>
      <c r="R294" s="112" t="n">
        <v>79.14</v>
      </c>
      <c r="S294" s="112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D295" t="inlineStr"/>
      <c r="E295" t="inlineStr">
        <is>
          <t>EQ</t>
        </is>
      </c>
      <c r="F295" t="inlineStr"/>
      <c r="G295" t="inlineStr"/>
      <c r="H295" s="125" t="n">
        <v>46081</v>
      </c>
      <c r="I295" t="inlineStr"/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N295" t="inlineStr"/>
      <c r="O295" t="inlineStr">
        <is>
          <t>WLV106</t>
        </is>
      </c>
      <c r="P295" t="inlineStr"/>
      <c r="Q295" s="112" t="n">
        <v>0</v>
      </c>
      <c r="R295" s="112" t="n">
        <v>79.14</v>
      </c>
      <c r="S295" s="112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D296" t="inlineStr"/>
      <c r="E296" t="inlineStr">
        <is>
          <t>EQ</t>
        </is>
      </c>
      <c r="F296" t="inlineStr"/>
      <c r="G296" t="inlineStr"/>
      <c r="H296" s="125" t="n">
        <v>46081</v>
      </c>
      <c r="I296" t="inlineStr"/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N296" t="inlineStr"/>
      <c r="O296" t="inlineStr">
        <is>
          <t>WLV106</t>
        </is>
      </c>
      <c r="P296" t="inlineStr"/>
      <c r="Q296" s="112" t="n">
        <v>0</v>
      </c>
      <c r="R296" s="112" t="n">
        <v>79.14</v>
      </c>
      <c r="S296" s="112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D297" t="inlineStr"/>
      <c r="E297" t="inlineStr">
        <is>
          <t>EQ</t>
        </is>
      </c>
      <c r="F297" t="inlineStr"/>
      <c r="G297" t="inlineStr"/>
      <c r="H297" s="125" t="n">
        <v>46081</v>
      </c>
      <c r="I297" t="inlineStr"/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N297" t="inlineStr"/>
      <c r="O297" t="inlineStr">
        <is>
          <t>WLV106</t>
        </is>
      </c>
      <c r="P297" t="inlineStr"/>
      <c r="Q297" s="112" t="n">
        <v>0</v>
      </c>
      <c r="R297" s="112" t="n">
        <v>79.14</v>
      </c>
      <c r="S297" s="112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D298" t="inlineStr"/>
      <c r="E298" t="inlineStr">
        <is>
          <t>EQ</t>
        </is>
      </c>
      <c r="F298" t="inlineStr"/>
      <c r="G298" t="inlineStr"/>
      <c r="H298" s="125" t="n">
        <v>46089</v>
      </c>
      <c r="I298" t="inlineStr"/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N298" t="inlineStr"/>
      <c r="O298" t="inlineStr">
        <is>
          <t>WLV106</t>
        </is>
      </c>
      <c r="P298" t="inlineStr"/>
      <c r="Q298" s="112" t="n">
        <v>0</v>
      </c>
      <c r="R298" s="112" t="n">
        <v>79.14</v>
      </c>
      <c r="S298" s="112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D299" t="inlineStr"/>
      <c r="E299" t="inlineStr">
        <is>
          <t>EQ</t>
        </is>
      </c>
      <c r="F299" t="inlineStr"/>
      <c r="G299" t="inlineStr"/>
      <c r="H299" s="125" t="n">
        <v>46096</v>
      </c>
      <c r="I299" t="inlineStr"/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N299" t="inlineStr"/>
      <c r="O299" t="inlineStr">
        <is>
          <t>WHV001</t>
        </is>
      </c>
      <c r="P299" t="inlineStr"/>
      <c r="Q299" s="112" t="n">
        <v>0</v>
      </c>
      <c r="R299" s="112" t="n">
        <v>250</v>
      </c>
      <c r="S299" s="112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D300" t="inlineStr"/>
      <c r="E300" t="inlineStr">
        <is>
          <t>EQ</t>
        </is>
      </c>
      <c r="F300" t="inlineStr"/>
      <c r="G300" t="inlineStr"/>
      <c r="H300" s="125" t="n">
        <v>46096</v>
      </c>
      <c r="I300" t="inlineStr"/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N300" t="inlineStr"/>
      <c r="O300" t="inlineStr">
        <is>
          <t>WHV001</t>
        </is>
      </c>
      <c r="P300" t="inlineStr"/>
      <c r="Q300" s="112" t="n">
        <v>0</v>
      </c>
      <c r="R300" s="112" t="n">
        <v>250</v>
      </c>
      <c r="S300" s="112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D301" t="inlineStr"/>
      <c r="E301" t="inlineStr">
        <is>
          <t>EQ</t>
        </is>
      </c>
      <c r="F301" t="inlineStr"/>
      <c r="G301" t="inlineStr"/>
      <c r="H301" s="125" t="n">
        <v>46096</v>
      </c>
      <c r="I301" t="inlineStr"/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N301" t="inlineStr"/>
      <c r="O301" t="inlineStr">
        <is>
          <t>WHV001</t>
        </is>
      </c>
      <c r="P301" t="inlineStr"/>
      <c r="Q301" s="112" t="n">
        <v>0</v>
      </c>
      <c r="R301" s="112" t="n">
        <v>250</v>
      </c>
      <c r="S301" s="112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D302" t="inlineStr"/>
      <c r="E302" t="inlineStr">
        <is>
          <t>EQ</t>
        </is>
      </c>
      <c r="F302" t="inlineStr"/>
      <c r="G302" t="inlineStr"/>
      <c r="H302" s="125" t="n">
        <v>46096</v>
      </c>
      <c r="I302" t="inlineStr"/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N302" t="inlineStr"/>
      <c r="O302" t="inlineStr">
        <is>
          <t>WHV001</t>
        </is>
      </c>
      <c r="P302" t="inlineStr"/>
      <c r="Q302" s="112" t="n">
        <v>0</v>
      </c>
      <c r="R302" s="112" t="n">
        <v>250</v>
      </c>
      <c r="S302" s="112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D303" t="inlineStr"/>
      <c r="E303" t="inlineStr">
        <is>
          <t>EQ</t>
        </is>
      </c>
      <c r="F303" t="inlineStr"/>
      <c r="G303" t="inlineStr"/>
      <c r="H303" s="125" t="n">
        <v>46096</v>
      </c>
      <c r="I303" t="inlineStr"/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N303" t="inlineStr"/>
      <c r="O303" t="inlineStr">
        <is>
          <t>WHV001</t>
        </is>
      </c>
      <c r="P303" t="inlineStr"/>
      <c r="Q303" s="112" t="n">
        <v>0</v>
      </c>
      <c r="R303" s="112" t="n">
        <v>250</v>
      </c>
      <c r="S303" s="112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D304" t="inlineStr"/>
      <c r="E304" t="inlineStr">
        <is>
          <t>EQ</t>
        </is>
      </c>
      <c r="F304" t="inlineStr"/>
      <c r="G304" t="inlineStr"/>
      <c r="H304" s="125" t="n">
        <v>46096</v>
      </c>
      <c r="I304" t="inlineStr"/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N304" t="inlineStr"/>
      <c r="O304" t="inlineStr">
        <is>
          <t>WTL002</t>
        </is>
      </c>
      <c r="P304" t="inlineStr"/>
      <c r="Q304" s="112" t="n">
        <v>0</v>
      </c>
      <c r="R304" s="112" t="n">
        <v>55</v>
      </c>
      <c r="S304" s="112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D305" t="inlineStr"/>
      <c r="E305" t="inlineStr">
        <is>
          <t>EQ</t>
        </is>
      </c>
      <c r="F305" t="inlineStr"/>
      <c r="G305" t="inlineStr"/>
      <c r="H305" s="125" t="n">
        <v>46096</v>
      </c>
      <c r="I305" t="inlineStr"/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N305" t="inlineStr"/>
      <c r="O305" t="inlineStr">
        <is>
          <t>WTL002</t>
        </is>
      </c>
      <c r="P305" t="inlineStr"/>
      <c r="Q305" s="112" t="n">
        <v>0</v>
      </c>
      <c r="R305" s="112" t="n">
        <v>55</v>
      </c>
      <c r="S305" s="112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D306" t="inlineStr"/>
      <c r="E306" t="inlineStr">
        <is>
          <t>EQ</t>
        </is>
      </c>
      <c r="F306" t="inlineStr"/>
      <c r="G306" t="inlineStr"/>
      <c r="H306" s="125" t="n">
        <v>46096</v>
      </c>
      <c r="I306" t="inlineStr"/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N306" t="inlineStr"/>
      <c r="O306" t="inlineStr">
        <is>
          <t>WTL002</t>
        </is>
      </c>
      <c r="P306" t="inlineStr"/>
      <c r="Q306" s="112" t="n">
        <v>0</v>
      </c>
      <c r="R306" s="112" t="n">
        <v>55</v>
      </c>
      <c r="S306" s="112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D307" t="inlineStr"/>
      <c r="E307" t="inlineStr">
        <is>
          <t>EQ</t>
        </is>
      </c>
      <c r="F307" t="inlineStr"/>
      <c r="G307" t="inlineStr"/>
      <c r="H307" s="125" t="n">
        <v>46096</v>
      </c>
      <c r="I307" t="inlineStr"/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N307" t="inlineStr"/>
      <c r="O307" t="inlineStr">
        <is>
          <t>WTL002</t>
        </is>
      </c>
      <c r="P307" t="inlineStr"/>
      <c r="Q307" s="112" t="n">
        <v>0</v>
      </c>
      <c r="R307" s="112" t="n">
        <v>55</v>
      </c>
      <c r="S307" s="112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D308" t="inlineStr"/>
      <c r="E308" t="inlineStr">
        <is>
          <t>EQ</t>
        </is>
      </c>
      <c r="F308" t="inlineStr"/>
      <c r="G308" t="inlineStr"/>
      <c r="H308" s="125" t="n">
        <v>46096</v>
      </c>
      <c r="I308" t="inlineStr"/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N308" t="inlineStr"/>
      <c r="O308" t="inlineStr">
        <is>
          <t>WTL002</t>
        </is>
      </c>
      <c r="P308" t="inlineStr"/>
      <c r="Q308" s="112" t="n">
        <v>0</v>
      </c>
      <c r="R308" s="112" t="n">
        <v>55</v>
      </c>
      <c r="S308" s="112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D309" t="inlineStr"/>
      <c r="E309" t="inlineStr">
        <is>
          <t>EQ</t>
        </is>
      </c>
      <c r="F309" t="inlineStr"/>
      <c r="G309" t="inlineStr"/>
      <c r="H309" s="125" t="n">
        <v>46096</v>
      </c>
      <c r="I309" t="inlineStr"/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N309" t="inlineStr"/>
      <c r="O309" t="inlineStr">
        <is>
          <t>WLV106</t>
        </is>
      </c>
      <c r="P309" t="inlineStr"/>
      <c r="Q309" s="112" t="n">
        <v>0</v>
      </c>
      <c r="R309" s="112" t="n">
        <v>79.14</v>
      </c>
      <c r="S309" s="112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D310" t="inlineStr"/>
      <c r="E310" t="inlineStr">
        <is>
          <t>EQ</t>
        </is>
      </c>
      <c r="F310" t="inlineStr"/>
      <c r="G310" t="inlineStr"/>
      <c r="H310" s="125" t="n">
        <v>46096</v>
      </c>
      <c r="I310" t="inlineStr"/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N310" t="inlineStr"/>
      <c r="O310" t="inlineStr">
        <is>
          <t>WLV106</t>
        </is>
      </c>
      <c r="P310" t="inlineStr"/>
      <c r="Q310" s="112" t="n">
        <v>0</v>
      </c>
      <c r="R310" s="112" t="n">
        <v>79.14</v>
      </c>
      <c r="S310" s="112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D311" t="inlineStr"/>
      <c r="E311" t="inlineStr">
        <is>
          <t>EQ</t>
        </is>
      </c>
      <c r="F311" t="inlineStr"/>
      <c r="G311" t="inlineStr"/>
      <c r="H311" s="125" t="n">
        <v>46096</v>
      </c>
      <c r="I311" t="inlineStr"/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N311" t="inlineStr"/>
      <c r="O311" t="inlineStr">
        <is>
          <t>WLV106</t>
        </is>
      </c>
      <c r="P311" t="inlineStr"/>
      <c r="Q311" s="112" t="n">
        <v>0</v>
      </c>
      <c r="R311" s="112" t="n">
        <v>79.14</v>
      </c>
      <c r="S311" s="112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D312" t="inlineStr"/>
      <c r="E312" t="inlineStr">
        <is>
          <t>EQ</t>
        </is>
      </c>
      <c r="F312" t="inlineStr"/>
      <c r="G312" t="inlineStr"/>
      <c r="H312" s="125" t="n">
        <v>46096</v>
      </c>
      <c r="I312" t="inlineStr"/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N312" t="inlineStr"/>
      <c r="O312" t="inlineStr">
        <is>
          <t>WLV106</t>
        </is>
      </c>
      <c r="P312" t="inlineStr"/>
      <c r="Q312" s="112" t="n">
        <v>0</v>
      </c>
      <c r="R312" s="112" t="n">
        <v>79.14</v>
      </c>
      <c r="S312" s="112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D313" t="inlineStr"/>
      <c r="E313" t="inlineStr">
        <is>
          <t>EQ</t>
        </is>
      </c>
      <c r="F313" t="inlineStr"/>
      <c r="G313" t="inlineStr"/>
      <c r="H313" s="125" t="n">
        <v>46096</v>
      </c>
      <c r="I313" t="inlineStr"/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N313" t="inlineStr"/>
      <c r="O313" t="inlineStr">
        <is>
          <t>WLV106</t>
        </is>
      </c>
      <c r="P313" t="inlineStr"/>
      <c r="Q313" s="112" t="n">
        <v>0</v>
      </c>
      <c r="R313" s="112" t="n">
        <v>79.14</v>
      </c>
      <c r="S313" s="112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D314" t="inlineStr"/>
      <c r="E314" t="inlineStr">
        <is>
          <t>EQ</t>
        </is>
      </c>
      <c r="F314" t="inlineStr"/>
      <c r="G314" t="inlineStr"/>
      <c r="H314" s="125" t="n">
        <v>46096</v>
      </c>
      <c r="I314" t="inlineStr"/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N314" t="inlineStr"/>
      <c r="O314" t="inlineStr">
        <is>
          <t>WLV106</t>
        </is>
      </c>
      <c r="P314" t="inlineStr"/>
      <c r="Q314" s="112" t="n">
        <v>0</v>
      </c>
      <c r="R314" s="112" t="n">
        <v>79.14</v>
      </c>
      <c r="S314" s="112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D315" t="inlineStr"/>
      <c r="E315" t="inlineStr">
        <is>
          <t>EQ</t>
        </is>
      </c>
      <c r="F315" t="inlineStr"/>
      <c r="G315" t="inlineStr"/>
      <c r="H315" s="125" t="n">
        <v>46096</v>
      </c>
      <c r="I315" t="inlineStr"/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N315" t="inlineStr"/>
      <c r="O315" t="inlineStr">
        <is>
          <t>RT1351</t>
        </is>
      </c>
      <c r="P315" t="inlineStr"/>
      <c r="Q315" s="112" t="n">
        <v>0</v>
      </c>
      <c r="R315" s="112" t="n">
        <v>79.14</v>
      </c>
      <c r="S315" s="112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D316" t="inlineStr"/>
      <c r="E316" t="inlineStr">
        <is>
          <t>EQ</t>
        </is>
      </c>
      <c r="F316" t="inlineStr"/>
      <c r="G316" t="inlineStr"/>
      <c r="H316" s="125" t="n">
        <v>46103</v>
      </c>
      <c r="I316" t="inlineStr"/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N316" t="inlineStr"/>
      <c r="O316" t="inlineStr">
        <is>
          <t>RT1351</t>
        </is>
      </c>
      <c r="P316" t="inlineStr"/>
      <c r="Q316" s="112" t="n">
        <v>0</v>
      </c>
      <c r="R316" s="112" t="n">
        <v>79.14</v>
      </c>
      <c r="S316" s="112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D317" t="inlineStr"/>
      <c r="E317" t="inlineStr">
        <is>
          <t>EQ</t>
        </is>
      </c>
      <c r="F317" t="inlineStr"/>
      <c r="G317" t="inlineStr"/>
      <c r="H317" s="125" t="n">
        <v>46103</v>
      </c>
      <c r="I317" t="inlineStr"/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N317" t="inlineStr"/>
      <c r="O317" t="inlineStr">
        <is>
          <t>RT1351</t>
        </is>
      </c>
      <c r="P317" t="inlineStr"/>
      <c r="Q317" s="112" t="n">
        <v>0</v>
      </c>
      <c r="R317" s="112" t="n">
        <v>79.14</v>
      </c>
      <c r="S317" s="112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D318" t="inlineStr"/>
      <c r="E318" t="inlineStr">
        <is>
          <t>EQ</t>
        </is>
      </c>
      <c r="F318" t="inlineStr"/>
      <c r="G318" t="inlineStr"/>
      <c r="H318" s="125" t="n">
        <v>46103</v>
      </c>
      <c r="I318" t="inlineStr"/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N318" t="inlineStr"/>
      <c r="O318" t="inlineStr">
        <is>
          <t>RT1351</t>
        </is>
      </c>
      <c r="P318" t="inlineStr"/>
      <c r="Q318" s="112" t="n">
        <v>0</v>
      </c>
      <c r="R318" s="112" t="n">
        <v>79.14</v>
      </c>
      <c r="S318" s="112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D319" t="inlineStr"/>
      <c r="E319" t="inlineStr">
        <is>
          <t>EQ</t>
        </is>
      </c>
      <c r="F319" t="inlineStr"/>
      <c r="G319" t="inlineStr"/>
      <c r="H319" s="125" t="n">
        <v>46103</v>
      </c>
      <c r="I319" t="inlineStr"/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N319" t="inlineStr"/>
      <c r="O319" t="inlineStr">
        <is>
          <t>RT1351</t>
        </is>
      </c>
      <c r="P319" t="inlineStr"/>
      <c r="Q319" s="112" t="n">
        <v>0</v>
      </c>
      <c r="R319" s="112" t="n">
        <v>79.14</v>
      </c>
      <c r="S319" s="112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D320" t="inlineStr"/>
      <c r="E320" t="inlineStr">
        <is>
          <t>EQ</t>
        </is>
      </c>
      <c r="F320" t="inlineStr"/>
      <c r="G320" t="inlineStr"/>
      <c r="H320" s="125" t="n">
        <v>46103</v>
      </c>
      <c r="I320" t="inlineStr"/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N320" t="inlineStr"/>
      <c r="O320" t="inlineStr">
        <is>
          <t>RT1351</t>
        </is>
      </c>
      <c r="P320" t="inlineStr"/>
      <c r="Q320" s="112" t="n">
        <v>0</v>
      </c>
      <c r="R320" s="112" t="n">
        <v>79.14</v>
      </c>
      <c r="S320" s="112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D321" t="inlineStr"/>
      <c r="E321" t="inlineStr">
        <is>
          <t>EQ</t>
        </is>
      </c>
      <c r="F321" t="inlineStr"/>
      <c r="G321" t="inlineStr"/>
      <c r="H321" s="125" t="n">
        <v>46103</v>
      </c>
      <c r="I321" t="inlineStr"/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N321" t="inlineStr"/>
      <c r="O321" t="inlineStr">
        <is>
          <t>RT1351</t>
        </is>
      </c>
      <c r="P321" t="inlineStr"/>
      <c r="Q321" s="112" t="n">
        <v>0</v>
      </c>
      <c r="R321" s="112" t="n">
        <v>79.14</v>
      </c>
      <c r="S321" s="112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D322" t="inlineStr"/>
      <c r="E322" t="inlineStr">
        <is>
          <t>EQ</t>
        </is>
      </c>
      <c r="F322" t="inlineStr"/>
      <c r="G322" t="inlineStr"/>
      <c r="H322" s="125" t="n">
        <v>46103</v>
      </c>
      <c r="I322" t="inlineStr"/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N322" t="inlineStr"/>
      <c r="O322" t="inlineStr">
        <is>
          <t>WLV106</t>
        </is>
      </c>
      <c r="P322" t="inlineStr"/>
      <c r="Q322" s="112" t="n">
        <v>0</v>
      </c>
      <c r="R322" s="112" t="n">
        <v>79.14</v>
      </c>
      <c r="S322" s="112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D323" t="inlineStr"/>
      <c r="E323" t="inlineStr">
        <is>
          <t>EQ</t>
        </is>
      </c>
      <c r="F323" t="inlineStr"/>
      <c r="G323" t="inlineStr"/>
      <c r="H323" s="125" t="n">
        <v>46103</v>
      </c>
      <c r="I323" t="inlineStr"/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N323" t="inlineStr"/>
      <c r="O323" t="inlineStr">
        <is>
          <t>WLV106</t>
        </is>
      </c>
      <c r="P323" t="inlineStr"/>
      <c r="Q323" s="112" t="n">
        <v>0</v>
      </c>
      <c r="R323" s="112" t="n">
        <v>79.14</v>
      </c>
      <c r="S323" s="112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D324" t="inlineStr"/>
      <c r="E324" t="inlineStr">
        <is>
          <t>EQ</t>
        </is>
      </c>
      <c r="F324" t="inlineStr"/>
      <c r="G324" t="inlineStr"/>
      <c r="H324" s="125" t="n">
        <v>46103</v>
      </c>
      <c r="I324" t="inlineStr"/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N324" t="inlineStr"/>
      <c r="O324" t="inlineStr">
        <is>
          <t>WLV106</t>
        </is>
      </c>
      <c r="P324" t="inlineStr"/>
      <c r="Q324" s="112" t="n">
        <v>0</v>
      </c>
      <c r="R324" s="112" t="n">
        <v>79.14</v>
      </c>
      <c r="S324" s="112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D325" t="inlineStr"/>
      <c r="E325" t="inlineStr">
        <is>
          <t>EQ</t>
        </is>
      </c>
      <c r="F325" t="inlineStr"/>
      <c r="G325" t="inlineStr"/>
      <c r="H325" s="125" t="n">
        <v>46103</v>
      </c>
      <c r="I325" t="inlineStr"/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N325" t="inlineStr"/>
      <c r="O325" t="inlineStr">
        <is>
          <t>WLV106</t>
        </is>
      </c>
      <c r="P325" t="inlineStr"/>
      <c r="Q325" s="112" t="n">
        <v>0</v>
      </c>
      <c r="R325" s="112" t="n">
        <v>79.14</v>
      </c>
      <c r="S325" s="112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D326" t="inlineStr"/>
      <c r="E326" t="inlineStr">
        <is>
          <t>EQ</t>
        </is>
      </c>
      <c r="F326" t="inlineStr"/>
      <c r="G326" t="inlineStr"/>
      <c r="H326" s="125" t="n">
        <v>46103</v>
      </c>
      <c r="I326" t="inlineStr"/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N326" t="inlineStr"/>
      <c r="O326" t="inlineStr">
        <is>
          <t>WHV001</t>
        </is>
      </c>
      <c r="P326" t="inlineStr"/>
      <c r="Q326" s="112" t="n">
        <v>0</v>
      </c>
      <c r="R326" s="112" t="n">
        <v>250</v>
      </c>
      <c r="S326" s="112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D327" t="inlineStr"/>
      <c r="E327" t="inlineStr">
        <is>
          <t>EQ</t>
        </is>
      </c>
      <c r="F327" t="inlineStr"/>
      <c r="G327" t="inlineStr"/>
      <c r="H327" s="125" t="n">
        <v>46103</v>
      </c>
      <c r="I327" t="inlineStr"/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N327" t="inlineStr"/>
      <c r="O327" t="inlineStr">
        <is>
          <t>WHV001</t>
        </is>
      </c>
      <c r="P327" t="inlineStr"/>
      <c r="Q327" s="112" t="n">
        <v>0</v>
      </c>
      <c r="R327" s="112" t="n">
        <v>250</v>
      </c>
      <c r="S327" s="112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D328" t="inlineStr"/>
      <c r="E328" t="inlineStr">
        <is>
          <t>EQ</t>
        </is>
      </c>
      <c r="F328" t="inlineStr"/>
      <c r="G328" t="inlineStr"/>
      <c r="H328" s="125" t="n">
        <v>46103</v>
      </c>
      <c r="I328" t="inlineStr"/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N328" t="inlineStr"/>
      <c r="O328" t="inlineStr">
        <is>
          <t>WHV001</t>
        </is>
      </c>
      <c r="P328" t="inlineStr"/>
      <c r="Q328" s="112" t="n">
        <v>0</v>
      </c>
      <c r="R328" s="112" t="n">
        <v>250</v>
      </c>
      <c r="S328" s="112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D329" t="inlineStr"/>
      <c r="E329" t="inlineStr">
        <is>
          <t>EQ</t>
        </is>
      </c>
      <c r="F329" t="inlineStr"/>
      <c r="G329" t="inlineStr"/>
      <c r="H329" s="125" t="n">
        <v>46103</v>
      </c>
      <c r="I329" t="inlineStr"/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N329" t="inlineStr"/>
      <c r="O329" t="inlineStr">
        <is>
          <t>WHV001</t>
        </is>
      </c>
      <c r="P329" t="inlineStr"/>
      <c r="Q329" s="112" t="n">
        <v>0</v>
      </c>
      <c r="R329" s="112" t="n">
        <v>250</v>
      </c>
      <c r="S329" s="112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D330" t="inlineStr"/>
      <c r="E330" t="inlineStr">
        <is>
          <t>EQ</t>
        </is>
      </c>
      <c r="F330" t="inlineStr"/>
      <c r="G330" t="inlineStr"/>
      <c r="H330" s="125" t="n">
        <v>46103</v>
      </c>
      <c r="I330" t="inlineStr"/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N330" t="inlineStr"/>
      <c r="O330" t="inlineStr">
        <is>
          <t>WHV001</t>
        </is>
      </c>
      <c r="P330" t="inlineStr"/>
      <c r="Q330" s="112" t="n">
        <v>0</v>
      </c>
      <c r="R330" s="112" t="n">
        <v>250</v>
      </c>
      <c r="S330" s="112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D331" t="inlineStr"/>
      <c r="E331" t="inlineStr">
        <is>
          <t>EQ</t>
        </is>
      </c>
      <c r="F331" t="inlineStr"/>
      <c r="G331" t="inlineStr"/>
      <c r="H331" s="125" t="n">
        <v>46103</v>
      </c>
      <c r="I331" t="inlineStr"/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N331" t="inlineStr"/>
      <c r="O331" t="inlineStr">
        <is>
          <t>WHV001</t>
        </is>
      </c>
      <c r="P331" t="inlineStr"/>
      <c r="Q331" s="112" t="n">
        <v>0</v>
      </c>
      <c r="R331" s="112" t="n">
        <v>250</v>
      </c>
      <c r="S331" s="112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D332" t="inlineStr"/>
      <c r="E332" t="inlineStr">
        <is>
          <t>EQ</t>
        </is>
      </c>
      <c r="F332" t="inlineStr"/>
      <c r="G332" t="inlineStr"/>
      <c r="H332" s="125" t="n">
        <v>46103</v>
      </c>
      <c r="I332" t="inlineStr"/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N332" t="inlineStr"/>
      <c r="O332" t="inlineStr">
        <is>
          <t>WTL002</t>
        </is>
      </c>
      <c r="P332" t="inlineStr"/>
      <c r="Q332" s="112" t="n">
        <v>0</v>
      </c>
      <c r="R332" s="112" t="n">
        <v>55</v>
      </c>
      <c r="S332" s="112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D333" t="inlineStr"/>
      <c r="E333" t="inlineStr">
        <is>
          <t>EQ</t>
        </is>
      </c>
      <c r="F333" t="inlineStr"/>
      <c r="G333" s="126" t="inlineStr"/>
      <c r="H333" s="125" t="n">
        <v>46103</v>
      </c>
      <c r="I333" t="inlineStr"/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N333" t="inlineStr"/>
      <c r="O333" t="inlineStr">
        <is>
          <t>WTL002</t>
        </is>
      </c>
      <c r="P333" t="inlineStr"/>
      <c r="Q333" s="112" t="n">
        <v>0</v>
      </c>
      <c r="R333" s="112" t="n">
        <v>55</v>
      </c>
      <c r="S333" s="112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D334" t="inlineStr"/>
      <c r="E334" t="inlineStr">
        <is>
          <t>EQ</t>
        </is>
      </c>
      <c r="F334" t="inlineStr"/>
      <c r="G334" s="126" t="inlineStr"/>
      <c r="H334" s="125" t="n">
        <v>46103</v>
      </c>
      <c r="I334" t="inlineStr"/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N334" t="inlineStr"/>
      <c r="O334" t="inlineStr">
        <is>
          <t>WTL002</t>
        </is>
      </c>
      <c r="P334" t="inlineStr"/>
      <c r="Q334" s="112" t="n">
        <v>0</v>
      </c>
      <c r="R334" s="112" t="n">
        <v>55</v>
      </c>
      <c r="S334" s="112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D335" t="inlineStr"/>
      <c r="E335" t="inlineStr">
        <is>
          <t>EQ</t>
        </is>
      </c>
      <c r="F335" t="inlineStr"/>
      <c r="G335" s="126" t="inlineStr"/>
      <c r="H335" s="125" t="n">
        <v>46103</v>
      </c>
      <c r="I335" t="inlineStr"/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N335" t="inlineStr"/>
      <c r="O335" t="inlineStr">
        <is>
          <t>WTL002</t>
        </is>
      </c>
      <c r="P335" t="inlineStr"/>
      <c r="Q335" s="112" t="n">
        <v>0</v>
      </c>
      <c r="R335" s="112" t="n">
        <v>55</v>
      </c>
      <c r="S335" s="112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D336" t="inlineStr"/>
      <c r="E336" t="inlineStr">
        <is>
          <t>EQ</t>
        </is>
      </c>
      <c r="F336" t="inlineStr"/>
      <c r="G336" s="126" t="inlineStr"/>
      <c r="H336" s="125" t="n">
        <v>46103</v>
      </c>
      <c r="I336" t="inlineStr"/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N336" t="inlineStr"/>
      <c r="O336" t="inlineStr">
        <is>
          <t>WTL002</t>
        </is>
      </c>
      <c r="P336" t="inlineStr"/>
      <c r="Q336" s="112" t="n">
        <v>0</v>
      </c>
      <c r="R336" s="112" t="n">
        <v>55</v>
      </c>
      <c r="S336" s="112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D337" t="inlineStr"/>
      <c r="E337" t="inlineStr">
        <is>
          <t>EQ</t>
        </is>
      </c>
      <c r="F337" t="inlineStr"/>
      <c r="G337" s="126" t="inlineStr"/>
      <c r="H337" s="125" t="n">
        <v>46103</v>
      </c>
      <c r="I337" t="inlineStr"/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N337" t="inlineStr"/>
      <c r="O337" t="inlineStr">
        <is>
          <t>WLV106</t>
        </is>
      </c>
      <c r="P337" t="inlineStr"/>
      <c r="Q337" s="112" t="n">
        <v>0</v>
      </c>
      <c r="R337" s="112" t="n">
        <v>79.14</v>
      </c>
      <c r="S337" s="112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D338" t="inlineStr"/>
      <c r="E338" t="inlineStr">
        <is>
          <t>EQ</t>
        </is>
      </c>
      <c r="F338" t="inlineStr"/>
      <c r="G338" t="inlineStr"/>
      <c r="H338" s="125" t="n">
        <v>46103</v>
      </c>
      <c r="I338" t="inlineStr"/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N338" t="inlineStr"/>
      <c r="O338" t="inlineStr">
        <is>
          <t>WLV106</t>
        </is>
      </c>
      <c r="P338" t="inlineStr"/>
      <c r="Q338" s="112" t="n">
        <v>0</v>
      </c>
      <c r="R338" s="112" t="n">
        <v>79.14</v>
      </c>
      <c r="S338" s="112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D339" t="inlineStr"/>
      <c r="E339" t="inlineStr">
        <is>
          <t>EQ</t>
        </is>
      </c>
      <c r="F339" t="inlineStr"/>
      <c r="G339" t="inlineStr"/>
      <c r="H339" s="125" t="n">
        <v>46103</v>
      </c>
      <c r="I339" t="inlineStr"/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N339" t="inlineStr"/>
      <c r="O339" t="inlineStr">
        <is>
          <t>WTL002</t>
        </is>
      </c>
      <c r="P339" t="inlineStr"/>
      <c r="Q339" s="112" t="n">
        <v>0</v>
      </c>
      <c r="R339" s="112" t="n">
        <v>55</v>
      </c>
      <c r="S339" s="112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D340" t="inlineStr"/>
      <c r="E340" t="inlineStr">
        <is>
          <t>EQ</t>
        </is>
      </c>
      <c r="F340" t="inlineStr"/>
      <c r="G340" t="inlineStr"/>
      <c r="H340" s="125" t="n">
        <v>46110</v>
      </c>
      <c r="I340" t="inlineStr"/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N340" t="inlineStr"/>
      <c r="O340" t="inlineStr">
        <is>
          <t>WTL002</t>
        </is>
      </c>
      <c r="P340" t="inlineStr"/>
      <c r="Q340" s="112" t="n">
        <v>0</v>
      </c>
      <c r="R340" s="112" t="n">
        <v>55</v>
      </c>
      <c r="S340" s="112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D341" t="inlineStr"/>
      <c r="E341" t="inlineStr">
        <is>
          <t>EQ</t>
        </is>
      </c>
      <c r="F341" t="inlineStr"/>
      <c r="G341" t="inlineStr"/>
      <c r="H341" s="125" t="n">
        <v>46110</v>
      </c>
      <c r="I341" t="inlineStr"/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N341" t="inlineStr"/>
      <c r="O341" t="inlineStr">
        <is>
          <t>WTL002</t>
        </is>
      </c>
      <c r="P341" t="inlineStr"/>
      <c r="Q341" s="112" t="n">
        <v>0</v>
      </c>
      <c r="R341" s="112" t="n">
        <v>55</v>
      </c>
      <c r="S341" s="112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D342" t="inlineStr"/>
      <c r="E342" t="inlineStr">
        <is>
          <t>EQ</t>
        </is>
      </c>
      <c r="F342" t="inlineStr"/>
      <c r="G342" s="126" t="inlineStr"/>
      <c r="H342" s="125" t="n">
        <v>46110</v>
      </c>
      <c r="I342" t="inlineStr"/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N342" t="inlineStr"/>
      <c r="O342" t="inlineStr">
        <is>
          <t>WTL002</t>
        </is>
      </c>
      <c r="P342" t="inlineStr"/>
      <c r="Q342" s="112" t="n">
        <v>0</v>
      </c>
      <c r="R342" s="112" t="n">
        <v>55</v>
      </c>
      <c r="S342" s="112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D343" t="inlineStr"/>
      <c r="E343" t="inlineStr">
        <is>
          <t>EQ</t>
        </is>
      </c>
      <c r="F343" t="inlineStr"/>
      <c r="G343" s="126" t="inlineStr"/>
      <c r="H343" s="125" t="n">
        <v>46110</v>
      </c>
      <c r="I343" t="inlineStr"/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N343" t="inlineStr"/>
      <c r="O343" t="inlineStr">
        <is>
          <t>WTL002</t>
        </is>
      </c>
      <c r="P343" t="inlineStr"/>
      <c r="Q343" s="112" t="n">
        <v>0</v>
      </c>
      <c r="R343" s="112" t="n">
        <v>55</v>
      </c>
      <c r="S343" s="112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D344" t="inlineStr"/>
      <c r="E344" t="inlineStr">
        <is>
          <t>EQ</t>
        </is>
      </c>
      <c r="F344" t="inlineStr"/>
      <c r="G344" s="126" t="inlineStr"/>
      <c r="H344" s="125" t="n">
        <v>46110</v>
      </c>
      <c r="I344" t="inlineStr"/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N344" t="inlineStr"/>
      <c r="O344" t="inlineStr">
        <is>
          <t>WTL002</t>
        </is>
      </c>
      <c r="P344" t="inlineStr"/>
      <c r="Q344" s="112" t="n">
        <v>0</v>
      </c>
      <c r="R344" s="112" t="n">
        <v>55</v>
      </c>
      <c r="S344" s="112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D345" t="inlineStr"/>
      <c r="E345" t="inlineStr">
        <is>
          <t>EQ</t>
        </is>
      </c>
      <c r="F345" t="inlineStr"/>
      <c r="G345" s="126" t="inlineStr"/>
      <c r="H345" s="125" t="n">
        <v>46110</v>
      </c>
      <c r="I345" t="inlineStr"/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N345" t="inlineStr"/>
      <c r="O345" t="inlineStr">
        <is>
          <t>WTL002</t>
        </is>
      </c>
      <c r="P345" t="inlineStr"/>
      <c r="Q345" s="112" t="n">
        <v>0</v>
      </c>
      <c r="R345" s="112" t="n">
        <v>55</v>
      </c>
      <c r="S345" s="112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D346" t="inlineStr"/>
      <c r="E346" t="inlineStr">
        <is>
          <t>EQ</t>
        </is>
      </c>
      <c r="F346" t="inlineStr"/>
      <c r="G346" s="126" t="inlineStr"/>
      <c r="H346" s="125" t="n">
        <v>46110</v>
      </c>
      <c r="I346" t="inlineStr"/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N346" t="inlineStr"/>
      <c r="O346" t="inlineStr">
        <is>
          <t>WLV106</t>
        </is>
      </c>
      <c r="P346" t="inlineStr"/>
      <c r="Q346" s="112" t="n">
        <v>0</v>
      </c>
      <c r="R346" s="112" t="n">
        <v>79.14</v>
      </c>
      <c r="S346" s="112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D347" t="inlineStr"/>
      <c r="E347" t="inlineStr">
        <is>
          <t>EQ</t>
        </is>
      </c>
      <c r="F347" t="inlineStr"/>
      <c r="G347" s="126" t="inlineStr"/>
      <c r="H347" s="125" t="n">
        <v>46110</v>
      </c>
      <c r="I347" t="inlineStr"/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N347" t="inlineStr"/>
      <c r="O347" t="inlineStr">
        <is>
          <t>WLV106</t>
        </is>
      </c>
      <c r="P347" t="inlineStr"/>
      <c r="Q347" s="112" t="n">
        <v>0</v>
      </c>
      <c r="R347" s="112" t="n">
        <v>79.14</v>
      </c>
      <c r="S347" s="112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D348" t="inlineStr"/>
      <c r="E348" t="inlineStr">
        <is>
          <t>EQ</t>
        </is>
      </c>
      <c r="F348" t="inlineStr"/>
      <c r="G348" s="126" t="inlineStr"/>
      <c r="H348" s="125" t="n">
        <v>46110</v>
      </c>
      <c r="I348" t="inlineStr"/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N348" t="inlineStr"/>
      <c r="O348" t="inlineStr">
        <is>
          <t>WLV106</t>
        </is>
      </c>
      <c r="P348" t="inlineStr"/>
      <c r="Q348" s="112" t="n">
        <v>0</v>
      </c>
      <c r="R348" s="112" t="n">
        <v>79.14</v>
      </c>
      <c r="S348" s="112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D349" t="inlineStr"/>
      <c r="E349" t="inlineStr">
        <is>
          <t>EQ</t>
        </is>
      </c>
      <c r="F349" t="inlineStr"/>
      <c r="G349" s="126" t="inlineStr"/>
      <c r="H349" s="125" t="n">
        <v>46110</v>
      </c>
      <c r="I349" t="inlineStr"/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N349" t="inlineStr"/>
      <c r="O349" t="inlineStr">
        <is>
          <t>WLV106</t>
        </is>
      </c>
      <c r="P349" t="inlineStr"/>
      <c r="Q349" s="112" t="n">
        <v>0</v>
      </c>
      <c r="R349" s="112" t="n">
        <v>79.14</v>
      </c>
      <c r="S349" s="112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D350" t="inlineStr"/>
      <c r="E350" t="inlineStr">
        <is>
          <t>EQ</t>
        </is>
      </c>
      <c r="F350" t="inlineStr"/>
      <c r="G350" s="126" t="inlineStr"/>
      <c r="H350" s="125" t="n">
        <v>46110</v>
      </c>
      <c r="I350" t="inlineStr"/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N350" t="inlineStr"/>
      <c r="O350" t="inlineStr">
        <is>
          <t>WLV106</t>
        </is>
      </c>
      <c r="P350" t="inlineStr"/>
      <c r="Q350" s="112" t="n">
        <v>0</v>
      </c>
      <c r="R350" s="112" t="n">
        <v>79.14</v>
      </c>
      <c r="S350" s="112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D351" t="inlineStr"/>
      <c r="E351" t="inlineStr">
        <is>
          <t>EQ</t>
        </is>
      </c>
      <c r="F351" t="inlineStr"/>
      <c r="G351" s="126" t="inlineStr"/>
      <c r="H351" s="125" t="n">
        <v>46110</v>
      </c>
      <c r="I351" t="inlineStr"/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N351" t="inlineStr"/>
      <c r="O351" t="inlineStr">
        <is>
          <t>WLV106</t>
        </is>
      </c>
      <c r="P351" t="inlineStr"/>
      <c r="Q351" s="112" t="n">
        <v>0</v>
      </c>
      <c r="R351" s="112" t="n">
        <v>79.14</v>
      </c>
      <c r="S351" s="112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D352" t="inlineStr"/>
      <c r="E352" t="inlineStr">
        <is>
          <t>EQ</t>
        </is>
      </c>
      <c r="F352" t="inlineStr"/>
      <c r="G352" s="126" t="inlineStr"/>
      <c r="H352" s="125" t="n">
        <v>46110</v>
      </c>
      <c r="I352" t="inlineStr"/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N352" t="inlineStr"/>
      <c r="O352" t="inlineStr">
        <is>
          <t>RT1351</t>
        </is>
      </c>
      <c r="P352" t="inlineStr"/>
      <c r="Q352" s="112" t="n">
        <v>0</v>
      </c>
      <c r="R352" s="112" t="n">
        <v>79.14</v>
      </c>
      <c r="S352" s="112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D353" t="inlineStr"/>
      <c r="E353" t="inlineStr">
        <is>
          <t>EQ</t>
        </is>
      </c>
      <c r="F353" t="inlineStr"/>
      <c r="G353" s="126" t="inlineStr"/>
      <c r="H353" s="125" t="n">
        <v>46110</v>
      </c>
      <c r="I353" t="inlineStr"/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N353" t="inlineStr"/>
      <c r="O353" t="inlineStr">
        <is>
          <t>RT1351</t>
        </is>
      </c>
      <c r="P353" t="inlineStr"/>
      <c r="Q353" s="112" t="n">
        <v>0</v>
      </c>
      <c r="R353" s="112" t="n">
        <v>79.14</v>
      </c>
      <c r="S353" s="112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D354" t="inlineStr"/>
      <c r="E354" t="inlineStr">
        <is>
          <t>EQ</t>
        </is>
      </c>
      <c r="F354" t="inlineStr"/>
      <c r="G354" s="126" t="inlineStr"/>
      <c r="H354" s="125" t="n">
        <v>46110</v>
      </c>
      <c r="I354" t="inlineStr"/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N354" t="inlineStr"/>
      <c r="O354" t="inlineStr">
        <is>
          <t>RT1351</t>
        </is>
      </c>
      <c r="P354" t="inlineStr"/>
      <c r="Q354" s="112" t="n">
        <v>0</v>
      </c>
      <c r="R354" s="112" t="n">
        <v>79.14</v>
      </c>
      <c r="S354" s="112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D355" t="inlineStr"/>
      <c r="E355" t="inlineStr">
        <is>
          <t>EQ</t>
        </is>
      </c>
      <c r="F355" t="inlineStr"/>
      <c r="G355" s="126" t="inlineStr"/>
      <c r="H355" s="125" t="n">
        <v>46110</v>
      </c>
      <c r="I355" t="inlineStr"/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N355" t="inlineStr"/>
      <c r="O355" t="inlineStr">
        <is>
          <t>RT1351</t>
        </is>
      </c>
      <c r="P355" t="inlineStr"/>
      <c r="Q355" s="112" t="n">
        <v>0</v>
      </c>
      <c r="R355" s="112" t="n">
        <v>79.14</v>
      </c>
      <c r="S355" s="112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D356" t="inlineStr"/>
      <c r="E356" t="inlineStr">
        <is>
          <t>EQ</t>
        </is>
      </c>
      <c r="F356" t="inlineStr"/>
      <c r="G356" s="126" t="inlineStr"/>
      <c r="H356" s="125" t="n">
        <v>46110</v>
      </c>
      <c r="I356" t="inlineStr"/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N356" t="inlineStr"/>
      <c r="O356" t="inlineStr">
        <is>
          <t>RT1351</t>
        </is>
      </c>
      <c r="P356" t="inlineStr"/>
      <c r="Q356" s="112" t="n">
        <v>0</v>
      </c>
      <c r="R356" s="112" t="n">
        <v>79.14</v>
      </c>
      <c r="S356" s="112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D357" t="inlineStr"/>
      <c r="E357" t="inlineStr">
        <is>
          <t>EQ</t>
        </is>
      </c>
      <c r="F357" t="inlineStr"/>
      <c r="G357" s="126" t="inlineStr"/>
      <c r="H357" s="125" t="n">
        <v>46110</v>
      </c>
      <c r="I357" t="inlineStr"/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N357" t="inlineStr"/>
      <c r="O357" t="inlineStr">
        <is>
          <t>RT1351</t>
        </is>
      </c>
      <c r="P357" t="inlineStr"/>
      <c r="Q357" s="112" t="n">
        <v>0</v>
      </c>
      <c r="R357" s="112" t="n">
        <v>79.14</v>
      </c>
      <c r="S357" s="112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D358" t="inlineStr"/>
      <c r="E358" t="inlineStr">
        <is>
          <t>EQ</t>
        </is>
      </c>
      <c r="F358" t="inlineStr"/>
      <c r="G358" s="126" t="inlineStr"/>
      <c r="H358" s="125" t="n">
        <v>46112</v>
      </c>
      <c r="I358" t="inlineStr"/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N358" t="inlineStr"/>
      <c r="O358" t="inlineStr">
        <is>
          <t>WLV106</t>
        </is>
      </c>
      <c r="P358" t="inlineStr"/>
      <c r="Q358" s="112" t="n">
        <v>0</v>
      </c>
      <c r="R358" s="112" t="n">
        <v>79.14</v>
      </c>
      <c r="S358" s="112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D359" t="inlineStr"/>
      <c r="E359" t="inlineStr">
        <is>
          <t>EQ</t>
        </is>
      </c>
      <c r="F359" t="inlineStr"/>
      <c r="G359" s="126" t="inlineStr"/>
      <c r="H359" s="125" t="n">
        <v>46112</v>
      </c>
      <c r="I359" t="inlineStr"/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N359" t="inlineStr"/>
      <c r="O359" t="inlineStr">
        <is>
          <t>WLV106</t>
        </is>
      </c>
      <c r="P359" t="inlineStr"/>
      <c r="Q359" s="112" t="n">
        <v>0</v>
      </c>
      <c r="R359" s="112" t="n">
        <v>79.14</v>
      </c>
      <c r="S359" s="112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D360" t="inlineStr"/>
      <c r="E360" t="inlineStr">
        <is>
          <t>EQ</t>
        </is>
      </c>
      <c r="F360" t="inlineStr"/>
      <c r="G360" s="126" t="inlineStr"/>
      <c r="H360" s="125" t="n">
        <v>46112</v>
      </c>
      <c r="I360" t="inlineStr"/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N360" t="inlineStr"/>
      <c r="O360" t="inlineStr">
        <is>
          <t>RT1351</t>
        </is>
      </c>
      <c r="P360" t="inlineStr"/>
      <c r="Q360" s="112" t="n">
        <v>0</v>
      </c>
      <c r="R360" s="112" t="n">
        <v>79.14</v>
      </c>
      <c r="S360" s="112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D361" t="inlineStr"/>
      <c r="E361" t="inlineStr">
        <is>
          <t>EQ</t>
        </is>
      </c>
      <c r="F361" t="inlineStr"/>
      <c r="G361" s="126" t="inlineStr"/>
      <c r="H361" s="125" t="n">
        <v>46112</v>
      </c>
      <c r="I361" t="inlineStr"/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N361" t="inlineStr"/>
      <c r="O361" t="inlineStr">
        <is>
          <t>RT1351</t>
        </is>
      </c>
      <c r="P361" t="inlineStr"/>
      <c r="Q361" s="112" t="n">
        <v>0</v>
      </c>
      <c r="R361" s="112" t="n">
        <v>79.14</v>
      </c>
      <c r="S361" s="112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D362" t="inlineStr"/>
      <c r="E362" t="inlineStr">
        <is>
          <t>EQ</t>
        </is>
      </c>
      <c r="F362" t="inlineStr"/>
      <c r="G362" s="126" t="inlineStr"/>
      <c r="H362" s="125" t="n">
        <v>46112</v>
      </c>
      <c r="I362" t="inlineStr"/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N362" t="inlineStr"/>
      <c r="O362" t="inlineStr">
        <is>
          <t>TR429</t>
        </is>
      </c>
      <c r="P362" t="inlineStr"/>
      <c r="Q362" s="112" t="n">
        <v>0</v>
      </c>
      <c r="R362" s="112" t="n">
        <v>65</v>
      </c>
      <c r="S362" s="112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D363" t="inlineStr"/>
      <c r="E363" t="inlineStr">
        <is>
          <t>EQ</t>
        </is>
      </c>
      <c r="F363" t="inlineStr"/>
      <c r="G363" s="126" t="inlineStr"/>
      <c r="H363" s="125" t="n">
        <v>46112</v>
      </c>
      <c r="I363" t="inlineStr"/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N363" t="inlineStr"/>
      <c r="O363" t="inlineStr">
        <is>
          <t>TR429</t>
        </is>
      </c>
      <c r="P363" t="inlineStr"/>
      <c r="Q363" s="112" t="n">
        <v>0</v>
      </c>
      <c r="R363" s="112" t="n">
        <v>65</v>
      </c>
      <c r="S363" s="112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D364" t="inlineStr"/>
      <c r="E364" t="inlineStr">
        <is>
          <t>EQ</t>
        </is>
      </c>
      <c r="F364" t="inlineStr"/>
      <c r="G364" s="126" t="inlineStr"/>
      <c r="H364" s="125" t="n">
        <v>46117</v>
      </c>
      <c r="I364" t="inlineStr"/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N364" t="inlineStr"/>
      <c r="O364" t="inlineStr">
        <is>
          <t>WLV106</t>
        </is>
      </c>
      <c r="P364" t="inlineStr"/>
      <c r="Q364" s="112" t="n">
        <v>0</v>
      </c>
      <c r="R364" s="112" t="n">
        <v>79.14</v>
      </c>
      <c r="S364" s="112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D365" t="inlineStr"/>
      <c r="E365" t="inlineStr">
        <is>
          <t>EQ</t>
        </is>
      </c>
      <c r="F365" t="inlineStr"/>
      <c r="G365" t="inlineStr"/>
      <c r="H365" s="125" t="n">
        <v>46117</v>
      </c>
      <c r="I365" t="inlineStr"/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N365" t="inlineStr"/>
      <c r="O365" t="inlineStr">
        <is>
          <t>WLV106</t>
        </is>
      </c>
      <c r="P365" t="inlineStr"/>
      <c r="Q365" s="112" t="n">
        <v>0</v>
      </c>
      <c r="R365" s="112" t="n">
        <v>79.14</v>
      </c>
      <c r="S365" s="112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D366" t="inlineStr"/>
      <c r="E366" t="inlineStr">
        <is>
          <t>EQ</t>
        </is>
      </c>
      <c r="F366" t="inlineStr"/>
      <c r="G366" t="inlineStr"/>
      <c r="H366" s="125" t="n">
        <v>46117</v>
      </c>
      <c r="I366" t="inlineStr"/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N366" t="inlineStr"/>
      <c r="O366" t="inlineStr">
        <is>
          <t>WLV106</t>
        </is>
      </c>
      <c r="P366" t="inlineStr"/>
      <c r="Q366" s="112" t="n">
        <v>0</v>
      </c>
      <c r="R366" s="112" t="n">
        <v>79.14</v>
      </c>
      <c r="S366" s="112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D367" t="inlineStr"/>
      <c r="E367" t="inlineStr">
        <is>
          <t>EQ</t>
        </is>
      </c>
      <c r="F367" t="inlineStr"/>
      <c r="G367" t="inlineStr"/>
      <c r="H367" s="125" t="n">
        <v>46117</v>
      </c>
      <c r="I367" t="inlineStr"/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N367" t="inlineStr"/>
      <c r="O367" t="inlineStr">
        <is>
          <t>WLV106</t>
        </is>
      </c>
      <c r="P367" t="inlineStr"/>
      <c r="Q367" s="112" t="n">
        <v>0</v>
      </c>
      <c r="R367" s="112" t="n">
        <v>79.14</v>
      </c>
      <c r="S367" s="112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D368" t="inlineStr"/>
      <c r="E368" t="inlineStr">
        <is>
          <t>EQ</t>
        </is>
      </c>
      <c r="F368" t="inlineStr"/>
      <c r="G368" t="inlineStr"/>
      <c r="H368" s="125" t="n">
        <v>46117</v>
      </c>
      <c r="I368" t="inlineStr"/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N368" t="inlineStr"/>
      <c r="O368" t="inlineStr">
        <is>
          <t>RT1351</t>
        </is>
      </c>
      <c r="P368" t="inlineStr"/>
      <c r="Q368" s="112" t="n">
        <v>0</v>
      </c>
      <c r="R368" s="112" t="n">
        <v>79.14</v>
      </c>
      <c r="S368" s="112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D369" t="inlineStr"/>
      <c r="E369" t="inlineStr">
        <is>
          <t>EQ</t>
        </is>
      </c>
      <c r="F369" t="inlineStr"/>
      <c r="G369" t="inlineStr"/>
      <c r="H369" s="125" t="n">
        <v>46117</v>
      </c>
      <c r="I369" t="inlineStr"/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N369" t="inlineStr"/>
      <c r="O369" t="inlineStr">
        <is>
          <t>RT1351</t>
        </is>
      </c>
      <c r="P369" t="inlineStr"/>
      <c r="Q369" s="112" t="n">
        <v>0</v>
      </c>
      <c r="R369" s="112" t="n">
        <v>79.14</v>
      </c>
      <c r="S369" s="112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D370" t="inlineStr"/>
      <c r="E370" t="inlineStr">
        <is>
          <t>EQ</t>
        </is>
      </c>
      <c r="F370" t="inlineStr"/>
      <c r="G370" t="inlineStr"/>
      <c r="H370" s="125" t="n">
        <v>46117</v>
      </c>
      <c r="I370" t="inlineStr"/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N370" t="inlineStr"/>
      <c r="O370" t="inlineStr">
        <is>
          <t>RT1351</t>
        </is>
      </c>
      <c r="P370" t="inlineStr"/>
      <c r="Q370" s="112" t="n">
        <v>0</v>
      </c>
      <c r="R370" s="112" t="n">
        <v>79.14</v>
      </c>
      <c r="S370" s="112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D371" t="inlineStr"/>
      <c r="E371" t="inlineStr">
        <is>
          <t>EQ</t>
        </is>
      </c>
      <c r="F371" t="inlineStr"/>
      <c r="G371" t="inlineStr"/>
      <c r="H371" s="125" t="n">
        <v>46117</v>
      </c>
      <c r="I371" t="inlineStr"/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N371" t="inlineStr"/>
      <c r="O371" t="inlineStr">
        <is>
          <t>RT1351</t>
        </is>
      </c>
      <c r="P371" t="inlineStr"/>
      <c r="Q371" s="112" t="n">
        <v>0</v>
      </c>
      <c r="R371" s="112" t="n">
        <v>79.14</v>
      </c>
      <c r="S371" s="112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D372" t="inlineStr"/>
      <c r="E372" t="inlineStr">
        <is>
          <t>EQ</t>
        </is>
      </c>
      <c r="F372" t="inlineStr"/>
      <c r="G372" t="inlineStr"/>
      <c r="H372" s="125" t="n">
        <v>46117</v>
      </c>
      <c r="I372" t="inlineStr"/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N372" t="inlineStr"/>
      <c r="O372" t="inlineStr">
        <is>
          <t>TR429</t>
        </is>
      </c>
      <c r="P372" t="inlineStr"/>
      <c r="Q372" s="112" t="n">
        <v>0</v>
      </c>
      <c r="R372" s="112" t="n">
        <v>65</v>
      </c>
      <c r="S372" s="112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D373" t="inlineStr"/>
      <c r="E373" t="inlineStr">
        <is>
          <t>EQ</t>
        </is>
      </c>
      <c r="F373" t="inlineStr"/>
      <c r="G373" t="inlineStr"/>
      <c r="H373" s="125" t="n">
        <v>46117</v>
      </c>
      <c r="I373" t="inlineStr"/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N373" t="inlineStr"/>
      <c r="O373" t="inlineStr">
        <is>
          <t>TR429</t>
        </is>
      </c>
      <c r="P373" t="inlineStr"/>
      <c r="Q373" s="112" t="n">
        <v>0</v>
      </c>
      <c r="R373" s="112" t="n">
        <v>65</v>
      </c>
      <c r="S373" s="112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D374" t="inlineStr"/>
      <c r="E374" t="inlineStr">
        <is>
          <t>EQ</t>
        </is>
      </c>
      <c r="F374" t="inlineStr"/>
      <c r="G374" t="inlineStr"/>
      <c r="H374" s="125" t="n">
        <v>46117</v>
      </c>
      <c r="I374" t="inlineStr"/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N374" t="inlineStr"/>
      <c r="O374" t="inlineStr">
        <is>
          <t>TR429</t>
        </is>
      </c>
      <c r="P374" t="inlineStr"/>
      <c r="Q374" s="112" t="n">
        <v>0</v>
      </c>
      <c r="R374" s="112" t="n">
        <v>65</v>
      </c>
      <c r="S374" s="112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D375" t="inlineStr"/>
      <c r="E375" t="inlineStr">
        <is>
          <t>EQ</t>
        </is>
      </c>
      <c r="F375" t="inlineStr"/>
      <c r="G375" t="inlineStr"/>
      <c r="H375" s="125" t="n">
        <v>46117</v>
      </c>
      <c r="I375" t="inlineStr"/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N375" t="inlineStr"/>
      <c r="O375" t="inlineStr">
        <is>
          <t>TR429</t>
        </is>
      </c>
      <c r="P375" t="inlineStr"/>
      <c r="Q375" s="112" t="n">
        <v>0</v>
      </c>
      <c r="R375" s="112" t="n">
        <v>65</v>
      </c>
      <c r="S375" s="112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D376" t="inlineStr"/>
      <c r="E376" t="inlineStr">
        <is>
          <t>EQ</t>
        </is>
      </c>
      <c r="F376" t="inlineStr"/>
      <c r="G376" t="inlineStr"/>
      <c r="H376" s="125" t="n">
        <v>46124</v>
      </c>
      <c r="I376" t="inlineStr"/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N376" t="inlineStr"/>
      <c r="O376" t="inlineStr">
        <is>
          <t>WLV106</t>
        </is>
      </c>
      <c r="P376" t="inlineStr"/>
      <c r="Q376" s="112" t="n">
        <v>0</v>
      </c>
      <c r="R376" s="112" t="n">
        <v>79.14</v>
      </c>
      <c r="S376" s="112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D377" t="inlineStr"/>
      <c r="E377" t="inlineStr">
        <is>
          <t>EQ</t>
        </is>
      </c>
      <c r="F377" t="inlineStr"/>
      <c r="G377" t="inlineStr"/>
      <c r="H377" s="125" t="n">
        <v>46124</v>
      </c>
      <c r="I377" t="inlineStr"/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N377" t="inlineStr"/>
      <c r="O377" t="inlineStr">
        <is>
          <t>WLV106</t>
        </is>
      </c>
      <c r="P377" t="inlineStr"/>
      <c r="Q377" s="112" t="n">
        <v>0</v>
      </c>
      <c r="R377" s="112" t="n">
        <v>79.14</v>
      </c>
      <c r="S377" s="112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D378" t="inlineStr"/>
      <c r="E378" t="inlineStr">
        <is>
          <t>EQ</t>
        </is>
      </c>
      <c r="F378" t="inlineStr"/>
      <c r="G378" t="inlineStr"/>
      <c r="H378" s="125" t="n">
        <v>46124</v>
      </c>
      <c r="I378" t="inlineStr"/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N378" t="inlineStr"/>
      <c r="O378" t="inlineStr">
        <is>
          <t>WLV106</t>
        </is>
      </c>
      <c r="P378" t="inlineStr"/>
      <c r="Q378" s="112" t="n">
        <v>0</v>
      </c>
      <c r="R378" s="112" t="n">
        <v>79.14</v>
      </c>
      <c r="S378" s="112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D379" t="inlineStr"/>
      <c r="E379" t="inlineStr">
        <is>
          <t>EQ</t>
        </is>
      </c>
      <c r="F379" t="inlineStr"/>
      <c r="G379" t="inlineStr"/>
      <c r="H379" s="125" t="n">
        <v>46124</v>
      </c>
      <c r="I379" t="inlineStr"/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N379" t="inlineStr"/>
      <c r="O379" t="inlineStr">
        <is>
          <t>WLV106</t>
        </is>
      </c>
      <c r="P379" t="inlineStr"/>
      <c r="Q379" s="112" t="n">
        <v>0</v>
      </c>
      <c r="R379" s="112" t="n">
        <v>79.14</v>
      </c>
      <c r="S379" s="112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D380" t="inlineStr"/>
      <c r="E380" t="inlineStr">
        <is>
          <t>EQ</t>
        </is>
      </c>
      <c r="F380" t="inlineStr"/>
      <c r="G380" t="inlineStr"/>
      <c r="H380" s="125" t="n">
        <v>46124</v>
      </c>
      <c r="I380" t="inlineStr"/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N380" t="inlineStr"/>
      <c r="O380" t="inlineStr">
        <is>
          <t>WLV106</t>
        </is>
      </c>
      <c r="P380" t="inlineStr"/>
      <c r="Q380" s="112" t="n">
        <v>0</v>
      </c>
      <c r="R380" s="112" t="n">
        <v>79.14</v>
      </c>
      <c r="S380" s="112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D381" t="inlineStr"/>
      <c r="E381" t="inlineStr">
        <is>
          <t>EQ</t>
        </is>
      </c>
      <c r="F381" t="inlineStr"/>
      <c r="G381" t="inlineStr"/>
      <c r="H381" s="125" t="n">
        <v>46124</v>
      </c>
      <c r="I381" t="inlineStr"/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N381" t="inlineStr"/>
      <c r="O381" t="inlineStr">
        <is>
          <t>WLV106</t>
        </is>
      </c>
      <c r="P381" t="inlineStr"/>
      <c r="Q381" s="112" t="n">
        <v>0</v>
      </c>
      <c r="R381" s="112" t="n">
        <v>79.14</v>
      </c>
      <c r="S381" s="112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D382" t="inlineStr"/>
      <c r="E382" t="inlineStr">
        <is>
          <t>EQ</t>
        </is>
      </c>
      <c r="F382" t="inlineStr"/>
      <c r="G382" t="inlineStr"/>
      <c r="H382" s="125" t="n">
        <v>46124</v>
      </c>
      <c r="I382" t="inlineStr"/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N382" t="inlineStr"/>
      <c r="O382" t="inlineStr">
        <is>
          <t>RT1351</t>
        </is>
      </c>
      <c r="P382" t="inlineStr"/>
      <c r="Q382" s="112" t="n">
        <v>0</v>
      </c>
      <c r="R382" s="112" t="n">
        <v>79.14</v>
      </c>
      <c r="S382" s="112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D383" t="inlineStr"/>
      <c r="E383" t="inlineStr">
        <is>
          <t>EQ</t>
        </is>
      </c>
      <c r="F383" t="inlineStr"/>
      <c r="G383" t="inlineStr"/>
      <c r="H383" s="125" t="n">
        <v>46124</v>
      </c>
      <c r="I383" t="inlineStr"/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N383" t="inlineStr"/>
      <c r="O383" t="inlineStr">
        <is>
          <t>RT1351</t>
        </is>
      </c>
      <c r="P383" t="inlineStr"/>
      <c r="Q383" s="112" t="n">
        <v>0</v>
      </c>
      <c r="R383" s="112" t="n">
        <v>79.14</v>
      </c>
      <c r="S383" s="112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D384" t="inlineStr"/>
      <c r="E384" t="inlineStr">
        <is>
          <t>EQ</t>
        </is>
      </c>
      <c r="F384" t="inlineStr"/>
      <c r="G384" t="inlineStr"/>
      <c r="H384" s="125" t="n">
        <v>46124</v>
      </c>
      <c r="I384" t="inlineStr"/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N384" t="inlineStr"/>
      <c r="O384" t="inlineStr">
        <is>
          <t>RT1351</t>
        </is>
      </c>
      <c r="P384" t="inlineStr"/>
      <c r="Q384" s="112" t="n">
        <v>0</v>
      </c>
      <c r="R384" s="112" t="n">
        <v>79.14</v>
      </c>
      <c r="S384" s="112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D385" t="inlineStr"/>
      <c r="E385" t="inlineStr">
        <is>
          <t>EQ</t>
        </is>
      </c>
      <c r="F385" t="inlineStr"/>
      <c r="G385" t="inlineStr"/>
      <c r="H385" s="125" t="n">
        <v>46124</v>
      </c>
      <c r="I385" t="inlineStr"/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N385" t="inlineStr"/>
      <c r="O385" t="inlineStr">
        <is>
          <t>RT1351</t>
        </is>
      </c>
      <c r="P385" t="inlineStr"/>
      <c r="Q385" s="112" t="n">
        <v>0</v>
      </c>
      <c r="R385" s="112" t="n">
        <v>79.14</v>
      </c>
      <c r="S385" s="112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D386" t="inlineStr"/>
      <c r="E386" t="inlineStr">
        <is>
          <t>EQ</t>
        </is>
      </c>
      <c r="F386" t="inlineStr"/>
      <c r="G386" t="inlineStr"/>
      <c r="H386" s="125" t="n">
        <v>46124</v>
      </c>
      <c r="I386" t="inlineStr"/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N386" t="inlineStr"/>
      <c r="O386" t="inlineStr">
        <is>
          <t>RT1351</t>
        </is>
      </c>
      <c r="P386" t="inlineStr"/>
      <c r="Q386" s="112" t="n">
        <v>0</v>
      </c>
      <c r="R386" s="112" t="n">
        <v>79.14</v>
      </c>
      <c r="S386" s="112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D387" t="inlineStr"/>
      <c r="E387" t="inlineStr">
        <is>
          <t>EQ</t>
        </is>
      </c>
      <c r="F387" t="inlineStr"/>
      <c r="G387" t="inlineStr"/>
      <c r="H387" s="125" t="n">
        <v>46124</v>
      </c>
      <c r="I387" t="inlineStr"/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N387" t="inlineStr"/>
      <c r="O387" t="inlineStr">
        <is>
          <t>RT1351</t>
        </is>
      </c>
      <c r="P387" t="inlineStr"/>
      <c r="Q387" s="112" t="n">
        <v>0</v>
      </c>
      <c r="R387" s="112" t="n">
        <v>79.14</v>
      </c>
      <c r="S387" s="112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D388" t="inlineStr"/>
      <c r="E388" t="inlineStr">
        <is>
          <t>EQ</t>
        </is>
      </c>
      <c r="F388" t="inlineStr"/>
      <c r="G388" t="inlineStr"/>
      <c r="H388" s="125" t="n">
        <v>46124</v>
      </c>
      <c r="I388" t="inlineStr"/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N388" t="inlineStr"/>
      <c r="O388" t="inlineStr">
        <is>
          <t>TR429</t>
        </is>
      </c>
      <c r="P388" t="inlineStr"/>
      <c r="Q388" s="112" t="n">
        <v>0</v>
      </c>
      <c r="R388" s="112" t="n">
        <v>65</v>
      </c>
      <c r="S388" s="112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D389" t="inlineStr"/>
      <c r="E389" t="inlineStr">
        <is>
          <t>EQ</t>
        </is>
      </c>
      <c r="F389" t="inlineStr"/>
      <c r="G389" t="inlineStr"/>
      <c r="H389" s="125" t="n">
        <v>46124</v>
      </c>
      <c r="I389" t="inlineStr"/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N389" t="inlineStr"/>
      <c r="O389" t="inlineStr">
        <is>
          <t>TR429</t>
        </is>
      </c>
      <c r="P389" t="inlineStr"/>
      <c r="Q389" s="112" t="n">
        <v>0</v>
      </c>
      <c r="R389" s="112" t="n">
        <v>65</v>
      </c>
      <c r="S389" s="112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D390" t="inlineStr"/>
      <c r="E390" t="inlineStr">
        <is>
          <t>EQ</t>
        </is>
      </c>
      <c r="F390" t="inlineStr"/>
      <c r="G390" t="inlineStr"/>
      <c r="H390" s="125" t="n">
        <v>46124</v>
      </c>
      <c r="I390" t="inlineStr"/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N390" t="inlineStr"/>
      <c r="O390" t="inlineStr">
        <is>
          <t>TR429</t>
        </is>
      </c>
      <c r="P390" t="inlineStr"/>
      <c r="Q390" s="112" t="n">
        <v>0</v>
      </c>
      <c r="R390" s="112" t="n">
        <v>65</v>
      </c>
      <c r="S390" s="112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D391" t="inlineStr"/>
      <c r="E391" t="inlineStr">
        <is>
          <t>EQ</t>
        </is>
      </c>
      <c r="F391" t="inlineStr"/>
      <c r="G391" t="inlineStr"/>
      <c r="H391" s="125" t="n">
        <v>46124</v>
      </c>
      <c r="I391" t="inlineStr"/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N391" t="inlineStr"/>
      <c r="O391" t="inlineStr">
        <is>
          <t>TR429</t>
        </is>
      </c>
      <c r="P391" t="inlineStr"/>
      <c r="Q391" s="112" t="n">
        <v>0</v>
      </c>
      <c r="R391" s="112" t="n">
        <v>65</v>
      </c>
      <c r="S391" s="112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D392" t="inlineStr"/>
      <c r="E392" t="inlineStr">
        <is>
          <t>EQ</t>
        </is>
      </c>
      <c r="F392" t="inlineStr"/>
      <c r="G392" t="inlineStr"/>
      <c r="H392" s="125" t="n">
        <v>46124</v>
      </c>
      <c r="I392" t="inlineStr"/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N392" t="inlineStr"/>
      <c r="O392" t="inlineStr">
        <is>
          <t>TR429</t>
        </is>
      </c>
      <c r="P392" t="inlineStr"/>
      <c r="Q392" s="112" t="n">
        <v>0</v>
      </c>
      <c r="R392" s="112" t="n">
        <v>65</v>
      </c>
      <c r="S392" s="112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D393" t="inlineStr"/>
      <c r="E393" t="inlineStr">
        <is>
          <t>EQ</t>
        </is>
      </c>
      <c r="F393" t="inlineStr"/>
      <c r="G393" t="inlineStr"/>
      <c r="H393" s="125" t="n">
        <v>46124</v>
      </c>
      <c r="I393" t="inlineStr"/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N393" t="inlineStr"/>
      <c r="O393" t="inlineStr">
        <is>
          <t>TR429</t>
        </is>
      </c>
      <c r="P393" t="inlineStr"/>
      <c r="Q393" s="112" t="n">
        <v>0</v>
      </c>
      <c r="R393" s="112" t="n">
        <v>65</v>
      </c>
      <c r="S393" s="112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D394" t="inlineStr"/>
      <c r="E394" t="inlineStr">
        <is>
          <t>EQ</t>
        </is>
      </c>
      <c r="F394" t="inlineStr"/>
      <c r="G394" t="inlineStr"/>
      <c r="H394" s="125" t="n">
        <v>46131</v>
      </c>
      <c r="I394" t="inlineStr"/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N394" t="inlineStr"/>
      <c r="O394" t="inlineStr">
        <is>
          <t>WLV106</t>
        </is>
      </c>
      <c r="P394" t="inlineStr"/>
      <c r="Q394" s="112" t="n">
        <v>0</v>
      </c>
      <c r="R394" s="112" t="n">
        <v>79.14</v>
      </c>
      <c r="S394" s="112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D395" t="inlineStr"/>
      <c r="E395" t="inlineStr">
        <is>
          <t>EQ</t>
        </is>
      </c>
      <c r="F395" t="inlineStr"/>
      <c r="G395" t="inlineStr"/>
      <c r="H395" s="125" t="n">
        <v>46131</v>
      </c>
      <c r="I395" t="inlineStr"/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N395" t="inlineStr"/>
      <c r="O395" t="inlineStr">
        <is>
          <t>WLV106</t>
        </is>
      </c>
      <c r="P395" t="inlineStr"/>
      <c r="Q395" s="112" t="n">
        <v>0</v>
      </c>
      <c r="R395" s="112" t="n">
        <v>79.14</v>
      </c>
      <c r="S395" s="112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D396" t="inlineStr"/>
      <c r="E396" t="inlineStr">
        <is>
          <t>EQ</t>
        </is>
      </c>
      <c r="F396" t="inlineStr"/>
      <c r="G396" t="inlineStr"/>
      <c r="H396" s="125" t="n">
        <v>46131</v>
      </c>
      <c r="I396" t="inlineStr"/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N396" t="inlineStr"/>
      <c r="O396" t="inlineStr">
        <is>
          <t>WLV106</t>
        </is>
      </c>
      <c r="P396" t="inlineStr"/>
      <c r="Q396" s="112" t="n">
        <v>0</v>
      </c>
      <c r="R396" s="112" t="n">
        <v>79.14</v>
      </c>
      <c r="S396" s="112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D397" t="inlineStr"/>
      <c r="E397" t="inlineStr">
        <is>
          <t>EQ</t>
        </is>
      </c>
      <c r="F397" t="inlineStr"/>
      <c r="G397" t="inlineStr"/>
      <c r="H397" s="125" t="n">
        <v>46131</v>
      </c>
      <c r="I397" t="inlineStr"/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N397" t="inlineStr"/>
      <c r="O397" t="inlineStr">
        <is>
          <t>WLV106</t>
        </is>
      </c>
      <c r="P397" t="inlineStr"/>
      <c r="Q397" s="112" t="n">
        <v>0</v>
      </c>
      <c r="R397" s="112" t="n">
        <v>79.14</v>
      </c>
      <c r="S397" s="112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D398" t="inlineStr"/>
      <c r="E398" t="inlineStr">
        <is>
          <t>EQ</t>
        </is>
      </c>
      <c r="F398" t="inlineStr"/>
      <c r="G398" t="inlineStr"/>
      <c r="H398" s="125" t="n">
        <v>46131</v>
      </c>
      <c r="I398" t="inlineStr"/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N398" t="inlineStr"/>
      <c r="O398" t="inlineStr">
        <is>
          <t>WLV106</t>
        </is>
      </c>
      <c r="P398" t="inlineStr"/>
      <c r="Q398" s="112" t="n">
        <v>0</v>
      </c>
      <c r="R398" s="112" t="n">
        <v>79.14</v>
      </c>
      <c r="S398" s="112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D399" t="inlineStr"/>
      <c r="E399" t="inlineStr">
        <is>
          <t>EQ</t>
        </is>
      </c>
      <c r="F399" t="inlineStr"/>
      <c r="G399" t="inlineStr"/>
      <c r="H399" s="125" t="n">
        <v>46131</v>
      </c>
      <c r="I399" t="inlineStr"/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N399" t="inlineStr"/>
      <c r="O399" t="inlineStr">
        <is>
          <t>WLV106</t>
        </is>
      </c>
      <c r="P399" t="inlineStr"/>
      <c r="Q399" s="112" t="n">
        <v>0</v>
      </c>
      <c r="R399" s="112" t="n">
        <v>79.14</v>
      </c>
      <c r="S399" s="112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D400" t="inlineStr"/>
      <c r="E400" t="inlineStr">
        <is>
          <t>EQ</t>
        </is>
      </c>
      <c r="F400" t="inlineStr"/>
      <c r="G400" t="inlineStr"/>
      <c r="H400" s="125" t="n">
        <v>46131</v>
      </c>
      <c r="I400" t="inlineStr"/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N400" t="inlineStr"/>
      <c r="O400" t="inlineStr">
        <is>
          <t>RT1351</t>
        </is>
      </c>
      <c r="P400" t="inlineStr"/>
      <c r="Q400" s="112" t="n">
        <v>0</v>
      </c>
      <c r="R400" s="112" t="n">
        <v>79.14</v>
      </c>
      <c r="S400" s="112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D401" t="inlineStr"/>
      <c r="E401" t="inlineStr">
        <is>
          <t>EQ</t>
        </is>
      </c>
      <c r="F401" t="inlineStr"/>
      <c r="G401" t="inlineStr"/>
      <c r="H401" s="125" t="n">
        <v>46131</v>
      </c>
      <c r="I401" t="inlineStr"/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N401" t="inlineStr"/>
      <c r="O401" t="inlineStr">
        <is>
          <t>RT1351</t>
        </is>
      </c>
      <c r="P401" t="inlineStr"/>
      <c r="Q401" s="112" t="n">
        <v>0</v>
      </c>
      <c r="R401" s="112" t="n">
        <v>79.14</v>
      </c>
      <c r="S401" s="112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D402" t="inlineStr"/>
      <c r="E402" t="inlineStr">
        <is>
          <t>EQ</t>
        </is>
      </c>
      <c r="F402" t="inlineStr"/>
      <c r="G402" t="inlineStr"/>
      <c r="H402" s="125" t="n">
        <v>46131</v>
      </c>
      <c r="I402" t="inlineStr"/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N402" t="inlineStr"/>
      <c r="O402" t="inlineStr">
        <is>
          <t>RT1351</t>
        </is>
      </c>
      <c r="P402" t="inlineStr"/>
      <c r="Q402" s="112" t="n">
        <v>0</v>
      </c>
      <c r="R402" s="112" t="n">
        <v>79.14</v>
      </c>
      <c r="S402" s="112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D403" t="inlineStr"/>
      <c r="E403" t="inlineStr">
        <is>
          <t>EQ</t>
        </is>
      </c>
      <c r="F403" t="inlineStr"/>
      <c r="G403" t="inlineStr"/>
      <c r="H403" s="125" t="n">
        <v>46131</v>
      </c>
      <c r="I403" t="inlineStr"/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N403" t="inlineStr"/>
      <c r="O403" t="inlineStr">
        <is>
          <t>RT1351</t>
        </is>
      </c>
      <c r="P403" t="inlineStr"/>
      <c r="Q403" s="112" t="n">
        <v>0</v>
      </c>
      <c r="R403" s="112" t="n">
        <v>79.14</v>
      </c>
      <c r="S403" s="112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D404" t="inlineStr"/>
      <c r="E404" t="inlineStr">
        <is>
          <t>EQ</t>
        </is>
      </c>
      <c r="F404" t="inlineStr"/>
      <c r="G404" t="inlineStr"/>
      <c r="H404" s="125" t="n">
        <v>46131</v>
      </c>
      <c r="I404" t="inlineStr"/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N404" t="inlineStr"/>
      <c r="O404" t="inlineStr">
        <is>
          <t>RT1351</t>
        </is>
      </c>
      <c r="P404" t="inlineStr"/>
      <c r="Q404" s="112" t="n">
        <v>0</v>
      </c>
      <c r="R404" s="112" t="n">
        <v>79.14</v>
      </c>
      <c r="S404" s="112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D405" t="inlineStr"/>
      <c r="E405" t="inlineStr">
        <is>
          <t>EQ</t>
        </is>
      </c>
      <c r="F405" t="inlineStr"/>
      <c r="G405" t="inlineStr"/>
      <c r="H405" s="125" t="n">
        <v>46131</v>
      </c>
      <c r="I405" t="inlineStr"/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N405" t="inlineStr"/>
      <c r="O405" t="inlineStr">
        <is>
          <t>RT1351</t>
        </is>
      </c>
      <c r="P405" t="inlineStr"/>
      <c r="Q405" s="112" t="n">
        <v>0</v>
      </c>
      <c r="R405" s="112" t="n">
        <v>79.14</v>
      </c>
      <c r="S405" s="112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D406" t="inlineStr"/>
      <c r="E406" t="inlineStr">
        <is>
          <t>EQ</t>
        </is>
      </c>
      <c r="F406" t="inlineStr"/>
      <c r="G406" t="inlineStr"/>
      <c r="H406" s="125" t="n">
        <v>46131</v>
      </c>
      <c r="I406" t="inlineStr"/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N406" t="inlineStr"/>
      <c r="O406" t="inlineStr">
        <is>
          <t>TR429</t>
        </is>
      </c>
      <c r="P406" t="inlineStr"/>
      <c r="Q406" s="112" t="n">
        <v>0</v>
      </c>
      <c r="R406" s="112" t="n">
        <v>65</v>
      </c>
      <c r="S406" s="112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D407" t="inlineStr"/>
      <c r="E407" t="inlineStr">
        <is>
          <t>EQ</t>
        </is>
      </c>
      <c r="F407" t="inlineStr"/>
      <c r="G407" t="inlineStr"/>
      <c r="H407" s="125" t="n">
        <v>46131</v>
      </c>
      <c r="I407" t="inlineStr"/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N407" t="inlineStr"/>
      <c r="O407" t="inlineStr">
        <is>
          <t>TR429</t>
        </is>
      </c>
      <c r="P407" t="inlineStr"/>
      <c r="Q407" s="112" t="n">
        <v>0</v>
      </c>
      <c r="R407" s="112" t="n">
        <v>65</v>
      </c>
      <c r="S407" s="112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D408" t="inlineStr"/>
      <c r="E408" t="inlineStr">
        <is>
          <t>EQ</t>
        </is>
      </c>
      <c r="F408" t="inlineStr"/>
      <c r="G408" t="inlineStr"/>
      <c r="H408" s="125" t="n">
        <v>46131</v>
      </c>
      <c r="I408" t="inlineStr"/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N408" t="inlineStr"/>
      <c r="O408" t="inlineStr">
        <is>
          <t>TR429</t>
        </is>
      </c>
      <c r="P408" t="inlineStr"/>
      <c r="Q408" s="112" t="n">
        <v>0</v>
      </c>
      <c r="R408" s="112" t="n">
        <v>65</v>
      </c>
      <c r="S408" s="112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D409" t="inlineStr"/>
      <c r="E409" t="inlineStr">
        <is>
          <t>EQ</t>
        </is>
      </c>
      <c r="F409" t="inlineStr"/>
      <c r="G409" t="inlineStr"/>
      <c r="H409" s="125" t="n">
        <v>46131</v>
      </c>
      <c r="I409" t="inlineStr"/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N409" t="inlineStr"/>
      <c r="O409" t="inlineStr">
        <is>
          <t>TR429</t>
        </is>
      </c>
      <c r="P409" t="inlineStr"/>
      <c r="Q409" s="112" t="n">
        <v>0</v>
      </c>
      <c r="R409" s="112" t="n">
        <v>65</v>
      </c>
      <c r="S409" s="112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D410" t="inlineStr"/>
      <c r="E410" t="inlineStr">
        <is>
          <t>EQ</t>
        </is>
      </c>
      <c r="F410" t="inlineStr"/>
      <c r="G410" t="inlineStr"/>
      <c r="H410" s="125" t="n">
        <v>46131</v>
      </c>
      <c r="I410" t="inlineStr"/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N410" t="inlineStr"/>
      <c r="O410" t="inlineStr">
        <is>
          <t>TR429</t>
        </is>
      </c>
      <c r="P410" t="inlineStr"/>
      <c r="Q410" s="112" t="n">
        <v>0</v>
      </c>
      <c r="R410" s="112" t="n">
        <v>65</v>
      </c>
      <c r="S410" s="112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D411" t="inlineStr"/>
      <c r="E411" t="inlineStr">
        <is>
          <t>EQ</t>
        </is>
      </c>
      <c r="F411" t="inlineStr"/>
      <c r="G411" t="inlineStr"/>
      <c r="H411" s="125" t="n">
        <v>46131</v>
      </c>
      <c r="I411" t="inlineStr"/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N411" t="inlineStr"/>
      <c r="O411" t="inlineStr">
        <is>
          <t>TR429</t>
        </is>
      </c>
      <c r="P411" t="inlineStr"/>
      <c r="Q411" s="112" t="n">
        <v>0</v>
      </c>
      <c r="R411" s="112" t="n">
        <v>65</v>
      </c>
      <c r="S411" s="112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D412" t="inlineStr"/>
      <c r="E412" t="inlineStr">
        <is>
          <t>EQ</t>
        </is>
      </c>
      <c r="F412" t="inlineStr"/>
      <c r="G412" t="inlineStr"/>
      <c r="H412" s="125" t="n">
        <v>46131</v>
      </c>
      <c r="I412" t="inlineStr"/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N412" t="inlineStr"/>
      <c r="O412" t="inlineStr">
        <is>
          <t>RT1479</t>
        </is>
      </c>
      <c r="P412" t="inlineStr"/>
      <c r="Q412" s="112" t="n">
        <v>0</v>
      </c>
      <c r="R412" s="112" t="n">
        <v>79.14</v>
      </c>
      <c r="S412" s="112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D413" t="inlineStr"/>
      <c r="E413" t="inlineStr">
        <is>
          <t>EQ</t>
        </is>
      </c>
      <c r="F413" t="inlineStr"/>
      <c r="G413" t="inlineStr"/>
      <c r="H413" s="125" t="n">
        <v>46131</v>
      </c>
      <c r="I413" t="inlineStr"/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N413" t="inlineStr"/>
      <c r="O413" t="inlineStr">
        <is>
          <t>RT1479</t>
        </is>
      </c>
      <c r="P413" t="inlineStr"/>
      <c r="Q413" s="112" t="n">
        <v>0</v>
      </c>
      <c r="R413" s="112" t="n">
        <v>79.14</v>
      </c>
      <c r="S413" s="112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D414" t="inlineStr"/>
      <c r="E414" t="inlineStr">
        <is>
          <t>EQ</t>
        </is>
      </c>
      <c r="F414" t="inlineStr"/>
      <c r="G414" t="inlineStr"/>
      <c r="H414" s="125" t="n">
        <v>46131</v>
      </c>
      <c r="I414" t="inlineStr"/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N414" t="inlineStr"/>
      <c r="O414" t="inlineStr">
        <is>
          <t>RT1479</t>
        </is>
      </c>
      <c r="P414" t="inlineStr"/>
      <c r="Q414" s="112" t="n">
        <v>0</v>
      </c>
      <c r="R414" s="112" t="n">
        <v>79.14</v>
      </c>
      <c r="S414" s="112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D415" t="inlineStr"/>
      <c r="E415" t="inlineStr">
        <is>
          <t>EQ</t>
        </is>
      </c>
      <c r="F415" t="inlineStr"/>
      <c r="G415" t="inlineStr"/>
      <c r="H415" s="125" t="n">
        <v>46131</v>
      </c>
      <c r="I415" t="inlineStr"/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N415" t="inlineStr"/>
      <c r="O415" t="inlineStr">
        <is>
          <t>RT1479</t>
        </is>
      </c>
      <c r="P415" t="inlineStr"/>
      <c r="Q415" s="112" t="n">
        <v>0</v>
      </c>
      <c r="R415" s="112" t="n">
        <v>79.14</v>
      </c>
      <c r="S415" s="112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D416" t="inlineStr"/>
      <c r="E416" t="inlineStr">
        <is>
          <t>EQ</t>
        </is>
      </c>
      <c r="F416" t="inlineStr"/>
      <c r="G416" t="inlineStr"/>
      <c r="H416" s="125" t="n">
        <v>46131</v>
      </c>
      <c r="I416" t="inlineStr"/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N416" t="inlineStr"/>
      <c r="O416" t="inlineStr">
        <is>
          <t>RT1479</t>
        </is>
      </c>
      <c r="P416" t="inlineStr"/>
      <c r="Q416" s="112" t="n">
        <v>0</v>
      </c>
      <c r="R416" s="112" t="n">
        <v>79.14</v>
      </c>
      <c r="S416" s="112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D417" t="inlineStr"/>
      <c r="E417" t="inlineStr">
        <is>
          <t>EQ</t>
        </is>
      </c>
      <c r="F417" t="inlineStr"/>
      <c r="G417" t="inlineStr"/>
      <c r="H417" s="125" t="n">
        <v>46131</v>
      </c>
      <c r="I417" t="inlineStr"/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N417" t="inlineStr"/>
      <c r="O417" t="inlineStr">
        <is>
          <t>RT1479</t>
        </is>
      </c>
      <c r="P417" t="inlineStr"/>
      <c r="Q417" s="112" t="n">
        <v>0</v>
      </c>
      <c r="R417" s="112" t="n">
        <v>79.14</v>
      </c>
      <c r="S417" s="112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D418" t="inlineStr"/>
      <c r="E418" t="inlineStr">
        <is>
          <t>EQ</t>
        </is>
      </c>
      <c r="F418" t="inlineStr"/>
      <c r="G418" t="inlineStr"/>
      <c r="H418" s="125" t="n">
        <v>46138</v>
      </c>
      <c r="I418" t="inlineStr"/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N418" t="inlineStr"/>
      <c r="O418" t="inlineStr">
        <is>
          <t>WLV106</t>
        </is>
      </c>
      <c r="P418" t="inlineStr"/>
      <c r="Q418" s="112" t="n">
        <v>0</v>
      </c>
      <c r="R418" s="112" t="n">
        <v>79.14</v>
      </c>
      <c r="S418" s="112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D419" t="inlineStr"/>
      <c r="E419" t="inlineStr">
        <is>
          <t>EQ</t>
        </is>
      </c>
      <c r="F419" t="inlineStr"/>
      <c r="G419" t="inlineStr"/>
      <c r="H419" s="125" t="n">
        <v>46138</v>
      </c>
      <c r="I419" t="inlineStr"/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N419" t="inlineStr"/>
      <c r="O419" t="inlineStr">
        <is>
          <t>WLV106</t>
        </is>
      </c>
      <c r="P419" t="inlineStr"/>
      <c r="Q419" s="112" t="n">
        <v>0</v>
      </c>
      <c r="R419" s="112" t="n">
        <v>79.14</v>
      </c>
      <c r="S419" s="112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D420" t="inlineStr"/>
      <c r="E420" t="inlineStr">
        <is>
          <t>EQ</t>
        </is>
      </c>
      <c r="F420" t="inlineStr"/>
      <c r="G420" t="inlineStr"/>
      <c r="H420" s="125" t="n">
        <v>46138</v>
      </c>
      <c r="I420" t="inlineStr"/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N420" t="inlineStr"/>
      <c r="O420" t="inlineStr">
        <is>
          <t>WLV106</t>
        </is>
      </c>
      <c r="P420" t="inlineStr"/>
      <c r="Q420" s="112" t="n">
        <v>0</v>
      </c>
      <c r="R420" s="112" t="n">
        <v>79.14</v>
      </c>
      <c r="S420" s="112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D421" t="inlineStr"/>
      <c r="E421" t="inlineStr">
        <is>
          <t>EQ</t>
        </is>
      </c>
      <c r="F421" t="inlineStr"/>
      <c r="G421" t="inlineStr"/>
      <c r="H421" s="125" t="n">
        <v>46138</v>
      </c>
      <c r="I421" t="inlineStr"/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N421" t="inlineStr"/>
      <c r="O421" t="inlineStr">
        <is>
          <t>WLV106</t>
        </is>
      </c>
      <c r="P421" t="inlineStr"/>
      <c r="Q421" s="112" t="n">
        <v>0</v>
      </c>
      <c r="R421" s="112" t="n">
        <v>79.14</v>
      </c>
      <c r="S421" s="112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D422" t="inlineStr"/>
      <c r="E422" t="inlineStr">
        <is>
          <t>EQ</t>
        </is>
      </c>
      <c r="F422" t="inlineStr"/>
      <c r="G422" t="inlineStr"/>
      <c r="H422" s="125" t="n">
        <v>46138</v>
      </c>
      <c r="I422" t="inlineStr"/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N422" t="inlineStr"/>
      <c r="O422" t="inlineStr">
        <is>
          <t>WLV106</t>
        </is>
      </c>
      <c r="P422" t="inlineStr"/>
      <c r="Q422" s="112" t="n">
        <v>0</v>
      </c>
      <c r="R422" s="112" t="n">
        <v>79.14</v>
      </c>
      <c r="S422" s="112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D423" t="inlineStr"/>
      <c r="E423" t="inlineStr">
        <is>
          <t>EQ</t>
        </is>
      </c>
      <c r="F423" t="inlineStr"/>
      <c r="G423" t="inlineStr"/>
      <c r="H423" s="125" t="n">
        <v>46138</v>
      </c>
      <c r="I423" t="inlineStr"/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N423" t="inlineStr"/>
      <c r="O423" t="inlineStr">
        <is>
          <t>WLV106</t>
        </is>
      </c>
      <c r="P423" t="inlineStr"/>
      <c r="Q423" s="112" t="n">
        <v>0</v>
      </c>
      <c r="R423" s="112" t="n">
        <v>79.14</v>
      </c>
      <c r="S423" s="112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D424" t="inlineStr"/>
      <c r="E424" t="inlineStr">
        <is>
          <t>EQ</t>
        </is>
      </c>
      <c r="F424" t="inlineStr"/>
      <c r="G424" t="inlineStr"/>
      <c r="H424" s="125" t="n">
        <v>46138</v>
      </c>
      <c r="I424" t="inlineStr"/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N424" t="inlineStr"/>
      <c r="O424" t="inlineStr">
        <is>
          <t>RT1351</t>
        </is>
      </c>
      <c r="P424" t="inlineStr"/>
      <c r="Q424" s="112" t="n">
        <v>0</v>
      </c>
      <c r="R424" s="112" t="n">
        <v>79.14</v>
      </c>
      <c r="S424" s="112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D425" t="inlineStr"/>
      <c r="E425" t="inlineStr">
        <is>
          <t>EQ</t>
        </is>
      </c>
      <c r="F425" t="inlineStr"/>
      <c r="G425" t="inlineStr"/>
      <c r="H425" s="125" t="n">
        <v>46138</v>
      </c>
      <c r="I425" t="inlineStr"/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N425" t="inlineStr"/>
      <c r="O425" t="inlineStr">
        <is>
          <t>RT1351</t>
        </is>
      </c>
      <c r="P425" t="inlineStr"/>
      <c r="Q425" s="112" t="n">
        <v>0</v>
      </c>
      <c r="R425" s="112" t="n">
        <v>79.14</v>
      </c>
      <c r="S425" s="112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D426" t="inlineStr"/>
      <c r="E426" t="inlineStr">
        <is>
          <t>EQ</t>
        </is>
      </c>
      <c r="F426" t="inlineStr"/>
      <c r="G426" t="inlineStr"/>
      <c r="H426" s="125" t="n">
        <v>46138</v>
      </c>
      <c r="I426" t="inlineStr"/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N426" t="inlineStr"/>
      <c r="O426" t="inlineStr">
        <is>
          <t>RT1351</t>
        </is>
      </c>
      <c r="P426" t="inlineStr"/>
      <c r="Q426" s="112" t="n">
        <v>0</v>
      </c>
      <c r="R426" s="112" t="n">
        <v>79.14</v>
      </c>
      <c r="S426" s="112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D427" t="inlineStr"/>
      <c r="E427" t="inlineStr">
        <is>
          <t>EQ</t>
        </is>
      </c>
      <c r="F427" t="inlineStr"/>
      <c r="G427" t="inlineStr"/>
      <c r="H427" s="125" t="n">
        <v>46138</v>
      </c>
      <c r="I427" t="inlineStr"/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N427" t="inlineStr"/>
      <c r="O427" t="inlineStr">
        <is>
          <t>RT1351</t>
        </is>
      </c>
      <c r="P427" t="inlineStr"/>
      <c r="Q427" s="112" t="n">
        <v>0</v>
      </c>
      <c r="R427" s="112" t="n">
        <v>79.14</v>
      </c>
      <c r="S427" s="112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D428" t="inlineStr"/>
      <c r="E428" t="inlineStr">
        <is>
          <t>EQ</t>
        </is>
      </c>
      <c r="F428" t="inlineStr"/>
      <c r="G428" t="inlineStr"/>
      <c r="H428" s="125" t="n">
        <v>46138</v>
      </c>
      <c r="I428" t="inlineStr"/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N428" t="inlineStr"/>
      <c r="O428" t="inlineStr">
        <is>
          <t>RT1351</t>
        </is>
      </c>
      <c r="P428" t="inlineStr"/>
      <c r="Q428" s="112" t="n">
        <v>0</v>
      </c>
      <c r="R428" s="112" t="n">
        <v>79.14</v>
      </c>
      <c r="S428" s="112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D429" t="inlineStr"/>
      <c r="E429" t="inlineStr">
        <is>
          <t>EQ</t>
        </is>
      </c>
      <c r="F429" t="inlineStr"/>
      <c r="G429" t="inlineStr"/>
      <c r="H429" s="125" t="n">
        <v>46138</v>
      </c>
      <c r="I429" t="inlineStr"/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N429" t="inlineStr"/>
      <c r="O429" t="inlineStr">
        <is>
          <t>RT1351</t>
        </is>
      </c>
      <c r="P429" t="inlineStr"/>
      <c r="Q429" s="112" t="n">
        <v>0</v>
      </c>
      <c r="R429" s="112" t="n">
        <v>79.14</v>
      </c>
      <c r="S429" s="112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D430" t="inlineStr"/>
      <c r="E430" t="inlineStr">
        <is>
          <t>EQ</t>
        </is>
      </c>
      <c r="F430" t="inlineStr"/>
      <c r="G430" t="inlineStr"/>
      <c r="H430" s="125" t="n">
        <v>46138</v>
      </c>
      <c r="I430" t="inlineStr"/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N430" t="inlineStr"/>
      <c r="O430" t="inlineStr">
        <is>
          <t>TR429</t>
        </is>
      </c>
      <c r="P430" t="inlineStr"/>
      <c r="Q430" s="112" t="n">
        <v>0</v>
      </c>
      <c r="R430" s="112" t="n">
        <v>65</v>
      </c>
      <c r="S430" s="112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D431" t="inlineStr"/>
      <c r="E431" t="inlineStr">
        <is>
          <t>EQ</t>
        </is>
      </c>
      <c r="F431" t="inlineStr"/>
      <c r="G431" t="inlineStr"/>
      <c r="H431" s="125" t="n">
        <v>46138</v>
      </c>
      <c r="I431" t="inlineStr"/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N431" t="inlineStr"/>
      <c r="O431" t="inlineStr">
        <is>
          <t>TR429</t>
        </is>
      </c>
      <c r="P431" t="inlineStr"/>
      <c r="Q431" s="112" t="n">
        <v>0</v>
      </c>
      <c r="R431" s="112" t="n">
        <v>65</v>
      </c>
      <c r="S431" s="112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D432" t="inlineStr"/>
      <c r="E432" t="inlineStr">
        <is>
          <t>EQ</t>
        </is>
      </c>
      <c r="F432" t="inlineStr"/>
      <c r="G432" t="inlineStr"/>
      <c r="H432" s="125" t="n">
        <v>46138</v>
      </c>
      <c r="I432" t="inlineStr"/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N432" t="inlineStr"/>
      <c r="O432" t="inlineStr">
        <is>
          <t>TR429</t>
        </is>
      </c>
      <c r="P432" t="inlineStr"/>
      <c r="Q432" s="112" t="n">
        <v>0</v>
      </c>
      <c r="R432" s="112" t="n">
        <v>65</v>
      </c>
      <c r="S432" s="112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D433" t="inlineStr"/>
      <c r="E433" t="inlineStr">
        <is>
          <t>EQ</t>
        </is>
      </c>
      <c r="F433" t="inlineStr"/>
      <c r="G433" t="inlineStr"/>
      <c r="H433" s="125" t="n">
        <v>46138</v>
      </c>
      <c r="I433" t="inlineStr"/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N433" t="inlineStr"/>
      <c r="O433" t="inlineStr">
        <is>
          <t>TR429</t>
        </is>
      </c>
      <c r="P433" t="inlineStr"/>
      <c r="Q433" s="112" t="n">
        <v>0</v>
      </c>
      <c r="R433" s="112" t="n">
        <v>65</v>
      </c>
      <c r="S433" s="112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D434" t="inlineStr"/>
      <c r="E434" t="inlineStr">
        <is>
          <t>EQ</t>
        </is>
      </c>
      <c r="F434" t="inlineStr"/>
      <c r="G434" t="inlineStr"/>
      <c r="H434" s="125" t="n">
        <v>46138</v>
      </c>
      <c r="I434" t="inlineStr"/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N434" t="inlineStr"/>
      <c r="O434" t="inlineStr">
        <is>
          <t>TR429</t>
        </is>
      </c>
      <c r="P434" t="inlineStr"/>
      <c r="Q434" s="112" t="n">
        <v>0</v>
      </c>
      <c r="R434" s="112" t="n">
        <v>65</v>
      </c>
      <c r="S434" s="112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D435" t="inlineStr"/>
      <c r="E435" t="inlineStr">
        <is>
          <t>EQ</t>
        </is>
      </c>
      <c r="F435" t="inlineStr"/>
      <c r="G435" t="inlineStr"/>
      <c r="H435" s="125" t="n">
        <v>46138</v>
      </c>
      <c r="I435" t="inlineStr"/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N435" t="inlineStr"/>
      <c r="O435" t="inlineStr">
        <is>
          <t>TR429</t>
        </is>
      </c>
      <c r="P435" t="inlineStr"/>
      <c r="Q435" s="112" t="n">
        <v>0</v>
      </c>
      <c r="R435" s="112" t="n">
        <v>65</v>
      </c>
      <c r="S435" s="112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D436" t="inlineStr"/>
      <c r="E436" t="inlineStr">
        <is>
          <t>EQ</t>
        </is>
      </c>
      <c r="F436" t="inlineStr"/>
      <c r="G436" t="inlineStr"/>
      <c r="H436" s="125" t="n">
        <v>46138</v>
      </c>
      <c r="I436" t="inlineStr"/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N436" t="inlineStr"/>
      <c r="O436" t="inlineStr">
        <is>
          <t>RT1479</t>
        </is>
      </c>
      <c r="P436" t="inlineStr"/>
      <c r="Q436" s="112" t="n">
        <v>0</v>
      </c>
      <c r="R436" s="112" t="n">
        <v>79.14</v>
      </c>
      <c r="S436" s="112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D437" t="inlineStr"/>
      <c r="E437" t="inlineStr">
        <is>
          <t>EQ</t>
        </is>
      </c>
      <c r="F437" t="inlineStr"/>
      <c r="G437" t="inlineStr"/>
      <c r="H437" s="125" t="n">
        <v>46138</v>
      </c>
      <c r="I437" t="inlineStr"/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N437" t="inlineStr"/>
      <c r="O437" t="inlineStr">
        <is>
          <t>RT1479</t>
        </is>
      </c>
      <c r="P437" t="inlineStr"/>
      <c r="Q437" s="112" t="n">
        <v>0</v>
      </c>
      <c r="R437" s="112" t="n">
        <v>79.14</v>
      </c>
      <c r="S437" s="112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D438" t="inlineStr"/>
      <c r="E438" t="inlineStr">
        <is>
          <t>EQ</t>
        </is>
      </c>
      <c r="F438" t="inlineStr"/>
      <c r="G438" t="inlineStr"/>
      <c r="H438" s="125" t="n">
        <v>46138</v>
      </c>
      <c r="I438" t="inlineStr"/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N438" t="inlineStr"/>
      <c r="O438" t="inlineStr">
        <is>
          <t>RT1479</t>
        </is>
      </c>
      <c r="P438" t="inlineStr"/>
      <c r="Q438" s="112" t="n">
        <v>0</v>
      </c>
      <c r="R438" s="112" t="n">
        <v>79.14</v>
      </c>
      <c r="S438" s="112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D439" t="inlineStr"/>
      <c r="E439" t="inlineStr">
        <is>
          <t>EQ</t>
        </is>
      </c>
      <c r="F439" t="inlineStr"/>
      <c r="G439" t="inlineStr"/>
      <c r="H439" s="125" t="n">
        <v>46142</v>
      </c>
      <c r="I439" t="inlineStr"/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N439" t="inlineStr"/>
      <c r="O439" t="inlineStr">
        <is>
          <t>WLV106</t>
        </is>
      </c>
      <c r="P439" t="inlineStr"/>
      <c r="Q439" s="112" t="n">
        <v>0</v>
      </c>
      <c r="R439" s="112" t="n">
        <v>79.14</v>
      </c>
      <c r="S439" s="112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D440" t="inlineStr"/>
      <c r="E440" t="inlineStr">
        <is>
          <t>EQ</t>
        </is>
      </c>
      <c r="F440" t="inlineStr"/>
      <c r="G440" t="inlineStr"/>
      <c r="H440" s="125" t="n">
        <v>46142</v>
      </c>
      <c r="I440" t="inlineStr"/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N440" t="inlineStr"/>
      <c r="O440" t="inlineStr">
        <is>
          <t>WLV106</t>
        </is>
      </c>
      <c r="P440" t="inlineStr"/>
      <c r="Q440" s="112" t="n">
        <v>0</v>
      </c>
      <c r="R440" s="112" t="n">
        <v>79.14</v>
      </c>
      <c r="S440" s="112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D441" t="inlineStr"/>
      <c r="E441" t="inlineStr">
        <is>
          <t>EQ</t>
        </is>
      </c>
      <c r="F441" t="inlineStr"/>
      <c r="G441" s="126" t="inlineStr"/>
      <c r="H441" s="125" t="n">
        <v>46142</v>
      </c>
      <c r="I441" t="inlineStr"/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N441" t="inlineStr"/>
      <c r="O441" t="inlineStr">
        <is>
          <t>WLV106</t>
        </is>
      </c>
      <c r="P441" t="inlineStr"/>
      <c r="Q441" s="112" t="n">
        <v>0</v>
      </c>
      <c r="R441" s="112" t="n">
        <v>79.14</v>
      </c>
      <c r="S441" s="112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D442" t="inlineStr"/>
      <c r="E442" t="inlineStr">
        <is>
          <t>EQ</t>
        </is>
      </c>
      <c r="F442" t="inlineStr"/>
      <c r="G442" s="126" t="inlineStr"/>
      <c r="H442" s="125" t="n">
        <v>46142</v>
      </c>
      <c r="I442" t="inlineStr"/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N442" t="inlineStr"/>
      <c r="O442" t="inlineStr">
        <is>
          <t>WLV106</t>
        </is>
      </c>
      <c r="P442" t="inlineStr"/>
      <c r="Q442" s="112" t="n">
        <v>0</v>
      </c>
      <c r="R442" s="112" t="n">
        <v>79.14</v>
      </c>
      <c r="S442" s="112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D443" t="inlineStr"/>
      <c r="E443" t="inlineStr">
        <is>
          <t>EQ</t>
        </is>
      </c>
      <c r="F443" t="inlineStr"/>
      <c r="G443" s="126" t="inlineStr"/>
      <c r="H443" s="125" t="n">
        <v>46142</v>
      </c>
      <c r="I443" t="inlineStr"/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N443" t="inlineStr"/>
      <c r="O443" t="inlineStr">
        <is>
          <t>RT1351</t>
        </is>
      </c>
      <c r="P443" t="inlineStr"/>
      <c r="Q443" s="112" t="n">
        <v>0</v>
      </c>
      <c r="R443" s="112" t="n">
        <v>79.14</v>
      </c>
      <c r="S443" s="112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D444" t="inlineStr"/>
      <c r="E444" t="inlineStr">
        <is>
          <t>EQ</t>
        </is>
      </c>
      <c r="F444" t="inlineStr"/>
      <c r="G444" s="126" t="inlineStr"/>
      <c r="H444" s="125" t="n">
        <v>46142</v>
      </c>
      <c r="I444" t="inlineStr"/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N444" t="inlineStr"/>
      <c r="O444" t="inlineStr">
        <is>
          <t>RT1351</t>
        </is>
      </c>
      <c r="P444" t="inlineStr"/>
      <c r="Q444" s="112" t="n">
        <v>0</v>
      </c>
      <c r="R444" s="112" t="n">
        <v>79.14</v>
      </c>
      <c r="S444" s="112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D445" t="inlineStr"/>
      <c r="E445" t="inlineStr">
        <is>
          <t>EQ</t>
        </is>
      </c>
      <c r="F445" t="inlineStr"/>
      <c r="G445" s="126" t="inlineStr"/>
      <c r="H445" s="125" t="n">
        <v>46142</v>
      </c>
      <c r="I445" t="inlineStr"/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N445" t="inlineStr"/>
      <c r="O445" t="inlineStr">
        <is>
          <t>RT1351</t>
        </is>
      </c>
      <c r="P445" t="inlineStr"/>
      <c r="Q445" s="112" t="n">
        <v>0</v>
      </c>
      <c r="R445" s="112" t="n">
        <v>79.14</v>
      </c>
      <c r="S445" s="112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D446" t="inlineStr"/>
      <c r="E446" t="inlineStr">
        <is>
          <t>EQ</t>
        </is>
      </c>
      <c r="F446" t="inlineStr"/>
      <c r="G446" s="126" t="inlineStr"/>
      <c r="H446" s="125" t="n">
        <v>46142</v>
      </c>
      <c r="I446" t="inlineStr"/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N446" t="inlineStr"/>
      <c r="O446" t="inlineStr">
        <is>
          <t>RT1351</t>
        </is>
      </c>
      <c r="P446" t="inlineStr"/>
      <c r="Q446" s="112" t="n">
        <v>0</v>
      </c>
      <c r="R446" s="112" t="n">
        <v>79.14</v>
      </c>
      <c r="S446" s="112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D447" t="inlineStr"/>
      <c r="E447" t="inlineStr">
        <is>
          <t>EQ</t>
        </is>
      </c>
      <c r="F447" t="inlineStr"/>
      <c r="G447" s="126" t="inlineStr"/>
      <c r="H447" s="125" t="n">
        <v>46142</v>
      </c>
      <c r="I447" t="inlineStr"/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N447" t="inlineStr"/>
      <c r="O447" t="inlineStr">
        <is>
          <t>TR429</t>
        </is>
      </c>
      <c r="P447" t="inlineStr"/>
      <c r="Q447" s="112" t="n">
        <v>0</v>
      </c>
      <c r="R447" s="112" t="n">
        <v>65</v>
      </c>
      <c r="S447" s="112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D448" t="inlineStr"/>
      <c r="E448" t="inlineStr">
        <is>
          <t>EQ</t>
        </is>
      </c>
      <c r="F448" t="inlineStr"/>
      <c r="G448" s="126" t="inlineStr"/>
      <c r="H448" s="125" t="n">
        <v>46142</v>
      </c>
      <c r="I448" t="inlineStr"/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N448" t="inlineStr"/>
      <c r="O448" t="inlineStr">
        <is>
          <t>TR429</t>
        </is>
      </c>
      <c r="P448" t="inlineStr"/>
      <c r="Q448" s="112" t="n">
        <v>0</v>
      </c>
      <c r="R448" s="112" t="n">
        <v>65</v>
      </c>
      <c r="S448" s="112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D449" t="inlineStr"/>
      <c r="E449" t="inlineStr">
        <is>
          <t>EQ</t>
        </is>
      </c>
      <c r="F449" t="inlineStr"/>
      <c r="G449" s="126" t="inlineStr"/>
      <c r="H449" s="125" t="n">
        <v>46142</v>
      </c>
      <c r="I449" t="inlineStr"/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N449" t="inlineStr"/>
      <c r="O449" t="inlineStr">
        <is>
          <t>TR429</t>
        </is>
      </c>
      <c r="P449" t="inlineStr"/>
      <c r="Q449" s="112" t="n">
        <v>0</v>
      </c>
      <c r="R449" s="112" t="n">
        <v>65</v>
      </c>
      <c r="S449" s="112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D450" t="inlineStr"/>
      <c r="E450" t="inlineStr">
        <is>
          <t>EQ</t>
        </is>
      </c>
      <c r="F450" t="inlineStr"/>
      <c r="G450" s="126" t="inlineStr"/>
      <c r="H450" s="125" t="n">
        <v>46142</v>
      </c>
      <c r="I450" t="inlineStr"/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N450" t="inlineStr"/>
      <c r="O450" t="inlineStr">
        <is>
          <t>TR429</t>
        </is>
      </c>
      <c r="P450" t="inlineStr"/>
      <c r="Q450" s="112" t="n">
        <v>0</v>
      </c>
      <c r="R450" s="112" t="n">
        <v>65</v>
      </c>
      <c r="S450" s="112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D451" t="inlineStr"/>
      <c r="E451" t="inlineStr">
        <is>
          <t>EQ</t>
        </is>
      </c>
      <c r="F451" t="inlineStr"/>
      <c r="G451" s="126" t="inlineStr"/>
      <c r="H451" s="125" t="n">
        <v>46142</v>
      </c>
      <c r="I451" t="inlineStr"/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N451" t="inlineStr"/>
      <c r="O451" t="inlineStr">
        <is>
          <t>RT1479</t>
        </is>
      </c>
      <c r="P451" t="inlineStr"/>
      <c r="Q451" s="112" t="n">
        <v>0</v>
      </c>
      <c r="R451" s="112" t="n">
        <v>79.14</v>
      </c>
      <c r="S451" s="112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D452" t="inlineStr"/>
      <c r="E452" t="inlineStr">
        <is>
          <t>EQ</t>
        </is>
      </c>
      <c r="F452" t="inlineStr"/>
      <c r="G452" s="126" t="inlineStr"/>
      <c r="H452" s="125" t="n">
        <v>46142</v>
      </c>
      <c r="I452" t="inlineStr"/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N452" t="inlineStr"/>
      <c r="O452" t="inlineStr">
        <is>
          <t>RT1479</t>
        </is>
      </c>
      <c r="P452" t="inlineStr"/>
      <c r="Q452" s="112" t="n">
        <v>0</v>
      </c>
      <c r="R452" s="112" t="n">
        <v>79.14</v>
      </c>
      <c r="S452" s="112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D453" t="inlineStr"/>
      <c r="E453" t="inlineStr">
        <is>
          <t>EQ</t>
        </is>
      </c>
      <c r="F453" t="inlineStr"/>
      <c r="G453" s="126" t="inlineStr"/>
      <c r="H453" s="125" t="n">
        <v>46142</v>
      </c>
      <c r="I453" t="inlineStr"/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N453" t="inlineStr"/>
      <c r="O453" t="inlineStr">
        <is>
          <t>RT1479</t>
        </is>
      </c>
      <c r="P453" t="inlineStr"/>
      <c r="Q453" s="112" t="n">
        <v>0</v>
      </c>
      <c r="R453" s="112" t="n">
        <v>79.14</v>
      </c>
      <c r="S453" s="112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D454" t="inlineStr"/>
      <c r="E454" t="inlineStr">
        <is>
          <t>EQ</t>
        </is>
      </c>
      <c r="F454" t="inlineStr"/>
      <c r="G454" s="126" t="inlineStr"/>
      <c r="H454" s="125" t="n">
        <v>46142</v>
      </c>
      <c r="I454" t="inlineStr"/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N454" t="inlineStr"/>
      <c r="O454" t="inlineStr">
        <is>
          <t>RT1479</t>
        </is>
      </c>
      <c r="P454" t="inlineStr"/>
      <c r="Q454" s="112" t="n">
        <v>0</v>
      </c>
      <c r="R454" s="112" t="n">
        <v>79.14</v>
      </c>
      <c r="S454" s="112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D455" t="inlineStr"/>
      <c r="E455" t="inlineStr">
        <is>
          <t>EQ</t>
        </is>
      </c>
      <c r="F455" t="inlineStr"/>
      <c r="G455" s="126" t="inlineStr"/>
      <c r="H455" s="125" t="n">
        <v>46145</v>
      </c>
      <c r="I455" t="inlineStr"/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N455" t="inlineStr"/>
      <c r="O455" t="inlineStr">
        <is>
          <t>WLV106</t>
        </is>
      </c>
      <c r="P455" t="inlineStr"/>
      <c r="Q455" s="112" t="n">
        <v>0</v>
      </c>
      <c r="R455" s="112" t="n">
        <v>79.14</v>
      </c>
      <c r="S455" s="112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D456" t="inlineStr"/>
      <c r="E456" t="inlineStr">
        <is>
          <t>EQ</t>
        </is>
      </c>
      <c r="F456" t="inlineStr"/>
      <c r="G456" s="126" t="inlineStr"/>
      <c r="H456" s="125" t="n">
        <v>46145</v>
      </c>
      <c r="I456" t="inlineStr"/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N456" t="inlineStr"/>
      <c r="O456" t="inlineStr">
        <is>
          <t>WLV106</t>
        </is>
      </c>
      <c r="P456" t="inlineStr"/>
      <c r="Q456" s="112" t="n">
        <v>0</v>
      </c>
      <c r="R456" s="112" t="n">
        <v>79.14</v>
      </c>
      <c r="S456" s="112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D457" t="inlineStr"/>
      <c r="E457" t="inlineStr">
        <is>
          <t>EQ</t>
        </is>
      </c>
      <c r="F457" t="inlineStr"/>
      <c r="G457" s="126" t="inlineStr"/>
      <c r="H457" s="125" t="n">
        <v>46145</v>
      </c>
      <c r="I457" t="inlineStr"/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N457" t="inlineStr"/>
      <c r="O457" t="inlineStr">
        <is>
          <t>RT1351</t>
        </is>
      </c>
      <c r="P457" t="inlineStr"/>
      <c r="Q457" s="112" t="n">
        <v>0</v>
      </c>
      <c r="R457" s="112" t="n">
        <v>79.14</v>
      </c>
      <c r="S457" s="112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D458" t="inlineStr"/>
      <c r="E458" t="inlineStr">
        <is>
          <t>EQ</t>
        </is>
      </c>
      <c r="F458" t="inlineStr"/>
      <c r="G458" s="126" t="inlineStr"/>
      <c r="H458" s="125" t="n">
        <v>46145</v>
      </c>
      <c r="I458" t="inlineStr"/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N458" t="inlineStr"/>
      <c r="O458" t="inlineStr">
        <is>
          <t>RT1351</t>
        </is>
      </c>
      <c r="P458" t="inlineStr"/>
      <c r="Q458" s="112" t="n">
        <v>0</v>
      </c>
      <c r="R458" s="112" t="n">
        <v>79.14</v>
      </c>
      <c r="S458" s="112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D459" t="inlineStr"/>
      <c r="E459" t="inlineStr">
        <is>
          <t>EQ</t>
        </is>
      </c>
      <c r="F459" t="inlineStr"/>
      <c r="G459" s="126" t="inlineStr"/>
      <c r="H459" s="125" t="n">
        <v>46145</v>
      </c>
      <c r="I459" t="inlineStr"/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N459" t="inlineStr"/>
      <c r="O459" t="inlineStr">
        <is>
          <t>TR429</t>
        </is>
      </c>
      <c r="P459" t="inlineStr"/>
      <c r="Q459" s="112" t="n">
        <v>0</v>
      </c>
      <c r="R459" s="112" t="n">
        <v>65</v>
      </c>
      <c r="S459" s="112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D460" t="inlineStr"/>
      <c r="E460" t="inlineStr">
        <is>
          <t>EQ</t>
        </is>
      </c>
      <c r="F460" t="inlineStr"/>
      <c r="G460" t="inlineStr"/>
      <c r="H460" s="125" t="n">
        <v>46145</v>
      </c>
      <c r="I460" t="inlineStr"/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N460" t="inlineStr"/>
      <c r="O460" t="inlineStr">
        <is>
          <t>TR429</t>
        </is>
      </c>
      <c r="P460" t="inlineStr"/>
      <c r="Q460" s="112" t="n">
        <v>0</v>
      </c>
      <c r="R460" s="112" t="n">
        <v>65</v>
      </c>
      <c r="S460" s="112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D461" t="inlineStr"/>
      <c r="E461" t="inlineStr">
        <is>
          <t>EQ</t>
        </is>
      </c>
      <c r="F461" t="inlineStr"/>
      <c r="G461" t="inlineStr"/>
      <c r="H461" s="125" t="n">
        <v>46145</v>
      </c>
      <c r="I461" t="inlineStr"/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N461" t="inlineStr"/>
      <c r="O461" t="inlineStr">
        <is>
          <t>RT1479</t>
        </is>
      </c>
      <c r="P461" t="inlineStr"/>
      <c r="Q461" s="112" t="n">
        <v>0</v>
      </c>
      <c r="R461" s="112" t="n">
        <v>79.14</v>
      </c>
      <c r="S461" s="112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D462" t="inlineStr"/>
      <c r="E462" t="inlineStr">
        <is>
          <t>EQ</t>
        </is>
      </c>
      <c r="F462" t="inlineStr"/>
      <c r="G462" t="inlineStr"/>
      <c r="H462" s="125" t="n">
        <v>46145</v>
      </c>
      <c r="I462" t="inlineStr"/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N462" t="inlineStr"/>
      <c r="O462" t="inlineStr">
        <is>
          <t>RT1479</t>
        </is>
      </c>
      <c r="P462" t="inlineStr"/>
      <c r="Q462" s="112" t="n">
        <v>0</v>
      </c>
      <c r="R462" s="112" t="n">
        <v>79.14</v>
      </c>
      <c r="S462" s="112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D463" t="inlineStr"/>
      <c r="E463" t="inlineStr">
        <is>
          <t>EQ</t>
        </is>
      </c>
      <c r="F463" t="inlineStr"/>
      <c r="G463" t="inlineStr"/>
      <c r="H463" s="125" t="n">
        <v>46152</v>
      </c>
      <c r="I463" t="inlineStr"/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N463" t="inlineStr"/>
      <c r="O463" t="inlineStr">
        <is>
          <t>WLV106</t>
        </is>
      </c>
      <c r="P463" t="inlineStr"/>
      <c r="Q463" s="112" t="n">
        <v>0</v>
      </c>
      <c r="R463" s="112" t="n">
        <v>79.14</v>
      </c>
      <c r="S463" s="112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D464" t="inlineStr"/>
      <c r="E464" t="inlineStr">
        <is>
          <t>EQ</t>
        </is>
      </c>
      <c r="F464" t="inlineStr"/>
      <c r="G464" t="inlineStr"/>
      <c r="H464" s="125" t="n">
        <v>46152</v>
      </c>
      <c r="I464" t="inlineStr"/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N464" t="inlineStr"/>
      <c r="O464" t="inlineStr">
        <is>
          <t>WLV106</t>
        </is>
      </c>
      <c r="P464" t="inlineStr"/>
      <c r="Q464" s="112" t="n">
        <v>0</v>
      </c>
      <c r="R464" s="112" t="n">
        <v>79.14</v>
      </c>
      <c r="S464" s="112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D465" t="inlineStr"/>
      <c r="E465" t="inlineStr">
        <is>
          <t>EQ</t>
        </is>
      </c>
      <c r="F465" t="inlineStr"/>
      <c r="G465" t="inlineStr"/>
      <c r="H465" s="125" t="n">
        <v>46152</v>
      </c>
      <c r="I465" t="inlineStr"/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N465" t="inlineStr"/>
      <c r="O465" t="inlineStr">
        <is>
          <t>WLV106</t>
        </is>
      </c>
      <c r="P465" t="inlineStr"/>
      <c r="Q465" s="112" t="n">
        <v>0</v>
      </c>
      <c r="R465" s="112" t="n">
        <v>79.14</v>
      </c>
      <c r="S465" s="112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D466" t="inlineStr"/>
      <c r="E466" t="inlineStr">
        <is>
          <t>EQ</t>
        </is>
      </c>
      <c r="F466" t="inlineStr"/>
      <c r="G466" t="inlineStr"/>
      <c r="H466" s="125" t="n">
        <v>46152</v>
      </c>
      <c r="I466" t="inlineStr"/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N466" t="inlineStr"/>
      <c r="O466" t="inlineStr">
        <is>
          <t>WLV106</t>
        </is>
      </c>
      <c r="P466" t="inlineStr"/>
      <c r="Q466" s="112" t="n">
        <v>0</v>
      </c>
      <c r="R466" s="112" t="n">
        <v>79.14</v>
      </c>
      <c r="S466" s="112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D467" t="inlineStr"/>
      <c r="E467" t="inlineStr">
        <is>
          <t>EQ</t>
        </is>
      </c>
      <c r="F467" t="inlineStr"/>
      <c r="G467" t="inlineStr"/>
      <c r="H467" s="125" t="n">
        <v>46152</v>
      </c>
      <c r="I467" t="inlineStr"/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N467" t="inlineStr"/>
      <c r="O467" t="inlineStr">
        <is>
          <t>WLV106</t>
        </is>
      </c>
      <c r="P467" t="inlineStr"/>
      <c r="Q467" s="112" t="n">
        <v>0</v>
      </c>
      <c r="R467" s="112" t="n">
        <v>79.14</v>
      </c>
      <c r="S467" s="112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D468" t="inlineStr"/>
      <c r="E468" t="inlineStr">
        <is>
          <t>EQ</t>
        </is>
      </c>
      <c r="F468" t="inlineStr"/>
      <c r="G468" t="inlineStr"/>
      <c r="H468" s="125" t="n">
        <v>46152</v>
      </c>
      <c r="I468" t="inlineStr"/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N468" t="inlineStr"/>
      <c r="O468" t="inlineStr">
        <is>
          <t>WLV106</t>
        </is>
      </c>
      <c r="P468" t="inlineStr"/>
      <c r="Q468" s="112" t="n">
        <v>0</v>
      </c>
      <c r="R468" s="112" t="n">
        <v>79.14</v>
      </c>
      <c r="S468" s="112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D469" t="inlineStr"/>
      <c r="E469" t="inlineStr">
        <is>
          <t>EQ</t>
        </is>
      </c>
      <c r="F469" t="inlineStr"/>
      <c r="G469" t="inlineStr"/>
      <c r="H469" s="125" t="n">
        <v>46152</v>
      </c>
      <c r="I469" t="inlineStr"/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N469" t="inlineStr"/>
      <c r="O469" t="inlineStr">
        <is>
          <t>RT1351</t>
        </is>
      </c>
      <c r="P469" t="inlineStr"/>
      <c r="Q469" s="112" t="n">
        <v>0</v>
      </c>
      <c r="R469" s="112" t="n">
        <v>79.14</v>
      </c>
      <c r="S469" s="112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D470" t="inlineStr"/>
      <c r="E470" t="inlineStr">
        <is>
          <t>EQ</t>
        </is>
      </c>
      <c r="F470" t="inlineStr"/>
      <c r="G470" t="inlineStr"/>
      <c r="H470" s="125" t="n">
        <v>46152</v>
      </c>
      <c r="I470" t="inlineStr"/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N470" t="inlineStr"/>
      <c r="O470" t="inlineStr">
        <is>
          <t>RT1351</t>
        </is>
      </c>
      <c r="P470" t="inlineStr"/>
      <c r="Q470" s="112" t="n">
        <v>0</v>
      </c>
      <c r="R470" s="112" t="n">
        <v>79.14</v>
      </c>
      <c r="S470" s="112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D471" t="inlineStr"/>
      <c r="E471" t="inlineStr">
        <is>
          <t>EQ</t>
        </is>
      </c>
      <c r="F471" t="inlineStr"/>
      <c r="G471" t="inlineStr"/>
      <c r="H471" s="125" t="n">
        <v>46152</v>
      </c>
      <c r="I471" t="inlineStr"/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N471" t="inlineStr"/>
      <c r="O471" t="inlineStr">
        <is>
          <t>RT1351</t>
        </is>
      </c>
      <c r="P471" t="inlineStr"/>
      <c r="Q471" s="112" t="n">
        <v>0</v>
      </c>
      <c r="R471" s="112" t="n">
        <v>79.14</v>
      </c>
      <c r="S471" s="112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D472" t="inlineStr"/>
      <c r="E472" t="inlineStr">
        <is>
          <t>EQ</t>
        </is>
      </c>
      <c r="F472" t="inlineStr"/>
      <c r="G472" t="inlineStr"/>
      <c r="H472" s="125" t="n">
        <v>46152</v>
      </c>
      <c r="I472" t="inlineStr"/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N472" t="inlineStr"/>
      <c r="O472" t="inlineStr">
        <is>
          <t>RT1351</t>
        </is>
      </c>
      <c r="P472" t="inlineStr"/>
      <c r="Q472" s="112" t="n">
        <v>0</v>
      </c>
      <c r="R472" s="112" t="n">
        <v>79.14</v>
      </c>
      <c r="S472" s="112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D473" t="inlineStr"/>
      <c r="E473" t="inlineStr">
        <is>
          <t>EQ</t>
        </is>
      </c>
      <c r="F473" t="inlineStr"/>
      <c r="G473" t="inlineStr"/>
      <c r="H473" s="125" t="n">
        <v>46152</v>
      </c>
      <c r="I473" t="inlineStr"/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N473" t="inlineStr"/>
      <c r="O473" t="inlineStr">
        <is>
          <t>RT1351</t>
        </is>
      </c>
      <c r="P473" t="inlineStr"/>
      <c r="Q473" s="112" t="n">
        <v>0</v>
      </c>
      <c r="R473" s="112" t="n">
        <v>79.14</v>
      </c>
      <c r="S473" s="112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D474" t="inlineStr"/>
      <c r="E474" t="inlineStr">
        <is>
          <t>EQ</t>
        </is>
      </c>
      <c r="F474" t="inlineStr"/>
      <c r="G474" t="inlineStr"/>
      <c r="H474" s="125" t="n">
        <v>46152</v>
      </c>
      <c r="I474" t="inlineStr"/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N474" t="inlineStr"/>
      <c r="O474" t="inlineStr">
        <is>
          <t>RT1351</t>
        </is>
      </c>
      <c r="P474" t="inlineStr"/>
      <c r="Q474" s="112" t="n">
        <v>0</v>
      </c>
      <c r="R474" s="112" t="n">
        <v>79.14</v>
      </c>
      <c r="S474" s="112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D475" t="inlineStr"/>
      <c r="E475" t="inlineStr">
        <is>
          <t>EQ</t>
        </is>
      </c>
      <c r="F475" t="inlineStr"/>
      <c r="G475" t="inlineStr"/>
      <c r="H475" s="125" t="n">
        <v>46152</v>
      </c>
      <c r="I475" t="inlineStr"/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N475" t="inlineStr"/>
      <c r="O475" t="inlineStr">
        <is>
          <t>TR429</t>
        </is>
      </c>
      <c r="P475" t="inlineStr"/>
      <c r="Q475" s="112" t="n">
        <v>0</v>
      </c>
      <c r="R475" s="112" t="n">
        <v>65</v>
      </c>
      <c r="S475" s="112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D476" t="inlineStr"/>
      <c r="E476" t="inlineStr">
        <is>
          <t>EQ</t>
        </is>
      </c>
      <c r="F476" t="inlineStr"/>
      <c r="G476" t="inlineStr"/>
      <c r="H476" s="125" t="n">
        <v>46152</v>
      </c>
      <c r="I476" t="inlineStr"/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N476" t="inlineStr"/>
      <c r="O476" t="inlineStr">
        <is>
          <t>TR429</t>
        </is>
      </c>
      <c r="P476" t="inlineStr"/>
      <c r="Q476" s="112" t="n">
        <v>0</v>
      </c>
      <c r="R476" s="112" t="n">
        <v>65</v>
      </c>
      <c r="S476" s="112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D477" t="inlineStr"/>
      <c r="E477" t="inlineStr">
        <is>
          <t>EQ</t>
        </is>
      </c>
      <c r="F477" t="inlineStr"/>
      <c r="G477" t="inlineStr"/>
      <c r="H477" s="125" t="n">
        <v>46152</v>
      </c>
      <c r="I477" t="inlineStr"/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N477" t="inlineStr"/>
      <c r="O477" t="inlineStr">
        <is>
          <t>TR429</t>
        </is>
      </c>
      <c r="P477" t="inlineStr"/>
      <c r="Q477" s="112" t="n">
        <v>0</v>
      </c>
      <c r="R477" s="112" t="n">
        <v>65</v>
      </c>
      <c r="S477" s="112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D478" t="inlineStr"/>
      <c r="E478" t="inlineStr">
        <is>
          <t>EQ</t>
        </is>
      </c>
      <c r="F478" t="inlineStr"/>
      <c r="G478" t="inlineStr"/>
      <c r="H478" s="125" t="n">
        <v>46152</v>
      </c>
      <c r="I478" t="inlineStr"/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N478" t="inlineStr"/>
      <c r="O478" t="inlineStr">
        <is>
          <t>TR429</t>
        </is>
      </c>
      <c r="P478" t="inlineStr"/>
      <c r="Q478" s="112" t="n">
        <v>0</v>
      </c>
      <c r="R478" s="112" t="n">
        <v>65</v>
      </c>
      <c r="S478" s="112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D479" t="inlineStr"/>
      <c r="E479" t="inlineStr">
        <is>
          <t>EQ</t>
        </is>
      </c>
      <c r="F479" t="inlineStr"/>
      <c r="G479" t="inlineStr"/>
      <c r="H479" s="125" t="n">
        <v>46152</v>
      </c>
      <c r="I479" t="inlineStr"/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N479" t="inlineStr"/>
      <c r="O479" t="inlineStr">
        <is>
          <t>TR429</t>
        </is>
      </c>
      <c r="P479" t="inlineStr"/>
      <c r="Q479" s="112" t="n">
        <v>0</v>
      </c>
      <c r="R479" s="112" t="n">
        <v>65</v>
      </c>
      <c r="S479" s="112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D480" t="inlineStr"/>
      <c r="E480" t="inlineStr">
        <is>
          <t>EQ</t>
        </is>
      </c>
      <c r="F480" t="inlineStr"/>
      <c r="G480" t="inlineStr"/>
      <c r="H480" s="125" t="n">
        <v>46152</v>
      </c>
      <c r="I480" t="inlineStr"/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N480" t="inlineStr"/>
      <c r="O480" t="inlineStr">
        <is>
          <t>TR429</t>
        </is>
      </c>
      <c r="P480" t="inlineStr"/>
      <c r="Q480" s="112" t="n">
        <v>0</v>
      </c>
      <c r="R480" s="112" t="n">
        <v>65</v>
      </c>
      <c r="S480" s="112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D481" t="inlineStr"/>
      <c r="E481" t="inlineStr">
        <is>
          <t>EQ</t>
        </is>
      </c>
      <c r="F481" t="inlineStr"/>
      <c r="G481" t="inlineStr"/>
      <c r="H481" s="125" t="n">
        <v>46152</v>
      </c>
      <c r="I481" t="inlineStr"/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N481" t="inlineStr"/>
      <c r="O481" t="inlineStr">
        <is>
          <t>TR425</t>
        </is>
      </c>
      <c r="P481" t="inlineStr"/>
      <c r="Q481" s="112" t="n">
        <v>0</v>
      </c>
      <c r="R481" s="112" t="n">
        <v>65</v>
      </c>
      <c r="S481" s="112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D482" t="inlineStr"/>
      <c r="E482" t="inlineStr">
        <is>
          <t>EQ</t>
        </is>
      </c>
      <c r="F482" t="inlineStr"/>
      <c r="G482" t="inlineStr"/>
      <c r="H482" s="125" t="n">
        <v>46152</v>
      </c>
      <c r="I482" t="inlineStr"/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N482" t="inlineStr"/>
      <c r="O482" t="inlineStr">
        <is>
          <t>TR425</t>
        </is>
      </c>
      <c r="P482" t="inlineStr"/>
      <c r="Q482" s="112" t="n">
        <v>0</v>
      </c>
      <c r="R482" s="112" t="n">
        <v>65</v>
      </c>
      <c r="S482" s="112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D483" t="inlineStr"/>
      <c r="E483" t="inlineStr">
        <is>
          <t>EQ</t>
        </is>
      </c>
      <c r="F483" t="inlineStr"/>
      <c r="G483" t="inlineStr"/>
      <c r="H483" s="125" t="n">
        <v>46152</v>
      </c>
      <c r="I483" t="inlineStr"/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N483" t="inlineStr"/>
      <c r="O483" t="inlineStr">
        <is>
          <t>TR425</t>
        </is>
      </c>
      <c r="P483" t="inlineStr"/>
      <c r="Q483" s="112" t="n">
        <v>0</v>
      </c>
      <c r="R483" s="112" t="n">
        <v>65</v>
      </c>
      <c r="S483" s="112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D484" t="inlineStr"/>
      <c r="E484" t="inlineStr">
        <is>
          <t>EQ</t>
        </is>
      </c>
      <c r="F484" t="inlineStr"/>
      <c r="G484" t="inlineStr"/>
      <c r="H484" s="125" t="n">
        <v>46152</v>
      </c>
      <c r="I484" t="inlineStr"/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N484" t="inlineStr"/>
      <c r="O484" t="inlineStr">
        <is>
          <t>TR425</t>
        </is>
      </c>
      <c r="P484" t="inlineStr"/>
      <c r="Q484" s="112" t="n">
        <v>0</v>
      </c>
      <c r="R484" s="112" t="n">
        <v>65</v>
      </c>
      <c r="S484" s="112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D485" t="inlineStr"/>
      <c r="E485" t="inlineStr">
        <is>
          <t>EQ</t>
        </is>
      </c>
      <c r="F485" t="inlineStr"/>
      <c r="G485" t="inlineStr"/>
      <c r="H485" s="125" t="n">
        <v>46152</v>
      </c>
      <c r="I485" t="inlineStr"/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N485" t="inlineStr"/>
      <c r="O485" t="inlineStr">
        <is>
          <t>TR425</t>
        </is>
      </c>
      <c r="P485" t="inlineStr"/>
      <c r="Q485" s="112" t="n">
        <v>0</v>
      </c>
      <c r="R485" s="112" t="n">
        <v>65</v>
      </c>
      <c r="S485" s="112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D486" t="inlineStr"/>
      <c r="E486" t="inlineStr">
        <is>
          <t>EQ</t>
        </is>
      </c>
      <c r="F486" t="inlineStr"/>
      <c r="G486" t="inlineStr"/>
      <c r="H486" s="125" t="n">
        <v>46152</v>
      </c>
      <c r="I486" t="inlineStr"/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N486" t="inlineStr"/>
      <c r="O486" t="inlineStr">
        <is>
          <t>RT1479</t>
        </is>
      </c>
      <c r="P486" t="inlineStr"/>
      <c r="Q486" s="112" t="n">
        <v>0</v>
      </c>
      <c r="R486" s="112" t="n">
        <v>79.14</v>
      </c>
      <c r="S486" s="112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D487" t="inlineStr"/>
      <c r="E487" t="inlineStr">
        <is>
          <t>EQ</t>
        </is>
      </c>
      <c r="F487" t="inlineStr"/>
      <c r="G487" t="inlineStr"/>
      <c r="H487" s="125" t="n">
        <v>46152</v>
      </c>
      <c r="I487" t="inlineStr"/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N487" t="inlineStr"/>
      <c r="O487" t="inlineStr">
        <is>
          <t>RT1479</t>
        </is>
      </c>
      <c r="P487" t="inlineStr"/>
      <c r="Q487" s="112" t="n">
        <v>0</v>
      </c>
      <c r="R487" s="112" t="n">
        <v>79.14</v>
      </c>
      <c r="S487" s="112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D488" t="inlineStr"/>
      <c r="E488" t="inlineStr">
        <is>
          <t>EQ</t>
        </is>
      </c>
      <c r="F488" t="inlineStr"/>
      <c r="G488" t="inlineStr"/>
      <c r="H488" s="125" t="n">
        <v>46152</v>
      </c>
      <c r="I488" t="inlineStr"/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N488" t="inlineStr"/>
      <c r="O488" t="inlineStr">
        <is>
          <t>RT1479</t>
        </is>
      </c>
      <c r="P488" t="inlineStr"/>
      <c r="Q488" s="112" t="n">
        <v>0</v>
      </c>
      <c r="R488" s="112" t="n">
        <v>79.14</v>
      </c>
      <c r="S488" s="112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D489" t="inlineStr"/>
      <c r="E489" t="inlineStr">
        <is>
          <t>EQ</t>
        </is>
      </c>
      <c r="F489" t="inlineStr"/>
      <c r="G489" t="inlineStr"/>
      <c r="H489" s="125" t="n">
        <v>46152</v>
      </c>
      <c r="I489" t="inlineStr"/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N489" t="inlineStr"/>
      <c r="O489" t="inlineStr">
        <is>
          <t>RT1479</t>
        </is>
      </c>
      <c r="P489" t="inlineStr"/>
      <c r="Q489" s="112" t="n">
        <v>0</v>
      </c>
      <c r="R489" s="112" t="n">
        <v>79.14</v>
      </c>
      <c r="S489" s="112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D490" t="inlineStr"/>
      <c r="E490" t="inlineStr">
        <is>
          <t>EQ</t>
        </is>
      </c>
      <c r="F490" t="inlineStr"/>
      <c r="G490" t="inlineStr"/>
      <c r="H490" s="125" t="n">
        <v>46152</v>
      </c>
      <c r="I490" t="inlineStr"/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N490" t="inlineStr"/>
      <c r="O490" t="inlineStr">
        <is>
          <t>RT1479</t>
        </is>
      </c>
      <c r="P490" t="inlineStr"/>
      <c r="Q490" s="112" t="n">
        <v>0</v>
      </c>
      <c r="R490" s="112" t="n">
        <v>79.14</v>
      </c>
      <c r="S490" s="112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D491" t="inlineStr"/>
      <c r="E491" t="inlineStr">
        <is>
          <t>EQ</t>
        </is>
      </c>
      <c r="F491" t="inlineStr"/>
      <c r="G491" t="inlineStr"/>
      <c r="H491" s="125" t="n">
        <v>46152</v>
      </c>
      <c r="I491" t="inlineStr"/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N491" t="inlineStr"/>
      <c r="O491" t="inlineStr">
        <is>
          <t>RT1479</t>
        </is>
      </c>
      <c r="P491" t="inlineStr"/>
      <c r="Q491" s="112" t="n">
        <v>0</v>
      </c>
      <c r="R491" s="112" t="n">
        <v>79.14</v>
      </c>
      <c r="S491" s="112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D492" t="inlineStr"/>
      <c r="E492" t="inlineStr">
        <is>
          <t>EQ</t>
        </is>
      </c>
      <c r="F492" t="inlineStr"/>
      <c r="G492" s="126" t="inlineStr"/>
      <c r="H492" s="125" t="n">
        <v>46152</v>
      </c>
      <c r="I492" t="inlineStr"/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N492" t="inlineStr"/>
      <c r="O492" t="inlineStr">
        <is>
          <t>RT1242</t>
        </is>
      </c>
      <c r="P492" t="inlineStr"/>
      <c r="Q492" s="112" t="n">
        <v>0</v>
      </c>
      <c r="R492" s="112" t="n">
        <v>79.14</v>
      </c>
      <c r="S492" s="112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D493" t="inlineStr"/>
      <c r="E493" t="inlineStr">
        <is>
          <t>EQ</t>
        </is>
      </c>
      <c r="F493" t="inlineStr"/>
      <c r="G493" s="126" t="inlineStr"/>
      <c r="H493" s="125" t="n">
        <v>46159</v>
      </c>
      <c r="I493" t="inlineStr"/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N493" t="inlineStr"/>
      <c r="O493" t="inlineStr">
        <is>
          <t>WLV106</t>
        </is>
      </c>
      <c r="P493" t="inlineStr"/>
      <c r="Q493" s="112" t="n">
        <v>0</v>
      </c>
      <c r="R493" s="112" t="n">
        <v>79.14</v>
      </c>
      <c r="S493" s="112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D494" t="inlineStr"/>
      <c r="E494" t="inlineStr">
        <is>
          <t>EQ</t>
        </is>
      </c>
      <c r="F494" t="inlineStr"/>
      <c r="G494" t="inlineStr"/>
      <c r="H494" s="125" t="n">
        <v>46159</v>
      </c>
      <c r="I494" t="inlineStr"/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N494" t="inlineStr"/>
      <c r="O494" t="inlineStr">
        <is>
          <t>WLV106</t>
        </is>
      </c>
      <c r="P494" t="inlineStr"/>
      <c r="Q494" s="112" t="n">
        <v>0</v>
      </c>
      <c r="R494" s="112" t="n">
        <v>79.14</v>
      </c>
      <c r="S494" s="112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D495" t="inlineStr"/>
      <c r="E495" t="inlineStr">
        <is>
          <t>EQ</t>
        </is>
      </c>
      <c r="F495" t="inlineStr"/>
      <c r="G495" t="inlineStr"/>
      <c r="H495" s="125" t="n">
        <v>46159</v>
      </c>
      <c r="I495" t="inlineStr"/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N495" t="inlineStr"/>
      <c r="O495" t="inlineStr">
        <is>
          <t>WLV106</t>
        </is>
      </c>
      <c r="P495" t="inlineStr"/>
      <c r="Q495" s="112" t="n">
        <v>0</v>
      </c>
      <c r="R495" s="112" t="n">
        <v>79.14</v>
      </c>
      <c r="S495" s="112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D496" t="inlineStr"/>
      <c r="E496" t="inlineStr">
        <is>
          <t>EQ</t>
        </is>
      </c>
      <c r="F496" t="inlineStr"/>
      <c r="G496" t="inlineStr"/>
      <c r="H496" s="125" t="n">
        <v>46159</v>
      </c>
      <c r="I496" t="inlineStr"/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N496" t="inlineStr"/>
      <c r="O496" t="inlineStr">
        <is>
          <t>WLV106</t>
        </is>
      </c>
      <c r="P496" t="inlineStr"/>
      <c r="Q496" s="112" t="n">
        <v>0</v>
      </c>
      <c r="R496" s="112" t="n">
        <v>79.14</v>
      </c>
      <c r="S496" s="112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D497" t="inlineStr"/>
      <c r="E497" t="inlineStr">
        <is>
          <t>EQ</t>
        </is>
      </c>
      <c r="F497" t="inlineStr"/>
      <c r="G497" t="inlineStr"/>
      <c r="H497" s="125" t="n">
        <v>46159</v>
      </c>
      <c r="I497" t="inlineStr"/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N497" t="inlineStr"/>
      <c r="O497" t="inlineStr">
        <is>
          <t>WLV106</t>
        </is>
      </c>
      <c r="P497" t="inlineStr"/>
      <c r="Q497" s="112" t="n">
        <v>0</v>
      </c>
      <c r="R497" s="112" t="n">
        <v>79.14</v>
      </c>
      <c r="S497" s="112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D498" t="inlineStr"/>
      <c r="E498" t="inlineStr">
        <is>
          <t>EQ</t>
        </is>
      </c>
      <c r="F498" t="inlineStr"/>
      <c r="G498" t="inlineStr"/>
      <c r="H498" s="125" t="n">
        <v>46159</v>
      </c>
      <c r="I498" t="inlineStr"/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N498" t="inlineStr"/>
      <c r="O498" t="inlineStr">
        <is>
          <t>WLV106</t>
        </is>
      </c>
      <c r="P498" t="inlineStr"/>
      <c r="Q498" s="112" t="n">
        <v>0</v>
      </c>
      <c r="R498" s="112" t="n">
        <v>79.14</v>
      </c>
      <c r="S498" s="112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D499" t="inlineStr"/>
      <c r="E499" t="inlineStr">
        <is>
          <t>EQ</t>
        </is>
      </c>
      <c r="F499" t="inlineStr"/>
      <c r="G499" t="inlineStr"/>
      <c r="H499" s="125" t="n">
        <v>46159</v>
      </c>
      <c r="I499" t="inlineStr"/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N499" t="inlineStr"/>
      <c r="O499" t="inlineStr">
        <is>
          <t>RT1351</t>
        </is>
      </c>
      <c r="P499" t="inlineStr"/>
      <c r="Q499" s="112" t="n">
        <v>0</v>
      </c>
      <c r="R499" s="112" t="n">
        <v>79.14</v>
      </c>
      <c r="S499" s="112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D500" t="inlineStr"/>
      <c r="E500" t="inlineStr">
        <is>
          <t>EQ</t>
        </is>
      </c>
      <c r="F500" t="inlineStr"/>
      <c r="G500" t="inlineStr"/>
      <c r="H500" s="125" t="n">
        <v>46159</v>
      </c>
      <c r="I500" t="inlineStr"/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N500" t="inlineStr"/>
      <c r="O500" t="inlineStr">
        <is>
          <t>RT1351</t>
        </is>
      </c>
      <c r="P500" t="inlineStr"/>
      <c r="Q500" s="112" t="n">
        <v>0</v>
      </c>
      <c r="R500" s="112" t="n">
        <v>79.14</v>
      </c>
      <c r="S500" s="112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D501" t="inlineStr"/>
      <c r="E501" t="inlineStr">
        <is>
          <t>EQ</t>
        </is>
      </c>
      <c r="F501" t="inlineStr"/>
      <c r="G501" t="inlineStr"/>
      <c r="H501" s="125" t="n">
        <v>46159</v>
      </c>
      <c r="I501" t="inlineStr"/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N501" t="inlineStr"/>
      <c r="O501" t="inlineStr">
        <is>
          <t>RT1351</t>
        </is>
      </c>
      <c r="P501" t="inlineStr"/>
      <c r="Q501" s="112" t="n">
        <v>0</v>
      </c>
      <c r="R501" s="112" t="n">
        <v>79.14</v>
      </c>
      <c r="S501" s="112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D502" t="inlineStr"/>
      <c r="E502" t="inlineStr">
        <is>
          <t>EQ</t>
        </is>
      </c>
      <c r="F502" t="inlineStr"/>
      <c r="G502" t="inlineStr"/>
      <c r="H502" s="125" t="n">
        <v>46159</v>
      </c>
      <c r="I502" t="inlineStr"/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N502" t="inlineStr"/>
      <c r="O502" t="inlineStr">
        <is>
          <t>RT1351</t>
        </is>
      </c>
      <c r="P502" t="inlineStr"/>
      <c r="Q502" s="112" t="n">
        <v>0</v>
      </c>
      <c r="R502" s="112" t="n">
        <v>79.14</v>
      </c>
      <c r="S502" s="112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D503" t="inlineStr"/>
      <c r="E503" t="inlineStr">
        <is>
          <t>EQ</t>
        </is>
      </c>
      <c r="F503" t="inlineStr"/>
      <c r="G503" t="inlineStr"/>
      <c r="H503" s="125" t="n">
        <v>46159</v>
      </c>
      <c r="I503" t="inlineStr"/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N503" t="inlineStr"/>
      <c r="O503" t="inlineStr">
        <is>
          <t>RT1351</t>
        </is>
      </c>
      <c r="P503" t="inlineStr"/>
      <c r="Q503" s="112" t="n">
        <v>0</v>
      </c>
      <c r="R503" s="112" t="n">
        <v>79.14</v>
      </c>
      <c r="S503" s="112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D504" t="inlineStr"/>
      <c r="E504" t="inlineStr">
        <is>
          <t>EQ</t>
        </is>
      </c>
      <c r="F504" t="inlineStr"/>
      <c r="G504" t="inlineStr"/>
      <c r="H504" s="125" t="n">
        <v>46159</v>
      </c>
      <c r="I504" t="inlineStr"/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N504" t="inlineStr"/>
      <c r="O504" t="inlineStr">
        <is>
          <t>RT1351</t>
        </is>
      </c>
      <c r="P504" t="inlineStr"/>
      <c r="Q504" s="112" t="n">
        <v>0</v>
      </c>
      <c r="R504" s="112" t="n">
        <v>79.14</v>
      </c>
      <c r="S504" s="112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D505" t="inlineStr"/>
      <c r="E505" t="inlineStr">
        <is>
          <t>EQ</t>
        </is>
      </c>
      <c r="F505" t="inlineStr"/>
      <c r="G505" t="inlineStr"/>
      <c r="H505" s="125" t="n">
        <v>46159</v>
      </c>
      <c r="I505" t="inlineStr"/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N505" t="inlineStr"/>
      <c r="O505" t="inlineStr">
        <is>
          <t>TR429</t>
        </is>
      </c>
      <c r="P505" t="inlineStr"/>
      <c r="Q505" s="112" t="n">
        <v>0</v>
      </c>
      <c r="R505" s="112" t="n">
        <v>65</v>
      </c>
      <c r="S505" s="112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D506" t="inlineStr"/>
      <c r="E506" t="inlineStr">
        <is>
          <t>EQ</t>
        </is>
      </c>
      <c r="F506" t="inlineStr"/>
      <c r="G506" t="inlineStr"/>
      <c r="H506" s="125" t="n">
        <v>46159</v>
      </c>
      <c r="I506" t="inlineStr"/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N506" t="inlineStr"/>
      <c r="O506" t="inlineStr">
        <is>
          <t>TR429</t>
        </is>
      </c>
      <c r="P506" t="inlineStr"/>
      <c r="Q506" s="112" t="n">
        <v>0</v>
      </c>
      <c r="R506" s="112" t="n">
        <v>65</v>
      </c>
      <c r="S506" s="112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D507" t="inlineStr"/>
      <c r="E507" t="inlineStr">
        <is>
          <t>EQ</t>
        </is>
      </c>
      <c r="F507" t="inlineStr"/>
      <c r="G507" t="inlineStr"/>
      <c r="H507" s="125" t="n">
        <v>46159</v>
      </c>
      <c r="I507" t="inlineStr"/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N507" t="inlineStr"/>
      <c r="O507" t="inlineStr">
        <is>
          <t>TR429</t>
        </is>
      </c>
      <c r="P507" t="inlineStr"/>
      <c r="Q507" s="112" t="n">
        <v>0</v>
      </c>
      <c r="R507" s="112" t="n">
        <v>65</v>
      </c>
      <c r="S507" s="112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D508" t="inlineStr"/>
      <c r="E508" t="inlineStr">
        <is>
          <t>EQ</t>
        </is>
      </c>
      <c r="F508" t="inlineStr"/>
      <c r="G508" t="inlineStr"/>
      <c r="H508" s="125" t="n">
        <v>46159</v>
      </c>
      <c r="I508" t="inlineStr"/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N508" t="inlineStr"/>
      <c r="O508" t="inlineStr">
        <is>
          <t>TR429</t>
        </is>
      </c>
      <c r="P508" t="inlineStr"/>
      <c r="Q508" s="112" t="n">
        <v>0</v>
      </c>
      <c r="R508" s="112" t="n">
        <v>65</v>
      </c>
      <c r="S508" s="112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D509" t="inlineStr"/>
      <c r="E509" t="inlineStr">
        <is>
          <t>EQ</t>
        </is>
      </c>
      <c r="F509" t="inlineStr"/>
      <c r="G509" t="inlineStr"/>
      <c r="H509" s="125" t="n">
        <v>46159</v>
      </c>
      <c r="I509" t="inlineStr"/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N509" t="inlineStr"/>
      <c r="O509" t="inlineStr">
        <is>
          <t>TR429</t>
        </is>
      </c>
      <c r="P509" t="inlineStr"/>
      <c r="Q509" s="112" t="n">
        <v>0</v>
      </c>
      <c r="R509" s="112" t="n">
        <v>65</v>
      </c>
      <c r="S509" s="112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D510" t="inlineStr"/>
      <c r="E510" t="inlineStr">
        <is>
          <t>EQ</t>
        </is>
      </c>
      <c r="F510" t="inlineStr"/>
      <c r="G510" t="inlineStr"/>
      <c r="H510" s="125" t="n">
        <v>46159</v>
      </c>
      <c r="I510" t="inlineStr"/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N510" t="inlineStr"/>
      <c r="O510" t="inlineStr">
        <is>
          <t>TR429</t>
        </is>
      </c>
      <c r="P510" t="inlineStr"/>
      <c r="Q510" s="112" t="n">
        <v>0</v>
      </c>
      <c r="R510" s="112" t="n">
        <v>65</v>
      </c>
      <c r="S510" s="112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D511" t="inlineStr"/>
      <c r="E511" t="inlineStr">
        <is>
          <t>EQ</t>
        </is>
      </c>
      <c r="F511" t="inlineStr"/>
      <c r="G511" t="inlineStr"/>
      <c r="H511" s="125" t="n">
        <v>46159</v>
      </c>
      <c r="I511" t="inlineStr"/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N511" t="inlineStr"/>
      <c r="O511" t="inlineStr">
        <is>
          <t>TR425</t>
        </is>
      </c>
      <c r="P511" t="inlineStr"/>
      <c r="Q511" s="112" t="n">
        <v>0</v>
      </c>
      <c r="R511" s="112" t="n">
        <v>65</v>
      </c>
      <c r="S511" s="112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D512" t="inlineStr"/>
      <c r="E512" t="inlineStr">
        <is>
          <t>EQ</t>
        </is>
      </c>
      <c r="F512" t="inlineStr"/>
      <c r="G512" t="inlineStr"/>
      <c r="H512" s="125" t="n">
        <v>46159</v>
      </c>
      <c r="I512" t="inlineStr"/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N512" t="inlineStr"/>
      <c r="O512" t="inlineStr">
        <is>
          <t>TR425</t>
        </is>
      </c>
      <c r="P512" t="inlineStr"/>
      <c r="Q512" s="112" t="n">
        <v>0</v>
      </c>
      <c r="R512" s="112" t="n">
        <v>65</v>
      </c>
      <c r="S512" s="112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D513" t="inlineStr"/>
      <c r="E513" t="inlineStr">
        <is>
          <t>EQ</t>
        </is>
      </c>
      <c r="F513" t="inlineStr"/>
      <c r="G513" t="inlineStr"/>
      <c r="H513" s="125" t="n">
        <v>46159</v>
      </c>
      <c r="I513" t="inlineStr"/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N513" t="inlineStr"/>
      <c r="O513" t="inlineStr">
        <is>
          <t>TR425</t>
        </is>
      </c>
      <c r="P513" t="inlineStr"/>
      <c r="Q513" s="112" t="n">
        <v>0</v>
      </c>
      <c r="R513" s="112" t="n">
        <v>65</v>
      </c>
      <c r="S513" s="112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D514" t="inlineStr"/>
      <c r="E514" t="inlineStr">
        <is>
          <t>EQ</t>
        </is>
      </c>
      <c r="F514" t="inlineStr"/>
      <c r="G514" t="inlineStr"/>
      <c r="H514" s="125" t="n">
        <v>46159</v>
      </c>
      <c r="I514" t="inlineStr"/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N514" t="inlineStr"/>
      <c r="O514" t="inlineStr">
        <is>
          <t>TR425</t>
        </is>
      </c>
      <c r="P514" t="inlineStr"/>
      <c r="Q514" s="112" t="n">
        <v>0</v>
      </c>
      <c r="R514" s="112" t="n">
        <v>65</v>
      </c>
      <c r="S514" s="112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D515" t="inlineStr"/>
      <c r="E515" t="inlineStr">
        <is>
          <t>EQ</t>
        </is>
      </c>
      <c r="F515" t="inlineStr"/>
      <c r="G515" t="inlineStr"/>
      <c r="H515" s="125" t="n">
        <v>46159</v>
      </c>
      <c r="I515" t="inlineStr"/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N515" t="inlineStr"/>
      <c r="O515" t="inlineStr">
        <is>
          <t>TR425</t>
        </is>
      </c>
      <c r="P515" t="inlineStr"/>
      <c r="Q515" s="112" t="n">
        <v>0</v>
      </c>
      <c r="R515" s="112" t="n">
        <v>65</v>
      </c>
      <c r="S515" s="112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D516" t="inlineStr"/>
      <c r="E516" t="inlineStr">
        <is>
          <t>EQ</t>
        </is>
      </c>
      <c r="F516" t="inlineStr"/>
      <c r="G516" t="inlineStr"/>
      <c r="H516" s="125" t="n">
        <v>46159</v>
      </c>
      <c r="I516" t="inlineStr"/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N516" t="inlineStr"/>
      <c r="O516" t="inlineStr">
        <is>
          <t>TR425</t>
        </is>
      </c>
      <c r="P516" t="inlineStr"/>
      <c r="Q516" s="112" t="n">
        <v>0</v>
      </c>
      <c r="R516" s="112" t="n">
        <v>65</v>
      </c>
      <c r="S516" s="112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D517" t="inlineStr"/>
      <c r="E517" t="inlineStr">
        <is>
          <t>EQ</t>
        </is>
      </c>
      <c r="F517" t="inlineStr"/>
      <c r="G517" t="inlineStr"/>
      <c r="H517" s="125" t="n">
        <v>46159</v>
      </c>
      <c r="I517" t="inlineStr"/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N517" t="inlineStr"/>
      <c r="O517" t="inlineStr">
        <is>
          <t>RT1479</t>
        </is>
      </c>
      <c r="P517" t="inlineStr"/>
      <c r="Q517" s="112" t="n">
        <v>0</v>
      </c>
      <c r="R517" s="112" t="n">
        <v>79.14</v>
      </c>
      <c r="S517" s="112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D518" t="inlineStr"/>
      <c r="E518" t="inlineStr">
        <is>
          <t>EQ</t>
        </is>
      </c>
      <c r="F518" t="inlineStr"/>
      <c r="G518" t="inlineStr"/>
      <c r="H518" s="125" t="n">
        <v>46159</v>
      </c>
      <c r="I518" t="inlineStr"/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N518" t="inlineStr"/>
      <c r="O518" t="inlineStr">
        <is>
          <t>RT1479</t>
        </is>
      </c>
      <c r="P518" t="inlineStr"/>
      <c r="Q518" s="112" t="n">
        <v>0</v>
      </c>
      <c r="R518" s="112" t="n">
        <v>79.14</v>
      </c>
      <c r="S518" s="112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D519" t="inlineStr"/>
      <c r="E519" t="inlineStr">
        <is>
          <t>EQ</t>
        </is>
      </c>
      <c r="F519" t="inlineStr"/>
      <c r="G519" t="inlineStr"/>
      <c r="H519" s="125" t="n">
        <v>46159</v>
      </c>
      <c r="I519" t="inlineStr"/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N519" t="inlineStr"/>
      <c r="O519" t="inlineStr">
        <is>
          <t>RT1479</t>
        </is>
      </c>
      <c r="P519" t="inlineStr"/>
      <c r="Q519" s="112" t="n">
        <v>0</v>
      </c>
      <c r="R519" s="112" t="n">
        <v>79.14</v>
      </c>
      <c r="S519" s="112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D520" t="inlineStr"/>
      <c r="E520" t="inlineStr">
        <is>
          <t>EQ</t>
        </is>
      </c>
      <c r="F520" t="inlineStr"/>
      <c r="G520" t="inlineStr"/>
      <c r="H520" s="125" t="n">
        <v>46159</v>
      </c>
      <c r="I520" t="inlineStr"/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N520" t="inlineStr"/>
      <c r="O520" t="inlineStr">
        <is>
          <t>RT1479</t>
        </is>
      </c>
      <c r="P520" t="inlineStr"/>
      <c r="Q520" s="112" t="n">
        <v>0</v>
      </c>
      <c r="R520" s="112" t="n">
        <v>79.14</v>
      </c>
      <c r="S520" s="112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D521" t="inlineStr"/>
      <c r="E521" t="inlineStr">
        <is>
          <t>EQ</t>
        </is>
      </c>
      <c r="F521" t="inlineStr"/>
      <c r="G521" t="inlineStr"/>
      <c r="H521" s="125" t="n">
        <v>46159</v>
      </c>
      <c r="I521" t="inlineStr"/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N521" t="inlineStr"/>
      <c r="O521" t="inlineStr">
        <is>
          <t>RT1479</t>
        </is>
      </c>
      <c r="P521" t="inlineStr"/>
      <c r="Q521" s="112" t="n">
        <v>0</v>
      </c>
      <c r="R521" s="112" t="n">
        <v>79.14</v>
      </c>
      <c r="S521" s="112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D522" t="inlineStr"/>
      <c r="E522" t="inlineStr">
        <is>
          <t>EQ</t>
        </is>
      </c>
      <c r="F522" t="inlineStr"/>
      <c r="G522" t="inlineStr"/>
      <c r="H522" s="125" t="n">
        <v>46159</v>
      </c>
      <c r="I522" t="inlineStr"/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N522" t="inlineStr"/>
      <c r="O522" t="inlineStr">
        <is>
          <t>RT1479</t>
        </is>
      </c>
      <c r="P522" t="inlineStr"/>
      <c r="Q522" s="112" t="n">
        <v>0</v>
      </c>
      <c r="R522" s="112" t="n">
        <v>79.14</v>
      </c>
      <c r="S522" s="112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D523" t="inlineStr"/>
      <c r="E523" t="inlineStr">
        <is>
          <t>EQ</t>
        </is>
      </c>
      <c r="F523" t="inlineStr"/>
      <c r="G523" t="inlineStr"/>
      <c r="H523" s="125" t="n">
        <v>46159</v>
      </c>
      <c r="I523" t="inlineStr"/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N523" t="inlineStr"/>
      <c r="O523" t="inlineStr">
        <is>
          <t>RT1481</t>
        </is>
      </c>
      <c r="P523" t="inlineStr"/>
      <c r="Q523" s="112" t="n">
        <v>0</v>
      </c>
      <c r="R523" s="112" t="n">
        <v>79.14</v>
      </c>
      <c r="S523" s="112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D524" t="inlineStr"/>
      <c r="E524" t="inlineStr">
        <is>
          <t>EQ</t>
        </is>
      </c>
      <c r="F524" t="inlineStr"/>
      <c r="G524" t="inlineStr"/>
      <c r="H524" s="125" t="n">
        <v>46159</v>
      </c>
      <c r="I524" t="inlineStr"/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N524" t="inlineStr"/>
      <c r="O524" t="inlineStr">
        <is>
          <t>RT1242</t>
        </is>
      </c>
      <c r="P524" t="inlineStr"/>
      <c r="Q524" s="112" t="n">
        <v>0</v>
      </c>
      <c r="R524" s="112" t="n">
        <v>79.14</v>
      </c>
      <c r="S524" s="112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D525" t="inlineStr"/>
      <c r="E525" t="inlineStr">
        <is>
          <t>EQ</t>
        </is>
      </c>
      <c r="F525" t="inlineStr"/>
      <c r="G525" t="inlineStr"/>
      <c r="H525" s="125" t="n">
        <v>46159</v>
      </c>
      <c r="I525" t="inlineStr"/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N525" t="inlineStr"/>
      <c r="O525" t="inlineStr">
        <is>
          <t>RT1481</t>
        </is>
      </c>
      <c r="P525" t="inlineStr"/>
      <c r="Q525" s="112" t="n">
        <v>0</v>
      </c>
      <c r="R525" s="112" t="n">
        <v>79.14</v>
      </c>
      <c r="S525" s="112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D526" t="inlineStr"/>
      <c r="E526" t="inlineStr">
        <is>
          <t>EQ</t>
        </is>
      </c>
      <c r="F526" t="inlineStr"/>
      <c r="G526" t="inlineStr"/>
      <c r="H526" s="125" t="n">
        <v>46159</v>
      </c>
      <c r="I526" t="inlineStr"/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N526" t="inlineStr"/>
      <c r="O526" t="inlineStr">
        <is>
          <t>RT1481</t>
        </is>
      </c>
      <c r="P526" t="inlineStr"/>
      <c r="Q526" s="112" t="n">
        <v>0</v>
      </c>
      <c r="R526" s="112" t="n">
        <v>79.14</v>
      </c>
      <c r="S526" s="112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D527" t="inlineStr"/>
      <c r="E527" t="inlineStr">
        <is>
          <t>EQ</t>
        </is>
      </c>
      <c r="F527" t="inlineStr"/>
      <c r="G527" t="inlineStr"/>
      <c r="H527" s="125" t="n">
        <v>46159</v>
      </c>
      <c r="I527" t="inlineStr"/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N527" t="inlineStr"/>
      <c r="O527" t="inlineStr">
        <is>
          <t>RT1481</t>
        </is>
      </c>
      <c r="P527" t="inlineStr"/>
      <c r="Q527" s="112" t="n">
        <v>0</v>
      </c>
      <c r="R527" s="112" t="n">
        <v>79.14</v>
      </c>
      <c r="S527" s="112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D528" t="inlineStr"/>
      <c r="E528" t="inlineStr">
        <is>
          <t>EQ</t>
        </is>
      </c>
      <c r="F528" t="inlineStr"/>
      <c r="G528" t="inlineStr"/>
      <c r="H528" s="125" t="n">
        <v>46159</v>
      </c>
      <c r="I528" t="inlineStr"/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N528" t="inlineStr"/>
      <c r="O528" t="inlineStr">
        <is>
          <t>RT1481</t>
        </is>
      </c>
      <c r="P528" t="inlineStr"/>
      <c r="Q528" s="112" t="n">
        <v>0</v>
      </c>
      <c r="R528" s="112" t="n">
        <v>79.14</v>
      </c>
      <c r="S528" s="112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D529" t="inlineStr"/>
      <c r="E529" t="inlineStr">
        <is>
          <t>EQ</t>
        </is>
      </c>
      <c r="F529" t="inlineStr"/>
      <c r="G529" t="inlineStr"/>
      <c r="H529" s="125" t="n">
        <v>46159</v>
      </c>
      <c r="I529" t="inlineStr"/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N529" t="inlineStr"/>
      <c r="O529" t="inlineStr">
        <is>
          <t>RT1481</t>
        </is>
      </c>
      <c r="P529" t="inlineStr"/>
      <c r="Q529" s="112" t="n">
        <v>0</v>
      </c>
      <c r="R529" s="112" t="n">
        <v>79.14</v>
      </c>
      <c r="S529" s="112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D530" t="inlineStr"/>
      <c r="E530" t="inlineStr">
        <is>
          <t>EQ</t>
        </is>
      </c>
      <c r="F530" t="inlineStr"/>
      <c r="G530" t="inlineStr"/>
      <c r="H530" s="125" t="n">
        <v>46166</v>
      </c>
      <c r="I530" t="inlineStr"/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N530" t="inlineStr"/>
      <c r="O530" t="inlineStr">
        <is>
          <t>WLV106</t>
        </is>
      </c>
      <c r="P530" t="inlineStr"/>
      <c r="Q530" s="112" t="n">
        <v>0</v>
      </c>
      <c r="R530" s="112" t="n">
        <v>79.14</v>
      </c>
      <c r="S530" s="112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D531" t="inlineStr"/>
      <c r="E531" t="inlineStr">
        <is>
          <t>EQ</t>
        </is>
      </c>
      <c r="F531" t="inlineStr"/>
      <c r="G531" t="inlineStr"/>
      <c r="H531" s="125" t="n">
        <v>46166</v>
      </c>
      <c r="I531" t="inlineStr"/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N531" t="inlineStr"/>
      <c r="O531" t="inlineStr">
        <is>
          <t>WLV106</t>
        </is>
      </c>
      <c r="P531" t="inlineStr"/>
      <c r="Q531" s="112" t="n">
        <v>0</v>
      </c>
      <c r="R531" s="112" t="n">
        <v>79.14</v>
      </c>
      <c r="S531" s="112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D532" t="inlineStr"/>
      <c r="E532" t="inlineStr">
        <is>
          <t>EQ</t>
        </is>
      </c>
      <c r="F532" t="inlineStr"/>
      <c r="G532" t="inlineStr"/>
      <c r="H532" s="125" t="n">
        <v>46166</v>
      </c>
      <c r="I532" t="inlineStr"/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N532" t="inlineStr"/>
      <c r="O532" t="inlineStr">
        <is>
          <t>WLV106</t>
        </is>
      </c>
      <c r="P532" t="inlineStr"/>
      <c r="Q532" s="112" t="n">
        <v>0</v>
      </c>
      <c r="R532" s="112" t="n">
        <v>79.14</v>
      </c>
      <c r="S532" s="112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D533" t="inlineStr"/>
      <c r="E533" t="inlineStr">
        <is>
          <t>EQ</t>
        </is>
      </c>
      <c r="F533" t="inlineStr"/>
      <c r="G533" t="inlineStr"/>
      <c r="H533" s="125" t="n">
        <v>46166</v>
      </c>
      <c r="I533" t="inlineStr"/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N533" t="inlineStr"/>
      <c r="O533" t="inlineStr">
        <is>
          <t>WLV106</t>
        </is>
      </c>
      <c r="P533" t="inlineStr"/>
      <c r="Q533" s="112" t="n">
        <v>0</v>
      </c>
      <c r="R533" s="112" t="n">
        <v>79.14</v>
      </c>
      <c r="S533" s="112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D534" t="inlineStr"/>
      <c r="E534" t="inlineStr">
        <is>
          <t>EQ</t>
        </is>
      </c>
      <c r="F534" t="inlineStr"/>
      <c r="G534" t="inlineStr"/>
      <c r="H534" s="125" t="n">
        <v>46166</v>
      </c>
      <c r="I534" t="inlineStr"/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N534" t="inlineStr"/>
      <c r="O534" t="inlineStr">
        <is>
          <t>WLV106</t>
        </is>
      </c>
      <c r="P534" t="inlineStr"/>
      <c r="Q534" s="112" t="n">
        <v>0</v>
      </c>
      <c r="R534" s="112" t="n">
        <v>79.14</v>
      </c>
      <c r="S534" s="112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D535" t="inlineStr"/>
      <c r="E535" t="inlineStr">
        <is>
          <t>EQ</t>
        </is>
      </c>
      <c r="F535" t="inlineStr"/>
      <c r="G535" t="inlineStr"/>
      <c r="H535" s="125" t="n">
        <v>46166</v>
      </c>
      <c r="I535" t="inlineStr"/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N535" t="inlineStr"/>
      <c r="O535" t="inlineStr">
        <is>
          <t>WLV106</t>
        </is>
      </c>
      <c r="P535" t="inlineStr"/>
      <c r="Q535" s="112" t="n">
        <v>0</v>
      </c>
      <c r="R535" s="112" t="n">
        <v>79.14</v>
      </c>
      <c r="S535" s="112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D536" t="inlineStr"/>
      <c r="E536" t="inlineStr">
        <is>
          <t>EQ</t>
        </is>
      </c>
      <c r="F536" t="inlineStr"/>
      <c r="G536" t="inlineStr"/>
      <c r="H536" s="125" t="n">
        <v>46166</v>
      </c>
      <c r="I536" t="inlineStr"/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N536" t="inlineStr"/>
      <c r="O536" t="inlineStr">
        <is>
          <t>RT1351</t>
        </is>
      </c>
      <c r="P536" t="inlineStr"/>
      <c r="Q536" s="112" t="n">
        <v>0</v>
      </c>
      <c r="R536" s="112" t="n">
        <v>79.14</v>
      </c>
      <c r="S536" s="112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D537" t="inlineStr"/>
      <c r="E537" t="inlineStr">
        <is>
          <t>EQ</t>
        </is>
      </c>
      <c r="F537" t="inlineStr"/>
      <c r="G537" t="inlineStr"/>
      <c r="H537" s="125" t="n">
        <v>46166</v>
      </c>
      <c r="I537" t="inlineStr"/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N537" t="inlineStr"/>
      <c r="O537" t="inlineStr">
        <is>
          <t>RT1351</t>
        </is>
      </c>
      <c r="P537" t="inlineStr"/>
      <c r="Q537" s="112" t="n">
        <v>0</v>
      </c>
      <c r="R537" s="112" t="n">
        <v>79.14</v>
      </c>
      <c r="S537" s="112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D538" t="inlineStr"/>
      <c r="E538" t="inlineStr">
        <is>
          <t>EQ</t>
        </is>
      </c>
      <c r="F538" t="inlineStr"/>
      <c r="G538" t="inlineStr"/>
      <c r="H538" s="125" t="n">
        <v>46166</v>
      </c>
      <c r="I538" t="inlineStr"/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N538" t="inlineStr"/>
      <c r="O538" t="inlineStr">
        <is>
          <t>RT1351</t>
        </is>
      </c>
      <c r="P538" t="inlineStr"/>
      <c r="Q538" s="112" t="n">
        <v>0</v>
      </c>
      <c r="R538" s="112" t="n">
        <v>79.14</v>
      </c>
      <c r="S538" s="112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D539" t="inlineStr"/>
      <c r="E539" t="inlineStr">
        <is>
          <t>EQ</t>
        </is>
      </c>
      <c r="F539" t="inlineStr"/>
      <c r="G539" s="126" t="inlineStr"/>
      <c r="H539" s="125" t="n">
        <v>46166</v>
      </c>
      <c r="I539" t="inlineStr"/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N539" t="inlineStr"/>
      <c r="O539" t="inlineStr">
        <is>
          <t>RT1351</t>
        </is>
      </c>
      <c r="P539" t="inlineStr"/>
      <c r="Q539" s="112" t="n">
        <v>0</v>
      </c>
      <c r="R539" s="112" t="n">
        <v>79.14</v>
      </c>
      <c r="S539" s="112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D540" t="inlineStr"/>
      <c r="E540" t="inlineStr">
        <is>
          <t>EQ</t>
        </is>
      </c>
      <c r="F540" t="inlineStr"/>
      <c r="G540" s="126" t="inlineStr"/>
      <c r="H540" s="125" t="n">
        <v>46166</v>
      </c>
      <c r="I540" t="inlineStr"/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N540" t="inlineStr"/>
      <c r="O540" t="inlineStr">
        <is>
          <t>RT1351</t>
        </is>
      </c>
      <c r="P540" t="inlineStr"/>
      <c r="Q540" s="112" t="n">
        <v>0</v>
      </c>
      <c r="R540" s="112" t="n">
        <v>79.14</v>
      </c>
      <c r="S540" s="112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D541" t="inlineStr"/>
      <c r="E541" t="inlineStr">
        <is>
          <t>EQ</t>
        </is>
      </c>
      <c r="F541" t="inlineStr"/>
      <c r="G541" s="126" t="inlineStr"/>
      <c r="H541" s="125" t="n">
        <v>46166</v>
      </c>
      <c r="I541" t="inlineStr"/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N541" t="inlineStr"/>
      <c r="O541" t="inlineStr">
        <is>
          <t>RT1351</t>
        </is>
      </c>
      <c r="P541" t="inlineStr"/>
      <c r="Q541" s="112" t="n">
        <v>0</v>
      </c>
      <c r="R541" s="112" t="n">
        <v>79.14</v>
      </c>
      <c r="S541" s="112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D542" t="inlineStr"/>
      <c r="E542" t="inlineStr">
        <is>
          <t>EQ</t>
        </is>
      </c>
      <c r="F542" t="inlineStr"/>
      <c r="G542" s="126" t="inlineStr"/>
      <c r="H542" s="125" t="n">
        <v>46166</v>
      </c>
      <c r="I542" t="inlineStr"/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N542" t="inlineStr"/>
      <c r="O542" t="inlineStr">
        <is>
          <t>TR429</t>
        </is>
      </c>
      <c r="P542" t="inlineStr"/>
      <c r="Q542" s="112" t="n">
        <v>0</v>
      </c>
      <c r="R542" s="112" t="n">
        <v>65</v>
      </c>
      <c r="S542" s="112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D543" t="inlineStr"/>
      <c r="E543" t="inlineStr">
        <is>
          <t>EQ</t>
        </is>
      </c>
      <c r="F543" t="inlineStr"/>
      <c r="G543" s="126" t="inlineStr"/>
      <c r="H543" s="125" t="n">
        <v>46166</v>
      </c>
      <c r="I543" t="inlineStr"/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N543" t="inlineStr"/>
      <c r="O543" t="inlineStr">
        <is>
          <t>TR429</t>
        </is>
      </c>
      <c r="P543" t="inlineStr"/>
      <c r="Q543" s="112" t="n">
        <v>0</v>
      </c>
      <c r="R543" s="112" t="n">
        <v>65</v>
      </c>
      <c r="S543" s="112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D544" t="inlineStr"/>
      <c r="E544" t="inlineStr">
        <is>
          <t>EQ</t>
        </is>
      </c>
      <c r="F544" t="inlineStr"/>
      <c r="G544" s="126" t="inlineStr"/>
      <c r="H544" s="125" t="n">
        <v>46166</v>
      </c>
      <c r="I544" t="inlineStr"/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N544" t="inlineStr"/>
      <c r="O544" t="inlineStr">
        <is>
          <t>TR429</t>
        </is>
      </c>
      <c r="P544" t="inlineStr"/>
      <c r="Q544" s="112" t="n">
        <v>0</v>
      </c>
      <c r="R544" s="112" t="n">
        <v>65</v>
      </c>
      <c r="S544" s="112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D545" t="inlineStr"/>
      <c r="E545" t="inlineStr">
        <is>
          <t>EQ</t>
        </is>
      </c>
      <c r="F545" t="inlineStr"/>
      <c r="G545" s="126" t="inlineStr"/>
      <c r="H545" s="125" t="n">
        <v>46166</v>
      </c>
      <c r="I545" t="inlineStr"/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N545" t="inlineStr"/>
      <c r="O545" t="inlineStr">
        <is>
          <t>TR429</t>
        </is>
      </c>
      <c r="P545" t="inlineStr"/>
      <c r="Q545" s="112" t="n">
        <v>0</v>
      </c>
      <c r="R545" s="112" t="n">
        <v>65</v>
      </c>
      <c r="S545" s="112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D546" t="inlineStr"/>
      <c r="E546" t="inlineStr">
        <is>
          <t>EQ</t>
        </is>
      </c>
      <c r="F546" t="inlineStr"/>
      <c r="G546" s="126" t="inlineStr"/>
      <c r="H546" s="125" t="n">
        <v>46166</v>
      </c>
      <c r="I546" t="inlineStr"/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N546" t="inlineStr"/>
      <c r="O546" t="inlineStr">
        <is>
          <t>TR429</t>
        </is>
      </c>
      <c r="P546" t="inlineStr"/>
      <c r="Q546" s="112" t="n">
        <v>0</v>
      </c>
      <c r="R546" s="112" t="n">
        <v>65</v>
      </c>
      <c r="S546" s="112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D547" t="inlineStr"/>
      <c r="E547" t="inlineStr">
        <is>
          <t>EQ</t>
        </is>
      </c>
      <c r="F547" t="inlineStr"/>
      <c r="G547" s="126" t="inlineStr"/>
      <c r="H547" s="125" t="n">
        <v>46166</v>
      </c>
      <c r="I547" t="inlineStr"/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N547" t="inlineStr"/>
      <c r="O547" t="inlineStr">
        <is>
          <t>TR429</t>
        </is>
      </c>
      <c r="P547" t="inlineStr"/>
      <c r="Q547" s="112" t="n">
        <v>0</v>
      </c>
      <c r="R547" s="112" t="n">
        <v>65</v>
      </c>
      <c r="S547" s="112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D548" t="inlineStr"/>
      <c r="E548" t="inlineStr">
        <is>
          <t>EQ</t>
        </is>
      </c>
      <c r="F548" t="inlineStr"/>
      <c r="G548" s="126" t="inlineStr"/>
      <c r="H548" s="125" t="n">
        <v>46166</v>
      </c>
      <c r="I548" t="inlineStr"/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N548" t="inlineStr"/>
      <c r="O548" t="inlineStr">
        <is>
          <t>TR425</t>
        </is>
      </c>
      <c r="P548" t="inlineStr"/>
      <c r="Q548" s="112" t="n">
        <v>0</v>
      </c>
      <c r="R548" s="112" t="n">
        <v>65</v>
      </c>
      <c r="S548" s="112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D549" t="inlineStr"/>
      <c r="E549" t="inlineStr">
        <is>
          <t>EQ</t>
        </is>
      </c>
      <c r="F549" t="inlineStr"/>
      <c r="G549" s="126" t="inlineStr"/>
      <c r="H549" s="125" t="n">
        <v>46166</v>
      </c>
      <c r="I549" t="inlineStr"/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N549" t="inlineStr"/>
      <c r="O549" t="inlineStr">
        <is>
          <t>TR425</t>
        </is>
      </c>
      <c r="P549" t="inlineStr"/>
      <c r="Q549" s="112" t="n">
        <v>0</v>
      </c>
      <c r="R549" s="112" t="n">
        <v>65</v>
      </c>
      <c r="S549" s="112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D550" t="inlineStr"/>
      <c r="E550" t="inlineStr">
        <is>
          <t>EQ</t>
        </is>
      </c>
      <c r="F550" t="inlineStr"/>
      <c r="G550" s="126" t="inlineStr"/>
      <c r="H550" s="125" t="n">
        <v>46166</v>
      </c>
      <c r="I550" t="inlineStr"/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N550" t="inlineStr"/>
      <c r="O550" t="inlineStr">
        <is>
          <t>TR425</t>
        </is>
      </c>
      <c r="P550" t="inlineStr"/>
      <c r="Q550" s="112" t="n">
        <v>0</v>
      </c>
      <c r="R550" s="112" t="n">
        <v>65</v>
      </c>
      <c r="S550" s="112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D551" t="inlineStr"/>
      <c r="E551" t="inlineStr">
        <is>
          <t>EQ</t>
        </is>
      </c>
      <c r="F551" t="inlineStr"/>
      <c r="G551" s="126" t="inlineStr"/>
      <c r="H551" s="125" t="n">
        <v>46166</v>
      </c>
      <c r="I551" t="inlineStr"/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N551" t="inlineStr"/>
      <c r="O551" t="inlineStr">
        <is>
          <t>RT1479</t>
        </is>
      </c>
      <c r="P551" t="inlineStr"/>
      <c r="Q551" s="112" t="n">
        <v>0</v>
      </c>
      <c r="R551" s="112" t="n">
        <v>79.14</v>
      </c>
      <c r="S551" s="112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D552" t="inlineStr"/>
      <c r="E552" t="inlineStr">
        <is>
          <t>EQ</t>
        </is>
      </c>
      <c r="F552" t="inlineStr"/>
      <c r="G552" s="126" t="inlineStr"/>
      <c r="H552" s="125" t="n">
        <v>46166</v>
      </c>
      <c r="I552" t="inlineStr"/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N552" t="inlineStr"/>
      <c r="O552" t="inlineStr">
        <is>
          <t>RT1479</t>
        </is>
      </c>
      <c r="P552" t="inlineStr"/>
      <c r="Q552" s="112" t="n">
        <v>0</v>
      </c>
      <c r="R552" s="112" t="n">
        <v>79.14</v>
      </c>
      <c r="S552" s="112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D553" t="inlineStr"/>
      <c r="E553" t="inlineStr">
        <is>
          <t>EQ</t>
        </is>
      </c>
      <c r="F553" t="inlineStr"/>
      <c r="G553" s="126" t="inlineStr"/>
      <c r="H553" s="125" t="n">
        <v>46166</v>
      </c>
      <c r="I553" t="inlineStr"/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N553" t="inlineStr"/>
      <c r="O553" t="inlineStr">
        <is>
          <t>RT1479</t>
        </is>
      </c>
      <c r="P553" t="inlineStr"/>
      <c r="Q553" s="112" t="n">
        <v>0</v>
      </c>
      <c r="R553" s="112" t="n">
        <v>79.14</v>
      </c>
      <c r="S553" s="112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D554" t="inlineStr"/>
      <c r="E554" t="inlineStr">
        <is>
          <t>EQ</t>
        </is>
      </c>
      <c r="F554" t="inlineStr"/>
      <c r="G554" s="126" t="inlineStr"/>
      <c r="H554" s="125" t="n">
        <v>46166</v>
      </c>
      <c r="I554" t="inlineStr"/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N554" t="inlineStr"/>
      <c r="O554" t="inlineStr">
        <is>
          <t>RT1479</t>
        </is>
      </c>
      <c r="P554" t="inlineStr"/>
      <c r="Q554" s="112" t="n">
        <v>0</v>
      </c>
      <c r="R554" s="112" t="n">
        <v>79.14</v>
      </c>
      <c r="S554" s="112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D555" t="inlineStr"/>
      <c r="E555" t="inlineStr">
        <is>
          <t>EQ</t>
        </is>
      </c>
      <c r="F555" t="inlineStr"/>
      <c r="G555" s="126" t="inlineStr"/>
      <c r="H555" s="125" t="n">
        <v>46166</v>
      </c>
      <c r="I555" t="inlineStr"/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N555" t="inlineStr"/>
      <c r="O555" t="inlineStr">
        <is>
          <t>RT1479</t>
        </is>
      </c>
      <c r="P555" t="inlineStr"/>
      <c r="Q555" s="112" t="n">
        <v>0</v>
      </c>
      <c r="R555" s="112" t="n">
        <v>79.14</v>
      </c>
      <c r="S555" s="112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D556" t="inlineStr"/>
      <c r="E556" t="inlineStr">
        <is>
          <t>EQ</t>
        </is>
      </c>
      <c r="F556" t="inlineStr"/>
      <c r="G556" s="126" t="inlineStr"/>
      <c r="H556" s="125" t="n">
        <v>46166</v>
      </c>
      <c r="I556" t="inlineStr"/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N556" t="inlineStr"/>
      <c r="O556" t="inlineStr">
        <is>
          <t>RT1479</t>
        </is>
      </c>
      <c r="P556" t="inlineStr"/>
      <c r="Q556" s="112" t="n">
        <v>0</v>
      </c>
      <c r="R556" s="112" t="n">
        <v>79.14</v>
      </c>
      <c r="S556" s="112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D557" t="inlineStr"/>
      <c r="E557" t="inlineStr">
        <is>
          <t>EQ</t>
        </is>
      </c>
      <c r="F557" t="inlineStr"/>
      <c r="G557" s="126" t="inlineStr"/>
      <c r="H557" s="125" t="n">
        <v>46166</v>
      </c>
      <c r="I557" t="inlineStr"/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N557" t="inlineStr"/>
      <c r="O557" t="inlineStr">
        <is>
          <t>RT1242</t>
        </is>
      </c>
      <c r="P557" t="inlineStr"/>
      <c r="Q557" s="112" t="n">
        <v>0</v>
      </c>
      <c r="R557" s="112" t="n">
        <v>79.14</v>
      </c>
      <c r="S557" s="112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D558" t="inlineStr"/>
      <c r="E558" t="inlineStr">
        <is>
          <t>EQ</t>
        </is>
      </c>
      <c r="F558" t="inlineStr"/>
      <c r="G558" s="126" t="inlineStr"/>
      <c r="H558" s="125" t="n">
        <v>46166</v>
      </c>
      <c r="I558" t="inlineStr"/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N558" t="inlineStr"/>
      <c r="O558" t="inlineStr">
        <is>
          <t>RT1481</t>
        </is>
      </c>
      <c r="P558" t="inlineStr"/>
      <c r="Q558" s="112" t="n">
        <v>0</v>
      </c>
      <c r="R558" s="112" t="n">
        <v>79.14</v>
      </c>
      <c r="S558" s="112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D559" t="inlineStr"/>
      <c r="E559" t="inlineStr">
        <is>
          <t>ER</t>
        </is>
      </c>
      <c r="F559" t="inlineStr"/>
      <c r="G559" s="126" t="inlineStr"/>
      <c r="H559" s="125" t="n">
        <v>45977</v>
      </c>
      <c r="I559" t="inlineStr"/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N559" t="inlineStr"/>
      <c r="O559" t="inlineStr">
        <is>
          <t>RAT403</t>
        </is>
      </c>
      <c r="P559" t="inlineStr"/>
      <c r="Q559" s="112" t="n">
        <v>0</v>
      </c>
      <c r="R559" s="112" t="n">
        <v>62.5</v>
      </c>
      <c r="S559" s="112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D560" t="inlineStr"/>
      <c r="E560" t="inlineStr">
        <is>
          <t>ER</t>
        </is>
      </c>
      <c r="F560" t="inlineStr"/>
      <c r="G560" s="126" t="inlineStr"/>
      <c r="H560" s="125" t="n">
        <v>45977</v>
      </c>
      <c r="I560" t="inlineStr"/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N560" t="inlineStr"/>
      <c r="O560" t="inlineStr">
        <is>
          <t>RAT403</t>
        </is>
      </c>
      <c r="P560" t="inlineStr"/>
      <c r="Q560" s="112" t="n">
        <v>0</v>
      </c>
      <c r="R560" s="112" t="n">
        <v>62.5</v>
      </c>
      <c r="S560" s="112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D561" t="inlineStr"/>
      <c r="E561" t="inlineStr">
        <is>
          <t>ER</t>
        </is>
      </c>
      <c r="F561" t="inlineStr"/>
      <c r="G561" s="126" t="inlineStr"/>
      <c r="H561" s="125" t="n">
        <v>45977</v>
      </c>
      <c r="I561" t="inlineStr"/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N561" t="inlineStr"/>
      <c r="O561" t="inlineStr">
        <is>
          <t>RST279</t>
        </is>
      </c>
      <c r="P561" t="inlineStr"/>
      <c r="Q561" s="112" t="n">
        <v>0</v>
      </c>
      <c r="R561" s="112" t="n">
        <v>125</v>
      </c>
      <c r="S561" s="112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D562" t="inlineStr"/>
      <c r="E562" t="inlineStr">
        <is>
          <t>ER</t>
        </is>
      </c>
      <c r="F562" t="inlineStr"/>
      <c r="G562" s="126" t="inlineStr"/>
      <c r="H562" s="125" t="n">
        <v>45977</v>
      </c>
      <c r="I562" t="inlineStr"/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N562" t="inlineStr"/>
      <c r="O562" t="inlineStr">
        <is>
          <t>RST279</t>
        </is>
      </c>
      <c r="P562" t="inlineStr"/>
      <c r="Q562" s="112" t="n">
        <v>0</v>
      </c>
      <c r="R562" s="112" t="n">
        <v>125</v>
      </c>
      <c r="S562" s="112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D563" t="inlineStr"/>
      <c r="E563" t="inlineStr">
        <is>
          <t>ER</t>
        </is>
      </c>
      <c r="F563" t="inlineStr"/>
      <c r="G563" s="126" t="inlineStr"/>
      <c r="H563" s="125" t="n">
        <v>45984</v>
      </c>
      <c r="I563" t="inlineStr"/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N563" t="inlineStr"/>
      <c r="O563" t="inlineStr">
        <is>
          <t>RAT403</t>
        </is>
      </c>
      <c r="P563" t="inlineStr"/>
      <c r="Q563" s="112" t="n">
        <v>0</v>
      </c>
      <c r="R563" s="112" t="n">
        <v>62.5</v>
      </c>
      <c r="S563" s="112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D564" t="inlineStr"/>
      <c r="E564" t="inlineStr">
        <is>
          <t>ER</t>
        </is>
      </c>
      <c r="F564" t="inlineStr"/>
      <c r="G564" s="126" t="inlineStr"/>
      <c r="H564" s="125" t="n">
        <v>45984</v>
      </c>
      <c r="I564" t="inlineStr"/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N564" t="inlineStr"/>
      <c r="O564" t="inlineStr">
        <is>
          <t>RAT403</t>
        </is>
      </c>
      <c r="P564" t="inlineStr"/>
      <c r="Q564" s="112" t="n">
        <v>0</v>
      </c>
      <c r="R564" s="112" t="n">
        <v>62.5</v>
      </c>
      <c r="S564" s="112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D565" t="inlineStr"/>
      <c r="E565" t="inlineStr">
        <is>
          <t>ER</t>
        </is>
      </c>
      <c r="F565" t="inlineStr"/>
      <c r="G565" s="126" t="inlineStr"/>
      <c r="H565" s="125" t="n">
        <v>45984</v>
      </c>
      <c r="I565" t="inlineStr"/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N565" t="inlineStr"/>
      <c r="O565" t="inlineStr">
        <is>
          <t>RAT403</t>
        </is>
      </c>
      <c r="P565" t="inlineStr"/>
      <c r="Q565" s="112" t="n">
        <v>0</v>
      </c>
      <c r="R565" s="112" t="n">
        <v>62.5</v>
      </c>
      <c r="S565" s="112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D566" t="inlineStr"/>
      <c r="E566" t="inlineStr">
        <is>
          <t>ER</t>
        </is>
      </c>
      <c r="F566" t="inlineStr"/>
      <c r="G566" s="126" t="inlineStr"/>
      <c r="H566" s="125" t="n">
        <v>45984</v>
      </c>
      <c r="I566" t="inlineStr"/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N566" t="inlineStr"/>
      <c r="O566" t="inlineStr">
        <is>
          <t>RAT403</t>
        </is>
      </c>
      <c r="P566" t="inlineStr"/>
      <c r="Q566" s="112" t="n">
        <v>0</v>
      </c>
      <c r="R566" s="112" t="n">
        <v>62.5</v>
      </c>
      <c r="S566" s="112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D567" t="inlineStr"/>
      <c r="E567" t="inlineStr">
        <is>
          <t>ER</t>
        </is>
      </c>
      <c r="F567" t="inlineStr"/>
      <c r="G567" s="126" t="inlineStr"/>
      <c r="H567" s="125" t="n">
        <v>45984</v>
      </c>
      <c r="I567" t="inlineStr"/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N567" t="inlineStr"/>
      <c r="O567" t="inlineStr">
        <is>
          <t>RAT403</t>
        </is>
      </c>
      <c r="P567" t="inlineStr"/>
      <c r="Q567" s="112" t="n">
        <v>0</v>
      </c>
      <c r="R567" s="112" t="n">
        <v>62.5</v>
      </c>
      <c r="S567" s="112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D568" t="inlineStr"/>
      <c r="E568" t="inlineStr">
        <is>
          <t>ER</t>
        </is>
      </c>
      <c r="F568" t="inlineStr"/>
      <c r="G568" s="126" t="inlineStr"/>
      <c r="H568" s="125" t="n">
        <v>45984</v>
      </c>
      <c r="I568" t="inlineStr"/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N568" t="inlineStr"/>
      <c r="O568" t="inlineStr">
        <is>
          <t>RST279</t>
        </is>
      </c>
      <c r="P568" t="inlineStr"/>
      <c r="Q568" s="112" t="n">
        <v>0</v>
      </c>
      <c r="R568" s="112" t="n">
        <v>125</v>
      </c>
      <c r="S568" s="112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D569" t="inlineStr"/>
      <c r="E569" t="inlineStr">
        <is>
          <t>ER</t>
        </is>
      </c>
      <c r="F569" t="inlineStr"/>
      <c r="G569" s="126" t="inlineStr"/>
      <c r="H569" s="125" t="n">
        <v>45984</v>
      </c>
      <c r="I569" t="inlineStr"/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N569" t="inlineStr"/>
      <c r="O569" t="inlineStr">
        <is>
          <t>RST279</t>
        </is>
      </c>
      <c r="P569" t="inlineStr"/>
      <c r="Q569" s="112" t="n">
        <v>0</v>
      </c>
      <c r="R569" s="112" t="n">
        <v>125</v>
      </c>
      <c r="S569" s="112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D570" t="inlineStr"/>
      <c r="E570" t="inlineStr">
        <is>
          <t>ER</t>
        </is>
      </c>
      <c r="F570" t="inlineStr"/>
      <c r="G570" s="126" t="inlineStr"/>
      <c r="H570" s="125" t="n">
        <v>45984</v>
      </c>
      <c r="I570" t="inlineStr"/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N570" t="inlineStr"/>
      <c r="O570" t="inlineStr">
        <is>
          <t>RST279</t>
        </is>
      </c>
      <c r="P570" t="inlineStr"/>
      <c r="Q570" s="112" t="n">
        <v>0</v>
      </c>
      <c r="R570" s="112" t="n">
        <v>125</v>
      </c>
      <c r="S570" s="112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D571" t="inlineStr"/>
      <c r="E571" t="inlineStr">
        <is>
          <t>ER</t>
        </is>
      </c>
      <c r="F571" t="inlineStr"/>
      <c r="G571" s="126" t="inlineStr"/>
      <c r="H571" s="125" t="n">
        <v>45984</v>
      </c>
      <c r="I571" t="inlineStr"/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N571" t="inlineStr"/>
      <c r="O571" t="inlineStr">
        <is>
          <t>RST279</t>
        </is>
      </c>
      <c r="P571" t="inlineStr"/>
      <c r="Q571" s="112" t="n">
        <v>0</v>
      </c>
      <c r="R571" s="112" t="n">
        <v>125</v>
      </c>
      <c r="S571" s="112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D572" t="inlineStr"/>
      <c r="E572" t="inlineStr">
        <is>
          <t>ER</t>
        </is>
      </c>
      <c r="F572" t="inlineStr"/>
      <c r="G572" s="126" t="inlineStr"/>
      <c r="H572" s="125" t="n">
        <v>45984</v>
      </c>
      <c r="I572" t="inlineStr"/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N572" t="inlineStr"/>
      <c r="O572" t="inlineStr">
        <is>
          <t>RST279</t>
        </is>
      </c>
      <c r="P572" t="inlineStr"/>
      <c r="Q572" s="112" t="n">
        <v>0</v>
      </c>
      <c r="R572" s="112" t="n">
        <v>125</v>
      </c>
      <c r="S572" s="112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D573" t="inlineStr"/>
      <c r="E573" t="inlineStr">
        <is>
          <t>ER</t>
        </is>
      </c>
      <c r="F573" t="inlineStr"/>
      <c r="G573" s="126" t="inlineStr"/>
      <c r="H573" s="125" t="n">
        <v>45984</v>
      </c>
      <c r="I573" t="inlineStr"/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N573" t="inlineStr"/>
      <c r="O573" t="inlineStr">
        <is>
          <t>RST279</t>
        </is>
      </c>
      <c r="P573" t="inlineStr"/>
      <c r="Q573" s="112" t="n">
        <v>0</v>
      </c>
      <c r="R573" s="112" t="n">
        <v>125</v>
      </c>
      <c r="S573" s="112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D574" t="inlineStr"/>
      <c r="E574" t="inlineStr">
        <is>
          <t>ER</t>
        </is>
      </c>
      <c r="F574" t="inlineStr"/>
      <c r="G574" s="126" t="inlineStr"/>
      <c r="H574" s="125" t="n">
        <v>45991</v>
      </c>
      <c r="I574" t="inlineStr"/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N574" t="inlineStr"/>
      <c r="O574" t="inlineStr">
        <is>
          <t>RST279</t>
        </is>
      </c>
      <c r="P574" t="inlineStr"/>
      <c r="Q574" s="112" t="n">
        <v>0</v>
      </c>
      <c r="R574" s="112" t="n">
        <v>125</v>
      </c>
      <c r="S574" s="112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D575" t="inlineStr"/>
      <c r="E575" t="inlineStr">
        <is>
          <t>ER</t>
        </is>
      </c>
      <c r="F575" t="inlineStr"/>
      <c r="G575" s="126" t="inlineStr"/>
      <c r="H575" s="125" t="n">
        <v>46142</v>
      </c>
      <c r="I575" t="inlineStr"/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N575" t="inlineStr"/>
      <c r="O575" t="inlineStr">
        <is>
          <t>RMS2318</t>
        </is>
      </c>
      <c r="P575" t="inlineStr"/>
      <c r="Q575" s="112" t="n">
        <v>0</v>
      </c>
      <c r="R575" s="112" t="n">
        <v>200</v>
      </c>
      <c r="S575" s="112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D576" t="inlineStr"/>
      <c r="E576" t="inlineStr">
        <is>
          <t>ER</t>
        </is>
      </c>
      <c r="F576" t="inlineStr"/>
      <c r="G576" s="126" t="inlineStr"/>
      <c r="H576" s="125" t="n">
        <v>46142</v>
      </c>
      <c r="I576" t="inlineStr"/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N576" t="inlineStr"/>
      <c r="O576" t="inlineStr">
        <is>
          <t>RMS2318</t>
        </is>
      </c>
      <c r="P576" t="inlineStr"/>
      <c r="Q576" s="112" t="n">
        <v>0</v>
      </c>
      <c r="R576" s="112" t="n">
        <v>200</v>
      </c>
      <c r="S576" s="112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D577" t="inlineStr"/>
      <c r="E577" t="inlineStr">
        <is>
          <t>ER</t>
        </is>
      </c>
      <c r="F577" t="inlineStr"/>
      <c r="G577" s="126" t="inlineStr"/>
      <c r="H577" s="125" t="n">
        <v>46142</v>
      </c>
      <c r="I577" t="inlineStr"/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N577" t="inlineStr"/>
      <c r="O577" t="inlineStr">
        <is>
          <t>RMS2318</t>
        </is>
      </c>
      <c r="P577" t="inlineStr"/>
      <c r="Q577" s="112" t="n">
        <v>0</v>
      </c>
      <c r="R577" s="112" t="n">
        <v>200</v>
      </c>
      <c r="S577" s="112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D578" t="inlineStr"/>
      <c r="E578" t="inlineStr">
        <is>
          <t>ER</t>
        </is>
      </c>
      <c r="F578" t="inlineStr"/>
      <c r="G578" s="126" t="inlineStr"/>
      <c r="H578" s="125" t="n">
        <v>46142</v>
      </c>
      <c r="I578" t="inlineStr"/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N578" t="inlineStr"/>
      <c r="O578" t="inlineStr">
        <is>
          <t>RMS2318</t>
        </is>
      </c>
      <c r="P578" t="inlineStr"/>
      <c r="Q578" s="112" t="n">
        <v>0</v>
      </c>
      <c r="R578" s="112" t="n">
        <v>200</v>
      </c>
      <c r="S578" s="112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D579" t="inlineStr"/>
      <c r="E579" t="inlineStr">
        <is>
          <t>ER</t>
        </is>
      </c>
      <c r="F579" t="inlineStr"/>
      <c r="G579" s="126" t="inlineStr"/>
      <c r="H579" s="125" t="n">
        <v>46152</v>
      </c>
      <c r="I579" t="inlineStr"/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N579" t="inlineStr"/>
      <c r="O579" t="inlineStr">
        <is>
          <t>RMS2318</t>
        </is>
      </c>
      <c r="P579" t="inlineStr"/>
      <c r="Q579" s="112" t="n">
        <v>0</v>
      </c>
      <c r="R579" s="112" t="n">
        <v>200</v>
      </c>
      <c r="S579" s="112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D580" t="inlineStr"/>
      <c r="E580" t="inlineStr">
        <is>
          <t>LA</t>
        </is>
      </c>
      <c r="F580" t="inlineStr"/>
      <c r="G580" s="126" t="inlineStr"/>
      <c r="H580" s="125" t="n">
        <v>45945</v>
      </c>
      <c r="I580" t="inlineStr"/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N580" t="inlineStr"/>
      <c r="O580" t="inlineStr"/>
      <c r="P580" t="inlineStr"/>
      <c r="Q580" s="112" t="n">
        <v>0</v>
      </c>
      <c r="R580" s="112" t="n">
        <v>60.03</v>
      </c>
      <c r="S580" s="112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D581" t="inlineStr"/>
      <c r="E581" t="inlineStr">
        <is>
          <t>LA</t>
        </is>
      </c>
      <c r="F581" t="inlineStr"/>
      <c r="G581" s="126" t="inlineStr"/>
      <c r="H581" s="125" t="n">
        <v>45945</v>
      </c>
      <c r="I581" t="inlineStr"/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N581" t="inlineStr"/>
      <c r="O581" t="inlineStr"/>
      <c r="P581" t="inlineStr"/>
      <c r="Q581" s="112" t="n">
        <v>0</v>
      </c>
      <c r="R581" s="112" t="n">
        <v>60.03</v>
      </c>
      <c r="S581" s="112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D582" t="inlineStr"/>
      <c r="E582" t="inlineStr">
        <is>
          <t>LA</t>
        </is>
      </c>
      <c r="F582" t="inlineStr"/>
      <c r="G582" s="126" t="inlineStr"/>
      <c r="H582" s="125" t="n">
        <v>45945</v>
      </c>
      <c r="I582" t="inlineStr"/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N582" t="inlineStr"/>
      <c r="O582" t="inlineStr"/>
      <c r="P582" t="inlineStr"/>
      <c r="Q582" s="112" t="n">
        <v>0</v>
      </c>
      <c r="R582" s="112" t="n">
        <v>1236.73</v>
      </c>
      <c r="S582" s="112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D583" t="inlineStr"/>
      <c r="E583" t="inlineStr">
        <is>
          <t>LA</t>
        </is>
      </c>
      <c r="F583" t="inlineStr"/>
      <c r="G583" s="126" t="inlineStr"/>
      <c r="H583" s="125" t="n">
        <v>45958</v>
      </c>
      <c r="I583" t="inlineStr"/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N583" t="inlineStr"/>
      <c r="O583" t="inlineStr"/>
      <c r="P583" t="inlineStr"/>
      <c r="Q583" s="112" t="n">
        <v>0</v>
      </c>
      <c r="R583" s="112" t="n">
        <v>815.5</v>
      </c>
      <c r="S583" s="112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D584" t="inlineStr"/>
      <c r="E584" t="inlineStr">
        <is>
          <t>LA</t>
        </is>
      </c>
      <c r="F584" t="inlineStr"/>
      <c r="G584" s="126" t="inlineStr"/>
      <c r="H584" s="125" t="n">
        <v>45958</v>
      </c>
      <c r="I584" t="inlineStr"/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N584" t="inlineStr"/>
      <c r="O584" t="inlineStr"/>
      <c r="P584" t="inlineStr"/>
      <c r="Q584" s="112" t="n">
        <v>0</v>
      </c>
      <c r="R584" s="112" t="n">
        <v>703.92</v>
      </c>
      <c r="S584" s="112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D585" t="inlineStr"/>
      <c r="E585" t="inlineStr">
        <is>
          <t>LA</t>
        </is>
      </c>
      <c r="F585" t="inlineStr"/>
      <c r="G585" s="126" t="inlineStr"/>
      <c r="H585" s="125" t="n">
        <v>45958</v>
      </c>
      <c r="I585" t="inlineStr"/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N585" t="inlineStr"/>
      <c r="O585" t="inlineStr"/>
      <c r="P585" t="inlineStr"/>
      <c r="Q585" s="112" t="n">
        <v>0</v>
      </c>
      <c r="R585" s="112" t="n">
        <v>1527.57</v>
      </c>
      <c r="S585" s="112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D586" t="inlineStr"/>
      <c r="E586" t="inlineStr">
        <is>
          <t>LA</t>
        </is>
      </c>
      <c r="F586" t="inlineStr"/>
      <c r="G586" s="126" t="inlineStr"/>
      <c r="H586" s="125" t="n">
        <v>45958</v>
      </c>
      <c r="I586" t="inlineStr"/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N586" t="inlineStr"/>
      <c r="O586" t="inlineStr"/>
      <c r="P586" t="inlineStr"/>
      <c r="Q586" s="112" t="n">
        <v>0</v>
      </c>
      <c r="R586" s="112" t="n">
        <v>1404.73</v>
      </c>
      <c r="S586" s="112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D587" t="inlineStr"/>
      <c r="E587" t="inlineStr">
        <is>
          <t>LA</t>
        </is>
      </c>
      <c r="F587" t="inlineStr"/>
      <c r="G587" s="126" t="inlineStr"/>
      <c r="H587" s="125" t="n">
        <v>45958</v>
      </c>
      <c r="I587" t="inlineStr"/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N587" t="inlineStr"/>
      <c r="O587" t="inlineStr"/>
      <c r="P587" t="inlineStr"/>
      <c r="Q587" s="112" t="n">
        <v>0</v>
      </c>
      <c r="R587" s="112" t="n">
        <v>1242.91</v>
      </c>
      <c r="S587" s="112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D588" t="inlineStr"/>
      <c r="E588" t="inlineStr">
        <is>
          <t>LA</t>
        </is>
      </c>
      <c r="F588" t="inlineStr"/>
      <c r="G588" s="126" t="inlineStr"/>
      <c r="H588" s="125" t="n">
        <v>45958</v>
      </c>
      <c r="I588" t="inlineStr"/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N588" t="inlineStr"/>
      <c r="O588" t="inlineStr"/>
      <c r="P588" t="inlineStr"/>
      <c r="Q588" s="112" t="n">
        <v>0</v>
      </c>
      <c r="R588" s="112" t="n">
        <v>1349.88</v>
      </c>
      <c r="S588" s="112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D589" t="inlineStr"/>
      <c r="E589" t="inlineStr">
        <is>
          <t>LA</t>
        </is>
      </c>
      <c r="F589" t="inlineStr"/>
      <c r="G589" s="126" t="inlineStr"/>
      <c r="H589" s="125" t="n">
        <v>45958</v>
      </c>
      <c r="I589" t="inlineStr"/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N589" t="inlineStr"/>
      <c r="O589" t="inlineStr"/>
      <c r="P589" t="inlineStr"/>
      <c r="Q589" s="112" t="n">
        <v>0</v>
      </c>
      <c r="R589" s="112" t="n">
        <v>986.16</v>
      </c>
      <c r="S589" s="112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D590" t="inlineStr"/>
      <c r="E590" t="inlineStr">
        <is>
          <t>LA</t>
        </is>
      </c>
      <c r="F590" t="inlineStr"/>
      <c r="G590" s="126" t="inlineStr"/>
      <c r="H590" s="125" t="n">
        <v>45958</v>
      </c>
      <c r="I590" t="inlineStr"/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N590" t="inlineStr"/>
      <c r="O590" t="inlineStr"/>
      <c r="P590" t="inlineStr"/>
      <c r="Q590" s="112" t="n">
        <v>0</v>
      </c>
      <c r="R590" s="112" t="n">
        <v>827.4299999999999</v>
      </c>
      <c r="S590" s="112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D591" t="inlineStr"/>
      <c r="E591" t="inlineStr">
        <is>
          <t>LA</t>
        </is>
      </c>
      <c r="F591" t="inlineStr"/>
      <c r="G591" s="126" t="inlineStr"/>
      <c r="H591" s="125" t="n">
        <v>45958</v>
      </c>
      <c r="I591" t="inlineStr"/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N591" t="inlineStr"/>
      <c r="O591" t="inlineStr"/>
      <c r="P591" t="inlineStr"/>
      <c r="Q591" s="112" t="n">
        <v>0</v>
      </c>
      <c r="R591" s="112" t="n">
        <v>827.42</v>
      </c>
      <c r="S591" s="112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D592" t="inlineStr"/>
      <c r="E592" t="inlineStr">
        <is>
          <t>LA</t>
        </is>
      </c>
      <c r="F592" t="inlineStr"/>
      <c r="G592" s="126" t="inlineStr"/>
      <c r="H592" s="125" t="n">
        <v>45958</v>
      </c>
      <c r="I592" t="inlineStr"/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N592" t="inlineStr"/>
      <c r="O592" t="inlineStr"/>
      <c r="P592" t="inlineStr"/>
      <c r="Q592" s="112" t="n">
        <v>0</v>
      </c>
      <c r="R592" s="112" t="n">
        <v>633.4</v>
      </c>
      <c r="S592" s="112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D593" t="inlineStr"/>
      <c r="E593" t="inlineStr">
        <is>
          <t>LA</t>
        </is>
      </c>
      <c r="F593" t="inlineStr"/>
      <c r="G593" s="126" t="inlineStr"/>
      <c r="H593" s="125" t="n">
        <v>45972</v>
      </c>
      <c r="I593" t="inlineStr"/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N593" t="inlineStr"/>
      <c r="O593" t="inlineStr"/>
      <c r="P593" t="inlineStr"/>
      <c r="Q593" s="112" t="n">
        <v>0</v>
      </c>
      <c r="R593" s="112" t="n">
        <v>1434.81</v>
      </c>
      <c r="S593" s="112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D594" t="inlineStr"/>
      <c r="E594" t="inlineStr">
        <is>
          <t>LA</t>
        </is>
      </c>
      <c r="F594" t="inlineStr"/>
      <c r="G594" s="126" t="inlineStr"/>
      <c r="H594" s="125" t="n">
        <v>45972</v>
      </c>
      <c r="I594" t="inlineStr"/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N594" t="inlineStr"/>
      <c r="O594" t="inlineStr"/>
      <c r="P594" t="inlineStr"/>
      <c r="Q594" s="112" t="n">
        <v>0</v>
      </c>
      <c r="R594" s="112" t="n">
        <v>916.29</v>
      </c>
      <c r="S594" s="112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D595" t="inlineStr"/>
      <c r="E595" t="inlineStr">
        <is>
          <t>LA</t>
        </is>
      </c>
      <c r="F595" t="inlineStr"/>
      <c r="G595" s="126" t="inlineStr"/>
      <c r="H595" s="125" t="n">
        <v>45972</v>
      </c>
      <c r="I595" t="inlineStr"/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N595" t="inlineStr"/>
      <c r="O595" t="inlineStr"/>
      <c r="P595" t="inlineStr"/>
      <c r="Q595" s="112" t="n">
        <v>0</v>
      </c>
      <c r="R595" s="112" t="n">
        <v>2084.17</v>
      </c>
      <c r="S595" s="112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D596" t="inlineStr"/>
      <c r="E596" t="inlineStr">
        <is>
          <t>LA</t>
        </is>
      </c>
      <c r="F596" t="inlineStr"/>
      <c r="G596" s="126" t="inlineStr"/>
      <c r="H596" s="125" t="n">
        <v>45972</v>
      </c>
      <c r="I596" t="inlineStr"/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N596" t="inlineStr"/>
      <c r="O596" t="inlineStr"/>
      <c r="P596" t="inlineStr"/>
      <c r="Q596" s="112" t="n">
        <v>0</v>
      </c>
      <c r="R596" s="112" t="n">
        <v>1660.97</v>
      </c>
      <c r="S596" s="112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D597" t="inlineStr"/>
      <c r="E597" t="inlineStr">
        <is>
          <t>LA</t>
        </is>
      </c>
      <c r="F597" t="inlineStr"/>
      <c r="G597" s="126" t="inlineStr"/>
      <c r="H597" s="125" t="n">
        <v>45972</v>
      </c>
      <c r="I597" t="inlineStr"/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N597" t="inlineStr"/>
      <c r="O597" t="inlineStr"/>
      <c r="P597" t="inlineStr"/>
      <c r="Q597" s="112" t="n">
        <v>0</v>
      </c>
      <c r="R597" s="112" t="n">
        <v>1248.98</v>
      </c>
      <c r="S597" s="112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D598" t="inlineStr"/>
      <c r="E598" t="inlineStr">
        <is>
          <t>LA</t>
        </is>
      </c>
      <c r="F598" t="inlineStr"/>
      <c r="G598" s="126" t="inlineStr"/>
      <c r="H598" s="125" t="n">
        <v>45972</v>
      </c>
      <c r="I598" t="inlineStr"/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N598" t="inlineStr"/>
      <c r="O598" t="inlineStr"/>
      <c r="P598" t="inlineStr"/>
      <c r="Q598" s="112" t="n">
        <v>0</v>
      </c>
      <c r="R598" s="112" t="n">
        <v>802.49</v>
      </c>
      <c r="S598" s="112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D599" t="inlineStr"/>
      <c r="E599" t="inlineStr">
        <is>
          <t>LA</t>
        </is>
      </c>
      <c r="F599" t="inlineStr"/>
      <c r="G599" s="126" t="inlineStr"/>
      <c r="H599" s="125" t="n">
        <v>45972</v>
      </c>
      <c r="I599" t="inlineStr"/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N599" t="inlineStr"/>
      <c r="O599" t="inlineStr"/>
      <c r="P599" t="inlineStr"/>
      <c r="Q599" s="112" t="n">
        <v>0</v>
      </c>
      <c r="R599" s="112" t="n">
        <v>1248.97</v>
      </c>
      <c r="S599" s="112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D600" t="inlineStr"/>
      <c r="E600" t="inlineStr">
        <is>
          <t>LA</t>
        </is>
      </c>
      <c r="F600" t="inlineStr"/>
      <c r="G600" s="126" t="inlineStr"/>
      <c r="H600" s="125" t="n">
        <v>45972</v>
      </c>
      <c r="I600" t="inlineStr"/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N600" t="inlineStr"/>
      <c r="O600" t="inlineStr"/>
      <c r="P600" t="inlineStr"/>
      <c r="Q600" s="112" t="n">
        <v>0</v>
      </c>
      <c r="R600" s="112" t="n">
        <v>1146.81</v>
      </c>
      <c r="S600" s="112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D601" t="inlineStr"/>
      <c r="E601" t="inlineStr">
        <is>
          <t>LA</t>
        </is>
      </c>
      <c r="F601" t="inlineStr"/>
      <c r="G601" s="126" t="inlineStr"/>
      <c r="H601" s="125" t="n">
        <v>45972</v>
      </c>
      <c r="I601" t="inlineStr"/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N601" t="inlineStr"/>
      <c r="O601" t="inlineStr"/>
      <c r="P601" t="inlineStr"/>
      <c r="Q601" s="112" t="n">
        <v>0</v>
      </c>
      <c r="R601" s="112" t="n">
        <v>1220.14</v>
      </c>
      <c r="S601" s="112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D602" t="inlineStr"/>
      <c r="E602" t="inlineStr">
        <is>
          <t>LA</t>
        </is>
      </c>
      <c r="F602" t="inlineStr"/>
      <c r="G602" s="126" t="inlineStr"/>
      <c r="H602" s="125" t="n">
        <v>45972</v>
      </c>
      <c r="I602" t="inlineStr"/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N602" t="inlineStr"/>
      <c r="O602" t="inlineStr"/>
      <c r="P602" t="inlineStr"/>
      <c r="Q602" s="112" t="n">
        <v>0</v>
      </c>
      <c r="R602" s="112" t="n">
        <v>1013.81</v>
      </c>
      <c r="S602" s="112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D603" t="inlineStr"/>
      <c r="E603" t="inlineStr">
        <is>
          <t>LA</t>
        </is>
      </c>
      <c r="F603" t="inlineStr"/>
      <c r="G603" s="126" t="inlineStr"/>
      <c r="H603" s="125" t="n">
        <v>45981</v>
      </c>
      <c r="I603" t="inlineStr"/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N603" t="inlineStr"/>
      <c r="O603" t="inlineStr"/>
      <c r="P603" t="inlineStr"/>
      <c r="Q603" s="112" t="n">
        <v>0</v>
      </c>
      <c r="R603" s="112" t="n">
        <v>535.49</v>
      </c>
      <c r="S603" s="112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D604" t="inlineStr"/>
      <c r="E604" t="inlineStr">
        <is>
          <t>LA</t>
        </is>
      </c>
      <c r="F604" t="inlineStr"/>
      <c r="G604" s="126" t="inlineStr"/>
      <c r="H604" s="125" t="n">
        <v>45981</v>
      </c>
      <c r="I604" t="inlineStr"/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N604" t="inlineStr"/>
      <c r="O604" t="inlineStr"/>
      <c r="P604" t="inlineStr"/>
      <c r="Q604" s="112" t="n">
        <v>0</v>
      </c>
      <c r="R604" s="112" t="n">
        <v>535.49</v>
      </c>
      <c r="S604" s="112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D605" t="inlineStr"/>
      <c r="E605" t="inlineStr">
        <is>
          <t>LA</t>
        </is>
      </c>
      <c r="F605" t="inlineStr"/>
      <c r="G605" s="126" t="inlineStr"/>
      <c r="H605" s="125" t="n">
        <v>45981</v>
      </c>
      <c r="I605" t="inlineStr"/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N605" t="inlineStr"/>
      <c r="O605" t="inlineStr"/>
      <c r="P605" t="inlineStr"/>
      <c r="Q605" s="112" t="n">
        <v>0</v>
      </c>
      <c r="R605" s="112" t="n">
        <v>535.49</v>
      </c>
      <c r="S605" s="112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D606" t="inlineStr"/>
      <c r="E606" t="inlineStr">
        <is>
          <t>LA</t>
        </is>
      </c>
      <c r="F606" t="inlineStr"/>
      <c r="G606" s="126" t="inlineStr"/>
      <c r="H606" s="125" t="n">
        <v>45981</v>
      </c>
      <c r="I606" t="inlineStr"/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N606" t="inlineStr"/>
      <c r="O606" t="inlineStr"/>
      <c r="P606" t="inlineStr"/>
      <c r="Q606" s="112" t="n">
        <v>0</v>
      </c>
      <c r="R606" s="112" t="n">
        <v>532.99</v>
      </c>
      <c r="S606" s="112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D607" t="inlineStr"/>
      <c r="E607" t="inlineStr">
        <is>
          <t>LA</t>
        </is>
      </c>
      <c r="F607" t="inlineStr"/>
      <c r="G607" s="126" t="inlineStr"/>
      <c r="H607" s="125" t="n">
        <v>45985</v>
      </c>
      <c r="I607" t="inlineStr"/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N607" t="inlineStr"/>
      <c r="O607" t="inlineStr"/>
      <c r="P607" t="inlineStr"/>
      <c r="Q607" s="112" t="n">
        <v>0</v>
      </c>
      <c r="R607" s="112" t="n">
        <v>1717.45</v>
      </c>
      <c r="S607" s="112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D608" t="inlineStr"/>
      <c r="E608" t="inlineStr">
        <is>
          <t>LA</t>
        </is>
      </c>
      <c r="F608" t="inlineStr"/>
      <c r="G608" s="126" t="inlineStr"/>
      <c r="H608" s="125" t="n">
        <v>45985</v>
      </c>
      <c r="I608" t="inlineStr"/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N608" t="inlineStr"/>
      <c r="O608" t="inlineStr"/>
      <c r="P608" t="inlineStr"/>
      <c r="Q608" s="112" t="n">
        <v>0</v>
      </c>
      <c r="R608" s="112" t="n">
        <v>2098.49</v>
      </c>
      <c r="S608" s="112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D609" t="inlineStr"/>
      <c r="E609" t="inlineStr">
        <is>
          <t>LA</t>
        </is>
      </c>
      <c r="F609" t="inlineStr"/>
      <c r="G609" s="126" t="inlineStr"/>
      <c r="H609" s="125" t="n">
        <v>45985</v>
      </c>
      <c r="I609" t="inlineStr"/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N609" t="inlineStr"/>
      <c r="O609" t="inlineStr"/>
      <c r="P609" t="inlineStr"/>
      <c r="Q609" s="112" t="n">
        <v>0</v>
      </c>
      <c r="R609" s="112" t="n">
        <v>1771.04</v>
      </c>
      <c r="S609" s="112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D610" t="inlineStr"/>
      <c r="E610" t="inlineStr">
        <is>
          <t>LA</t>
        </is>
      </c>
      <c r="F610" t="inlineStr"/>
      <c r="G610" s="126" t="inlineStr"/>
      <c r="H610" s="125" t="n">
        <v>45985</v>
      </c>
      <c r="I610" t="inlineStr"/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N610" t="inlineStr"/>
      <c r="O610" t="inlineStr"/>
      <c r="P610" t="inlineStr"/>
      <c r="Q610" s="112" t="n">
        <v>0</v>
      </c>
      <c r="R610" s="112" t="n">
        <v>1606.44</v>
      </c>
      <c r="S610" s="112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D611" t="inlineStr"/>
      <c r="E611" t="inlineStr">
        <is>
          <t>LA</t>
        </is>
      </c>
      <c r="F611" t="inlineStr"/>
      <c r="G611" s="126" t="inlineStr"/>
      <c r="H611" s="125" t="n">
        <v>45985</v>
      </c>
      <c r="I611" t="inlineStr"/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N611" t="inlineStr"/>
      <c r="O611" t="inlineStr"/>
      <c r="P611" t="inlineStr"/>
      <c r="Q611" s="112" t="n">
        <v>0</v>
      </c>
      <c r="R611" s="112" t="n">
        <v>1623.26</v>
      </c>
      <c r="S611" s="112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D612" t="inlineStr"/>
      <c r="E612" t="inlineStr">
        <is>
          <t>LA</t>
        </is>
      </c>
      <c r="F612" t="inlineStr"/>
      <c r="G612" s="126" t="inlineStr"/>
      <c r="H612" s="125" t="n">
        <v>45985</v>
      </c>
      <c r="I612" t="inlineStr"/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N612" t="inlineStr"/>
      <c r="O612" t="inlineStr"/>
      <c r="P612" t="inlineStr"/>
      <c r="Q612" s="112" t="n">
        <v>0</v>
      </c>
      <c r="R612" s="112" t="n">
        <v>1825.05</v>
      </c>
      <c r="S612" s="112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D613" t="inlineStr"/>
      <c r="E613" t="inlineStr">
        <is>
          <t>LA</t>
        </is>
      </c>
      <c r="F613" t="inlineStr"/>
      <c r="G613" s="126" t="inlineStr"/>
      <c r="H613" s="125" t="n">
        <v>45985</v>
      </c>
      <c r="I613" t="inlineStr"/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N613" t="inlineStr"/>
      <c r="O613" t="inlineStr"/>
      <c r="P613" t="inlineStr"/>
      <c r="Q613" s="112" t="n">
        <v>0</v>
      </c>
      <c r="R613" s="112" t="n">
        <v>1466.13</v>
      </c>
      <c r="S613" s="112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D614" t="inlineStr"/>
      <c r="E614" t="inlineStr">
        <is>
          <t>LA</t>
        </is>
      </c>
      <c r="F614" t="inlineStr"/>
      <c r="G614" s="126" t="inlineStr"/>
      <c r="H614" s="125" t="n">
        <v>45985</v>
      </c>
      <c r="I614" t="inlineStr"/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N614" t="inlineStr"/>
      <c r="O614" t="inlineStr"/>
      <c r="P614" t="inlineStr"/>
      <c r="Q614" s="112" t="n">
        <v>0</v>
      </c>
      <c r="R614" s="112" t="n">
        <v>2822.4</v>
      </c>
      <c r="S614" s="112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D615" t="inlineStr"/>
      <c r="E615" t="inlineStr">
        <is>
          <t>LA</t>
        </is>
      </c>
      <c r="F615" t="inlineStr"/>
      <c r="G615" t="inlineStr"/>
      <c r="H615" s="125" t="n">
        <v>45985</v>
      </c>
      <c r="I615" t="inlineStr"/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N615" t="inlineStr"/>
      <c r="O615" t="inlineStr"/>
      <c r="P615" t="inlineStr"/>
      <c r="Q615" s="112" t="n">
        <v>0</v>
      </c>
      <c r="R615" s="112" t="n">
        <v>1377.39</v>
      </c>
      <c r="S615" s="112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D616" t="inlineStr"/>
      <c r="E616" t="inlineStr">
        <is>
          <t>LA</t>
        </is>
      </c>
      <c r="F616" t="inlineStr"/>
      <c r="G616" t="inlineStr"/>
      <c r="H616" s="125" t="n">
        <v>45985</v>
      </c>
      <c r="I616" t="inlineStr"/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N616" t="inlineStr"/>
      <c r="O616" t="inlineStr"/>
      <c r="P616" t="inlineStr"/>
      <c r="Q616" s="112" t="n">
        <v>0</v>
      </c>
      <c r="R616" s="112" t="n">
        <v>1376.5</v>
      </c>
      <c r="S616" s="112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D617" t="inlineStr"/>
      <c r="E617" t="inlineStr">
        <is>
          <t>LA</t>
        </is>
      </c>
      <c r="F617" t="inlineStr"/>
      <c r="G617" t="inlineStr"/>
      <c r="H617" s="125" t="n">
        <v>45985</v>
      </c>
      <c r="I617" t="inlineStr"/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N617" t="inlineStr"/>
      <c r="O617" t="inlineStr"/>
      <c r="P617" t="inlineStr"/>
      <c r="Q617" s="112" t="n">
        <v>0</v>
      </c>
      <c r="R617" s="112" t="n">
        <v>825.26</v>
      </c>
      <c r="S617" s="112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D618" t="inlineStr"/>
      <c r="E618" t="inlineStr">
        <is>
          <t>LA</t>
        </is>
      </c>
      <c r="F618" t="inlineStr"/>
      <c r="G618" t="inlineStr"/>
      <c r="H618" s="125" t="n">
        <v>45985</v>
      </c>
      <c r="I618" t="inlineStr"/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N618" t="inlineStr"/>
      <c r="O618" t="inlineStr"/>
      <c r="P618" t="inlineStr"/>
      <c r="Q618" s="112" t="n">
        <v>0</v>
      </c>
      <c r="R618" s="112" t="n">
        <v>412.61</v>
      </c>
      <c r="S618" s="112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D619" t="inlineStr"/>
      <c r="E619" t="inlineStr">
        <is>
          <t>LA</t>
        </is>
      </c>
      <c r="F619" t="inlineStr"/>
      <c r="G619" t="inlineStr"/>
      <c r="H619" s="125" t="n">
        <v>45988</v>
      </c>
      <c r="I619" t="inlineStr"/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N619" t="inlineStr"/>
      <c r="O619" t="inlineStr"/>
      <c r="P619" t="inlineStr"/>
      <c r="Q619" s="112" t="n">
        <v>0</v>
      </c>
      <c r="R619" s="112" t="n">
        <v>519.24</v>
      </c>
      <c r="S619" s="112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D620" t="inlineStr"/>
      <c r="E620" t="inlineStr">
        <is>
          <t>LA</t>
        </is>
      </c>
      <c r="F620" t="inlineStr"/>
      <c r="G620" t="inlineStr"/>
      <c r="H620" s="125" t="n">
        <v>45988</v>
      </c>
      <c r="I620" t="inlineStr"/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N620" t="inlineStr"/>
      <c r="O620" t="inlineStr"/>
      <c r="P620" t="inlineStr"/>
      <c r="Q620" s="112" t="n">
        <v>0</v>
      </c>
      <c r="R620" s="112" t="n">
        <v>519.24</v>
      </c>
      <c r="S620" s="112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D621" t="inlineStr"/>
      <c r="E621" t="inlineStr">
        <is>
          <t>LA</t>
        </is>
      </c>
      <c r="F621" t="inlineStr"/>
      <c r="G621" t="inlineStr"/>
      <c r="H621" s="125" t="n">
        <v>45988</v>
      </c>
      <c r="I621" t="inlineStr"/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N621" t="inlineStr"/>
      <c r="O621" t="inlineStr"/>
      <c r="P621" t="inlineStr"/>
      <c r="Q621" s="112" t="n">
        <v>0</v>
      </c>
      <c r="R621" s="112" t="n">
        <v>519.24</v>
      </c>
      <c r="S621" s="112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D622" t="inlineStr"/>
      <c r="E622" t="inlineStr">
        <is>
          <t>LA</t>
        </is>
      </c>
      <c r="F622" t="inlineStr"/>
      <c r="G622" t="inlineStr"/>
      <c r="H622" s="125" t="n">
        <v>45988</v>
      </c>
      <c r="I622" t="inlineStr"/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N622" t="inlineStr"/>
      <c r="O622" t="inlineStr"/>
      <c r="P622" t="inlineStr"/>
      <c r="Q622" s="112" t="n">
        <v>0</v>
      </c>
      <c r="R622" s="112" t="n">
        <v>519.24</v>
      </c>
      <c r="S622" s="112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D623" t="inlineStr"/>
      <c r="E623" t="inlineStr">
        <is>
          <t>LA</t>
        </is>
      </c>
      <c r="F623" t="inlineStr"/>
      <c r="G623" t="inlineStr"/>
      <c r="H623" s="125" t="n">
        <v>46000</v>
      </c>
      <c r="I623" t="inlineStr"/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N623" t="inlineStr"/>
      <c r="O623" t="inlineStr"/>
      <c r="P623" t="inlineStr"/>
      <c r="Q623" s="112" t="n">
        <v>0</v>
      </c>
      <c r="R623" s="112" t="n">
        <v>4186.47</v>
      </c>
      <c r="S623" s="112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D624" t="inlineStr"/>
      <c r="E624" t="inlineStr">
        <is>
          <t>LA</t>
        </is>
      </c>
      <c r="F624" t="inlineStr"/>
      <c r="G624" t="inlineStr"/>
      <c r="H624" s="125" t="n">
        <v>46000</v>
      </c>
      <c r="I624" t="inlineStr"/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N624" t="inlineStr"/>
      <c r="O624" t="inlineStr"/>
      <c r="P624" t="inlineStr"/>
      <c r="Q624" s="112" t="n">
        <v>0</v>
      </c>
      <c r="R624" s="112" t="n">
        <v>3810.99</v>
      </c>
      <c r="S624" s="112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D625" t="inlineStr"/>
      <c r="E625" t="inlineStr">
        <is>
          <t>LA</t>
        </is>
      </c>
      <c r="F625" t="inlineStr"/>
      <c r="G625" t="inlineStr"/>
      <c r="H625" s="125" t="n">
        <v>46000</v>
      </c>
      <c r="I625" t="inlineStr"/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N625" t="inlineStr"/>
      <c r="O625" t="inlineStr"/>
      <c r="P625" t="inlineStr"/>
      <c r="Q625" s="112" t="n">
        <v>0</v>
      </c>
      <c r="R625" s="112" t="n">
        <v>2143.5</v>
      </c>
      <c r="S625" s="112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D626" t="inlineStr"/>
      <c r="E626" t="inlineStr">
        <is>
          <t>LA</t>
        </is>
      </c>
      <c r="F626" t="inlineStr"/>
      <c r="G626" t="inlineStr"/>
      <c r="H626" s="125" t="n">
        <v>46000</v>
      </c>
      <c r="I626" t="inlineStr"/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N626" t="inlineStr"/>
      <c r="O626" t="inlineStr"/>
      <c r="P626" t="inlineStr"/>
      <c r="Q626" s="112" t="n">
        <v>0</v>
      </c>
      <c r="R626" s="112" t="n">
        <v>1791.44</v>
      </c>
      <c r="S626" s="112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D627" t="inlineStr"/>
      <c r="E627" t="inlineStr">
        <is>
          <t>LA</t>
        </is>
      </c>
      <c r="F627" t="inlineStr"/>
      <c r="G627" t="inlineStr"/>
      <c r="H627" s="125" t="n">
        <v>46000</v>
      </c>
      <c r="I627" t="inlineStr"/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N627" t="inlineStr"/>
      <c r="O627" t="inlineStr"/>
      <c r="P627" t="inlineStr"/>
      <c r="Q627" s="112" t="n">
        <v>0</v>
      </c>
      <c r="R627" s="112" t="n">
        <v>2823.36</v>
      </c>
      <c r="S627" s="112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D628" t="inlineStr"/>
      <c r="E628" t="inlineStr">
        <is>
          <t>LA</t>
        </is>
      </c>
      <c r="F628" t="inlineStr"/>
      <c r="G628" t="inlineStr"/>
      <c r="H628" s="125" t="n">
        <v>46000</v>
      </c>
      <c r="I628" t="inlineStr"/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N628" t="inlineStr"/>
      <c r="O628" t="inlineStr"/>
      <c r="P628" t="inlineStr"/>
      <c r="Q628" s="112" t="n">
        <v>0</v>
      </c>
      <c r="R628" s="112" t="n">
        <v>2643.87</v>
      </c>
      <c r="S628" s="112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D629" t="inlineStr"/>
      <c r="E629" t="inlineStr">
        <is>
          <t>LA</t>
        </is>
      </c>
      <c r="F629" t="inlineStr"/>
      <c r="G629" t="inlineStr"/>
      <c r="H629" s="125" t="n">
        <v>46000</v>
      </c>
      <c r="I629" t="inlineStr"/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N629" t="inlineStr"/>
      <c r="O629" t="inlineStr"/>
      <c r="P629" t="inlineStr"/>
      <c r="Q629" s="112" t="n">
        <v>0</v>
      </c>
      <c r="R629" s="112" t="n">
        <v>1772.28</v>
      </c>
      <c r="S629" s="112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D630" t="inlineStr"/>
      <c r="E630" t="inlineStr">
        <is>
          <t>LA</t>
        </is>
      </c>
      <c r="F630" t="inlineStr"/>
      <c r="G630" t="inlineStr"/>
      <c r="H630" s="125" t="n">
        <v>46000</v>
      </c>
      <c r="I630" t="inlineStr"/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N630" t="inlineStr"/>
      <c r="O630" t="inlineStr"/>
      <c r="P630" t="inlineStr"/>
      <c r="Q630" s="112" t="n">
        <v>0</v>
      </c>
      <c r="R630" s="112" t="n">
        <v>2852.65</v>
      </c>
      <c r="S630" s="112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D631" t="inlineStr"/>
      <c r="E631" t="inlineStr">
        <is>
          <t>LA</t>
        </is>
      </c>
      <c r="F631" t="inlineStr"/>
      <c r="G631" t="inlineStr"/>
      <c r="H631" s="125" t="n">
        <v>46000</v>
      </c>
      <c r="I631" t="inlineStr"/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N631" t="inlineStr"/>
      <c r="O631" t="inlineStr"/>
      <c r="P631" t="inlineStr"/>
      <c r="Q631" s="112" t="n">
        <v>0</v>
      </c>
      <c r="R631" s="112" t="n">
        <v>498.21</v>
      </c>
      <c r="S631" s="112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D632" t="inlineStr"/>
      <c r="E632" t="inlineStr">
        <is>
          <t>LA</t>
        </is>
      </c>
      <c r="F632" t="inlineStr"/>
      <c r="G632" t="inlineStr"/>
      <c r="H632" s="125" t="n">
        <v>46000</v>
      </c>
      <c r="I632" t="inlineStr"/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N632" t="inlineStr"/>
      <c r="O632" t="inlineStr"/>
      <c r="P632" t="inlineStr"/>
      <c r="Q632" s="112" t="n">
        <v>0</v>
      </c>
      <c r="R632" s="112" t="n">
        <v>498.21</v>
      </c>
      <c r="S632" s="112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D633" t="inlineStr"/>
      <c r="E633" t="inlineStr">
        <is>
          <t>LA</t>
        </is>
      </c>
      <c r="F633" t="inlineStr"/>
      <c r="G633" t="inlineStr"/>
      <c r="H633" s="125" t="n">
        <v>46000</v>
      </c>
      <c r="I633" t="inlineStr"/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N633" t="inlineStr"/>
      <c r="O633" t="inlineStr"/>
      <c r="P633" t="inlineStr"/>
      <c r="Q633" s="112" t="n">
        <v>0</v>
      </c>
      <c r="R633" s="112" t="n">
        <v>1025.07</v>
      </c>
      <c r="S633" s="112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D634" t="inlineStr"/>
      <c r="E634" t="inlineStr">
        <is>
          <t>LA</t>
        </is>
      </c>
      <c r="F634" t="inlineStr"/>
      <c r="G634" t="inlineStr"/>
      <c r="H634" s="125" t="n">
        <v>46002</v>
      </c>
      <c r="I634" t="inlineStr"/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N634" t="inlineStr"/>
      <c r="O634" t="inlineStr"/>
      <c r="P634" t="inlineStr"/>
      <c r="Q634" s="112" t="n">
        <v>0</v>
      </c>
      <c r="R634" s="112" t="n">
        <v>2809.65</v>
      </c>
      <c r="S634" s="112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D635" t="inlineStr"/>
      <c r="E635" t="inlineStr">
        <is>
          <t>LA</t>
        </is>
      </c>
      <c r="F635" t="inlineStr"/>
      <c r="G635" t="inlineStr"/>
      <c r="H635" s="125" t="n">
        <v>46002</v>
      </c>
      <c r="I635" t="inlineStr"/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N635" t="inlineStr"/>
      <c r="O635" t="inlineStr"/>
      <c r="P635" t="inlineStr"/>
      <c r="Q635" s="112" t="n">
        <v>0</v>
      </c>
      <c r="R635" s="112" t="n">
        <v>1328.21</v>
      </c>
      <c r="S635" s="112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D636" t="inlineStr"/>
      <c r="E636" t="inlineStr">
        <is>
          <t>LA</t>
        </is>
      </c>
      <c r="F636" t="inlineStr"/>
      <c r="G636" t="inlineStr"/>
      <c r="H636" s="125" t="n">
        <v>46002</v>
      </c>
      <c r="I636" t="inlineStr"/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N636" t="inlineStr"/>
      <c r="O636" t="inlineStr"/>
      <c r="P636" t="inlineStr"/>
      <c r="Q636" s="112" t="n">
        <v>0</v>
      </c>
      <c r="R636" s="112" t="n">
        <v>1607.08</v>
      </c>
      <c r="S636" s="112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D637" t="inlineStr"/>
      <c r="E637" t="inlineStr">
        <is>
          <t>LA</t>
        </is>
      </c>
      <c r="F637" t="inlineStr"/>
      <c r="G637" t="inlineStr"/>
      <c r="H637" s="125" t="n">
        <v>46002</v>
      </c>
      <c r="I637" t="inlineStr"/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N637" t="inlineStr"/>
      <c r="O637" t="inlineStr"/>
      <c r="P637" t="inlineStr"/>
      <c r="Q637" s="112" t="n">
        <v>0</v>
      </c>
      <c r="R637" s="112" t="n">
        <v>1433.56</v>
      </c>
      <c r="S637" s="112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D638" t="inlineStr"/>
      <c r="E638" t="inlineStr">
        <is>
          <t>LA</t>
        </is>
      </c>
      <c r="F638" t="inlineStr"/>
      <c r="G638" t="inlineStr"/>
      <c r="H638" s="125" t="n">
        <v>46002</v>
      </c>
      <c r="I638" t="inlineStr"/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N638" t="inlineStr"/>
      <c r="O638" t="inlineStr"/>
      <c r="P638" t="inlineStr"/>
      <c r="Q638" s="112" t="n">
        <v>0</v>
      </c>
      <c r="R638" s="112" t="n">
        <v>2439.35</v>
      </c>
      <c r="S638" s="112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D639" t="inlineStr"/>
      <c r="E639" t="inlineStr">
        <is>
          <t>LA</t>
        </is>
      </c>
      <c r="F639" t="inlineStr"/>
      <c r="G639" s="126" t="inlineStr"/>
      <c r="H639" s="125" t="n">
        <v>46002</v>
      </c>
      <c r="I639" t="inlineStr"/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N639" t="inlineStr"/>
      <c r="O639" t="inlineStr"/>
      <c r="P639" t="inlineStr"/>
      <c r="Q639" s="112" t="n">
        <v>0</v>
      </c>
      <c r="R639" s="112" t="n">
        <v>1344.76</v>
      </c>
      <c r="S639" s="112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D640" t="inlineStr"/>
      <c r="E640" t="inlineStr">
        <is>
          <t>LA</t>
        </is>
      </c>
      <c r="F640" t="inlineStr"/>
      <c r="G640" s="126" t="inlineStr"/>
      <c r="H640" s="125" t="n">
        <v>46002</v>
      </c>
      <c r="I640" t="inlineStr"/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N640" t="inlineStr"/>
      <c r="O640" t="inlineStr"/>
      <c r="P640" t="inlineStr"/>
      <c r="Q640" s="112" t="n">
        <v>0</v>
      </c>
      <c r="R640" s="112" t="n">
        <v>390.23</v>
      </c>
      <c r="S640" s="112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D641" t="inlineStr"/>
      <c r="E641" t="inlineStr">
        <is>
          <t>LA</t>
        </is>
      </c>
      <c r="F641" t="inlineStr"/>
      <c r="G641" s="126" t="inlineStr"/>
      <c r="H641" s="125" t="n">
        <v>46002</v>
      </c>
      <c r="I641" t="inlineStr"/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N641" t="inlineStr"/>
      <c r="O641" t="inlineStr"/>
      <c r="P641" t="inlineStr"/>
      <c r="Q641" s="112" t="n">
        <v>0</v>
      </c>
      <c r="R641" s="112" t="n">
        <v>1149.01</v>
      </c>
      <c r="S641" s="112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D642" t="inlineStr"/>
      <c r="E642" t="inlineStr">
        <is>
          <t>LA</t>
        </is>
      </c>
      <c r="F642" t="inlineStr"/>
      <c r="G642" t="inlineStr"/>
      <c r="H642" s="125" t="n">
        <v>46002</v>
      </c>
      <c r="I642" t="inlineStr"/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N642" t="inlineStr"/>
      <c r="O642" t="inlineStr"/>
      <c r="P642" t="inlineStr"/>
      <c r="Q642" s="112" t="n">
        <v>0</v>
      </c>
      <c r="R642" s="112" t="n">
        <v>1113.77</v>
      </c>
      <c r="S642" s="112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D643" t="inlineStr"/>
      <c r="E643" t="inlineStr">
        <is>
          <t>LA</t>
        </is>
      </c>
      <c r="F643" t="inlineStr"/>
      <c r="G643" s="126" t="inlineStr"/>
      <c r="H643" s="125" t="n">
        <v>46002</v>
      </c>
      <c r="I643" t="inlineStr"/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N643" t="inlineStr"/>
      <c r="O643" t="inlineStr"/>
      <c r="P643" t="inlineStr"/>
      <c r="Q643" s="112" t="n">
        <v>0</v>
      </c>
      <c r="R643" s="112" t="n">
        <v>2179.2</v>
      </c>
      <c r="S643" s="112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D644" t="inlineStr"/>
      <c r="E644" t="inlineStr">
        <is>
          <t>LA</t>
        </is>
      </c>
      <c r="F644" t="inlineStr"/>
      <c r="G644" s="126" t="inlineStr"/>
      <c r="H644" s="125" t="n">
        <v>46002</v>
      </c>
      <c r="I644" t="inlineStr"/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N644" t="inlineStr"/>
      <c r="O644" t="inlineStr"/>
      <c r="P644" t="inlineStr"/>
      <c r="Q644" s="112" t="n">
        <v>0</v>
      </c>
      <c r="R644" s="112" t="n">
        <v>851.53</v>
      </c>
      <c r="S644" s="112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D645" t="inlineStr"/>
      <c r="E645" t="inlineStr">
        <is>
          <t>LA</t>
        </is>
      </c>
      <c r="F645" t="inlineStr"/>
      <c r="G645" s="126" t="inlineStr"/>
      <c r="H645" s="125" t="n">
        <v>46002</v>
      </c>
      <c r="I645" t="inlineStr"/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N645" t="inlineStr"/>
      <c r="O645" t="inlineStr"/>
      <c r="P645" t="inlineStr"/>
      <c r="Q645" s="112" t="n">
        <v>0</v>
      </c>
      <c r="R645" s="112" t="n">
        <v>225.35</v>
      </c>
      <c r="S645" s="112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D646" t="inlineStr"/>
      <c r="E646" t="inlineStr">
        <is>
          <t>LA</t>
        </is>
      </c>
      <c r="F646" t="inlineStr"/>
      <c r="G646" s="126" t="inlineStr"/>
      <c r="H646" s="125" t="n">
        <v>46028</v>
      </c>
      <c r="I646" t="inlineStr"/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N646" t="inlineStr"/>
      <c r="O646" t="inlineStr"/>
      <c r="P646" t="inlineStr"/>
      <c r="Q646" s="112" t="n">
        <v>0</v>
      </c>
      <c r="R646" s="112" t="n">
        <v>1064.47</v>
      </c>
      <c r="S646" s="112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D647" t="inlineStr"/>
      <c r="E647" t="inlineStr">
        <is>
          <t>LA</t>
        </is>
      </c>
      <c r="F647" t="inlineStr"/>
      <c r="G647" s="126" t="inlineStr"/>
      <c r="H647" s="125" t="n">
        <v>46028</v>
      </c>
      <c r="I647" t="inlineStr"/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N647" t="inlineStr"/>
      <c r="O647" t="inlineStr"/>
      <c r="P647" t="inlineStr"/>
      <c r="Q647" s="112" t="n">
        <v>0</v>
      </c>
      <c r="R647" s="112" t="n">
        <v>1199.04</v>
      </c>
      <c r="S647" s="112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D648" t="inlineStr"/>
      <c r="E648" t="inlineStr">
        <is>
          <t>LA</t>
        </is>
      </c>
      <c r="F648" t="inlineStr"/>
      <c r="G648" s="126" t="inlineStr"/>
      <c r="H648" s="125" t="n">
        <v>46028</v>
      </c>
      <c r="I648" t="inlineStr"/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N648" t="inlineStr"/>
      <c r="O648" t="inlineStr"/>
      <c r="P648" t="inlineStr"/>
      <c r="Q648" s="112" t="n">
        <v>0</v>
      </c>
      <c r="R648" s="112" t="n">
        <v>1144</v>
      </c>
      <c r="S648" s="112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D649" t="inlineStr"/>
      <c r="E649" t="inlineStr">
        <is>
          <t>LA</t>
        </is>
      </c>
      <c r="F649" t="inlineStr"/>
      <c r="G649" s="126" t="inlineStr"/>
      <c r="H649" s="125" t="n">
        <v>46028</v>
      </c>
      <c r="I649" t="inlineStr"/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N649" t="inlineStr"/>
      <c r="O649" t="inlineStr"/>
      <c r="P649" t="inlineStr"/>
      <c r="Q649" s="112" t="n">
        <v>0</v>
      </c>
      <c r="R649" s="112" t="n">
        <v>1426.32</v>
      </c>
      <c r="S649" s="112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D650" t="inlineStr"/>
      <c r="E650" t="inlineStr">
        <is>
          <t>LA</t>
        </is>
      </c>
      <c r="F650" t="inlineStr"/>
      <c r="G650" s="126" t="inlineStr"/>
      <c r="H650" s="125" t="n">
        <v>46028</v>
      </c>
      <c r="I650" t="inlineStr"/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N650" t="inlineStr"/>
      <c r="O650" t="inlineStr"/>
      <c r="P650" t="inlineStr"/>
      <c r="Q650" s="112" t="n">
        <v>0</v>
      </c>
      <c r="R650" s="112" t="n">
        <v>2795.13</v>
      </c>
      <c r="S650" s="112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D651" t="inlineStr"/>
      <c r="E651" t="inlineStr">
        <is>
          <t>LA</t>
        </is>
      </c>
      <c r="F651" t="inlineStr"/>
      <c r="G651" s="126" t="inlineStr"/>
      <c r="H651" s="125" t="n">
        <v>46028</v>
      </c>
      <c r="I651" t="inlineStr"/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N651" t="inlineStr"/>
      <c r="O651" t="inlineStr"/>
      <c r="P651" t="inlineStr"/>
      <c r="Q651" s="112" t="n">
        <v>0</v>
      </c>
      <c r="R651" s="112" t="n">
        <v>2135.16</v>
      </c>
      <c r="S651" s="112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D652" t="inlineStr"/>
      <c r="E652" t="inlineStr">
        <is>
          <t>LA</t>
        </is>
      </c>
      <c r="F652" t="inlineStr"/>
      <c r="G652" s="126" t="inlineStr"/>
      <c r="H652" s="125" t="n">
        <v>46028</v>
      </c>
      <c r="I652" t="inlineStr"/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N652" t="inlineStr"/>
      <c r="O652" t="inlineStr"/>
      <c r="P652" t="inlineStr"/>
      <c r="Q652" s="112" t="n">
        <v>0</v>
      </c>
      <c r="R652" s="112" t="n">
        <v>910.47</v>
      </c>
      <c r="S652" s="112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D653" t="inlineStr"/>
      <c r="E653" t="inlineStr">
        <is>
          <t>LA</t>
        </is>
      </c>
      <c r="F653" t="inlineStr"/>
      <c r="G653" s="126" t="inlineStr"/>
      <c r="H653" s="125" t="n">
        <v>46028</v>
      </c>
      <c r="I653" t="inlineStr"/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N653" t="inlineStr"/>
      <c r="O653" t="inlineStr"/>
      <c r="P653" t="inlineStr"/>
      <c r="Q653" s="112" t="n">
        <v>0</v>
      </c>
      <c r="R653" s="112" t="n">
        <v>2003.05</v>
      </c>
      <c r="S653" s="112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D654" t="inlineStr"/>
      <c r="E654" t="inlineStr">
        <is>
          <t>LA</t>
        </is>
      </c>
      <c r="F654" t="inlineStr"/>
      <c r="G654" s="126" t="inlineStr"/>
      <c r="H654" s="125" t="n">
        <v>46028</v>
      </c>
      <c r="I654" t="inlineStr"/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N654" t="inlineStr"/>
      <c r="O654" t="inlineStr"/>
      <c r="P654" t="inlineStr"/>
      <c r="Q654" s="112" t="n">
        <v>0</v>
      </c>
      <c r="R654" s="112" t="n">
        <v>230.28</v>
      </c>
      <c r="S654" s="112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D655" t="inlineStr"/>
      <c r="E655" t="inlineStr">
        <is>
          <t>LA</t>
        </is>
      </c>
      <c r="F655" t="inlineStr"/>
      <c r="G655" s="126" t="inlineStr"/>
      <c r="H655" s="125" t="n">
        <v>46028</v>
      </c>
      <c r="I655" t="inlineStr"/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N655" t="inlineStr"/>
      <c r="O655" t="inlineStr"/>
      <c r="P655" t="inlineStr"/>
      <c r="Q655" s="112" t="n">
        <v>0</v>
      </c>
      <c r="R655" s="112" t="n">
        <v>172.72</v>
      </c>
      <c r="S655" s="112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D656" t="inlineStr"/>
      <c r="E656" t="inlineStr">
        <is>
          <t>LA</t>
        </is>
      </c>
      <c r="F656" t="inlineStr"/>
      <c r="G656" s="126" t="inlineStr"/>
      <c r="H656" s="125" t="n">
        <v>46041</v>
      </c>
      <c r="I656" t="inlineStr"/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N656" t="inlineStr"/>
      <c r="O656" t="inlineStr"/>
      <c r="P656" t="inlineStr"/>
      <c r="Q656" s="112" t="n">
        <v>0</v>
      </c>
      <c r="R656" s="112" t="n">
        <v>3267.49</v>
      </c>
      <c r="S656" s="112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D657" t="inlineStr"/>
      <c r="E657" t="inlineStr">
        <is>
          <t>LA</t>
        </is>
      </c>
      <c r="F657" t="inlineStr"/>
      <c r="G657" s="126" t="inlineStr"/>
      <c r="H657" s="125" t="n">
        <v>46041</v>
      </c>
      <c r="I657" t="inlineStr"/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N657" t="inlineStr"/>
      <c r="O657" t="inlineStr"/>
      <c r="P657" t="inlineStr"/>
      <c r="Q657" s="112" t="n">
        <v>0</v>
      </c>
      <c r="R657" s="112" t="n">
        <v>3486.6</v>
      </c>
      <c r="S657" s="112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D658" t="inlineStr"/>
      <c r="E658" t="inlineStr">
        <is>
          <t>LA</t>
        </is>
      </c>
      <c r="F658" t="inlineStr"/>
      <c r="G658" s="126" t="inlineStr"/>
      <c r="H658" s="125" t="n">
        <v>46041</v>
      </c>
      <c r="I658" t="inlineStr"/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N658" t="inlineStr"/>
      <c r="O658" t="inlineStr"/>
      <c r="P658" t="inlineStr"/>
      <c r="Q658" s="112" t="n">
        <v>0</v>
      </c>
      <c r="R658" s="112" t="n">
        <v>3273.09</v>
      </c>
      <c r="S658" s="112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D659" t="inlineStr"/>
      <c r="E659" t="inlineStr">
        <is>
          <t>LA</t>
        </is>
      </c>
      <c r="F659" t="inlineStr"/>
      <c r="G659" s="126" t="inlineStr"/>
      <c r="H659" s="125" t="n">
        <v>46041</v>
      </c>
      <c r="I659" t="inlineStr"/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N659" t="inlineStr"/>
      <c r="O659" t="inlineStr"/>
      <c r="P659" t="inlineStr"/>
      <c r="Q659" s="112" t="n">
        <v>0</v>
      </c>
      <c r="R659" s="112" t="n">
        <v>918.96</v>
      </c>
      <c r="S659" s="112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D660" t="inlineStr"/>
      <c r="E660" t="inlineStr">
        <is>
          <t>LA</t>
        </is>
      </c>
      <c r="F660" t="inlineStr"/>
      <c r="G660" s="126" t="inlineStr"/>
      <c r="H660" s="125" t="n">
        <v>46041</v>
      </c>
      <c r="I660" t="inlineStr"/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N660" t="inlineStr"/>
      <c r="O660" t="inlineStr"/>
      <c r="P660" t="inlineStr"/>
      <c r="Q660" s="112" t="n">
        <v>0</v>
      </c>
      <c r="R660" s="112" t="n">
        <v>536.15</v>
      </c>
      <c r="S660" s="112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D661" t="inlineStr"/>
      <c r="E661" t="inlineStr">
        <is>
          <t>LA</t>
        </is>
      </c>
      <c r="F661" t="inlineStr"/>
      <c r="G661" s="126" t="inlineStr"/>
      <c r="H661" s="125" t="n">
        <v>46041</v>
      </c>
      <c r="I661" t="inlineStr"/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N661" t="inlineStr"/>
      <c r="O661" t="inlineStr"/>
      <c r="P661" t="inlineStr"/>
      <c r="Q661" s="112" t="n">
        <v>0</v>
      </c>
      <c r="R661" s="112" t="n">
        <v>536.15</v>
      </c>
      <c r="S661" s="112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D662" t="inlineStr"/>
      <c r="E662" t="inlineStr">
        <is>
          <t>LA</t>
        </is>
      </c>
      <c r="F662" t="inlineStr"/>
      <c r="G662" s="126" t="inlineStr"/>
      <c r="H662" s="125" t="n">
        <v>46041</v>
      </c>
      <c r="I662" t="inlineStr"/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N662" t="inlineStr"/>
      <c r="O662" t="inlineStr"/>
      <c r="P662" t="inlineStr"/>
      <c r="Q662" s="112" t="n">
        <v>0</v>
      </c>
      <c r="R662" s="112" t="n">
        <v>6245.35</v>
      </c>
      <c r="S662" s="112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D663" t="inlineStr"/>
      <c r="E663" t="inlineStr">
        <is>
          <t>LA</t>
        </is>
      </c>
      <c r="F663" t="inlineStr"/>
      <c r="G663" s="126" t="inlineStr"/>
      <c r="H663" s="125" t="n">
        <v>46041</v>
      </c>
      <c r="I663" t="inlineStr"/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N663" t="inlineStr"/>
      <c r="O663" t="inlineStr"/>
      <c r="P663" t="inlineStr"/>
      <c r="Q663" s="112" t="n">
        <v>0</v>
      </c>
      <c r="R663" s="112" t="n">
        <v>2165.28</v>
      </c>
      <c r="S663" s="112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D664" t="inlineStr"/>
      <c r="E664" t="inlineStr">
        <is>
          <t>LA</t>
        </is>
      </c>
      <c r="F664" t="inlineStr"/>
      <c r="G664" s="126" t="inlineStr"/>
      <c r="H664" s="125" t="n">
        <v>46041</v>
      </c>
      <c r="I664" t="inlineStr"/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N664" t="inlineStr"/>
      <c r="O664" t="inlineStr"/>
      <c r="P664" t="inlineStr"/>
      <c r="Q664" s="112" t="n">
        <v>0</v>
      </c>
      <c r="R664" s="112" t="n">
        <v>536.13</v>
      </c>
      <c r="S664" s="112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D665" t="inlineStr"/>
      <c r="E665" t="inlineStr">
        <is>
          <t>LA</t>
        </is>
      </c>
      <c r="F665" t="inlineStr"/>
      <c r="G665" s="126" t="inlineStr"/>
      <c r="H665" s="125" t="n">
        <v>46041</v>
      </c>
      <c r="I665" t="inlineStr"/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N665" t="inlineStr"/>
      <c r="O665" t="inlineStr"/>
      <c r="P665" t="inlineStr"/>
      <c r="Q665" s="112" t="n">
        <v>0</v>
      </c>
      <c r="R665" s="112" t="n">
        <v>398.59</v>
      </c>
      <c r="S665" s="112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D666" t="inlineStr"/>
      <c r="E666" t="inlineStr">
        <is>
          <t>LA</t>
        </is>
      </c>
      <c r="F666" t="inlineStr"/>
      <c r="G666" s="126" t="inlineStr"/>
      <c r="H666" s="125" t="n">
        <v>46041</v>
      </c>
      <c r="I666" t="inlineStr"/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N666" t="inlineStr"/>
      <c r="O666" t="inlineStr"/>
      <c r="P666" t="inlineStr"/>
      <c r="Q666" s="112" t="n">
        <v>0</v>
      </c>
      <c r="R666" s="112" t="n">
        <v>3257.19</v>
      </c>
      <c r="S666" s="112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D667" t="inlineStr"/>
      <c r="E667" t="inlineStr">
        <is>
          <t>LA</t>
        </is>
      </c>
      <c r="F667" t="inlineStr"/>
      <c r="G667" s="126" t="inlineStr"/>
      <c r="H667" s="125" t="n">
        <v>46069</v>
      </c>
      <c r="I667" t="inlineStr"/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N667" t="inlineStr"/>
      <c r="O667" t="inlineStr"/>
      <c r="P667" t="inlineStr"/>
      <c r="Q667" s="112" t="n">
        <v>0</v>
      </c>
      <c r="R667" s="112" t="n">
        <v>5693.27</v>
      </c>
      <c r="S667" s="112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D668" t="inlineStr"/>
      <c r="E668" t="inlineStr">
        <is>
          <t>LA</t>
        </is>
      </c>
      <c r="F668" t="inlineStr"/>
      <c r="G668" s="126" t="inlineStr"/>
      <c r="H668" s="125" t="n">
        <v>46069</v>
      </c>
      <c r="I668" t="inlineStr"/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N668" t="inlineStr"/>
      <c r="O668" t="inlineStr"/>
      <c r="P668" t="inlineStr"/>
      <c r="Q668" s="112" t="n">
        <v>0</v>
      </c>
      <c r="R668" s="112" t="n">
        <v>4041.33</v>
      </c>
      <c r="S668" s="112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D669" t="inlineStr"/>
      <c r="E669" t="inlineStr">
        <is>
          <t>LA</t>
        </is>
      </c>
      <c r="F669" t="inlineStr"/>
      <c r="G669" s="126" t="inlineStr"/>
      <c r="H669" s="125" t="n">
        <v>46069</v>
      </c>
      <c r="I669" t="inlineStr"/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N669" t="inlineStr"/>
      <c r="O669" t="inlineStr"/>
      <c r="P669" t="inlineStr"/>
      <c r="Q669" s="112" t="n">
        <v>0</v>
      </c>
      <c r="R669" s="112" t="n">
        <v>4365.5</v>
      </c>
      <c r="S669" s="112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D670" t="inlineStr"/>
      <c r="E670" t="inlineStr">
        <is>
          <t>LA</t>
        </is>
      </c>
      <c r="F670" t="inlineStr"/>
      <c r="G670" s="126" t="inlineStr"/>
      <c r="H670" s="125" t="n">
        <v>46069</v>
      </c>
      <c r="I670" t="inlineStr"/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N670" t="inlineStr"/>
      <c r="O670" t="inlineStr"/>
      <c r="P670" t="inlineStr"/>
      <c r="Q670" s="112" t="n">
        <v>0</v>
      </c>
      <c r="R670" s="112" t="n">
        <v>851.49</v>
      </c>
      <c r="S670" s="112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D671" t="inlineStr"/>
      <c r="E671" t="inlineStr">
        <is>
          <t>LA</t>
        </is>
      </c>
      <c r="F671" t="inlineStr"/>
      <c r="G671" s="126" t="inlineStr"/>
      <c r="H671" s="125" t="n">
        <v>46069</v>
      </c>
      <c r="I671" t="inlineStr"/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N671" t="inlineStr"/>
      <c r="O671" t="inlineStr"/>
      <c r="P671" t="inlineStr"/>
      <c r="Q671" s="112" t="n">
        <v>0</v>
      </c>
      <c r="R671" s="112" t="n">
        <v>1498.77</v>
      </c>
      <c r="S671" s="112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D672" t="inlineStr"/>
      <c r="E672" t="inlineStr">
        <is>
          <t>LA</t>
        </is>
      </c>
      <c r="F672" t="inlineStr"/>
      <c r="G672" s="126" t="inlineStr"/>
      <c r="H672" s="125" t="n">
        <v>46069</v>
      </c>
      <c r="I672" t="inlineStr"/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N672" t="inlineStr"/>
      <c r="O672" t="inlineStr"/>
      <c r="P672" t="inlineStr"/>
      <c r="Q672" s="112" t="n">
        <v>0</v>
      </c>
      <c r="R672" s="112" t="n">
        <v>7283.46</v>
      </c>
      <c r="S672" s="112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D673" t="inlineStr"/>
      <c r="E673" t="inlineStr">
        <is>
          <t>LA</t>
        </is>
      </c>
      <c r="F673" t="inlineStr"/>
      <c r="G673" s="126" t="inlineStr"/>
      <c r="H673" s="125" t="n">
        <v>46069</v>
      </c>
      <c r="I673" t="inlineStr"/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N673" t="inlineStr"/>
      <c r="O673" t="inlineStr"/>
      <c r="P673" t="inlineStr"/>
      <c r="Q673" s="112" t="n">
        <v>0</v>
      </c>
      <c r="R673" s="112" t="n">
        <v>3906.27</v>
      </c>
      <c r="S673" s="112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D674" t="inlineStr"/>
      <c r="E674" t="inlineStr">
        <is>
          <t>LA</t>
        </is>
      </c>
      <c r="F674" t="inlineStr"/>
      <c r="G674" s="126" t="inlineStr"/>
      <c r="H674" s="125" t="n">
        <v>46069</v>
      </c>
      <c r="I674" t="inlineStr"/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N674" t="inlineStr"/>
      <c r="O674" t="inlineStr"/>
      <c r="P674" t="inlineStr"/>
      <c r="Q674" s="112" t="n">
        <v>0</v>
      </c>
      <c r="R674" s="112" t="n">
        <v>3662.34</v>
      </c>
      <c r="S674" s="112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D675" t="inlineStr"/>
      <c r="E675" t="inlineStr">
        <is>
          <t>LA</t>
        </is>
      </c>
      <c r="F675" t="inlineStr"/>
      <c r="G675" s="126" t="inlineStr"/>
      <c r="H675" s="125" t="n">
        <v>46069</v>
      </c>
      <c r="I675" t="inlineStr"/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N675" t="inlineStr"/>
      <c r="O675" t="inlineStr"/>
      <c r="P675" t="inlineStr"/>
      <c r="Q675" s="112" t="n">
        <v>0</v>
      </c>
      <c r="R675" s="112" t="n">
        <v>52.76</v>
      </c>
      <c r="S675" s="112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D676" t="inlineStr"/>
      <c r="E676" t="inlineStr">
        <is>
          <t>LA</t>
        </is>
      </c>
      <c r="F676" t="inlineStr"/>
      <c r="G676" s="126" t="inlineStr"/>
      <c r="H676" s="125" t="n">
        <v>46055</v>
      </c>
      <c r="I676" t="inlineStr"/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N676" t="inlineStr"/>
      <c r="O676" t="inlineStr"/>
      <c r="P676" t="inlineStr"/>
      <c r="Q676" s="112" t="n">
        <v>0</v>
      </c>
      <c r="R676" s="112" t="n">
        <v>4612.79</v>
      </c>
      <c r="S676" s="112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D677" t="inlineStr"/>
      <c r="E677" t="inlineStr">
        <is>
          <t>LA</t>
        </is>
      </c>
      <c r="F677" t="inlineStr"/>
      <c r="G677" s="126" t="inlineStr"/>
      <c r="H677" s="125" t="n">
        <v>46055</v>
      </c>
      <c r="I677" t="inlineStr"/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N677" t="inlineStr"/>
      <c r="O677" t="inlineStr"/>
      <c r="P677" t="inlineStr"/>
      <c r="Q677" s="112" t="n">
        <v>0</v>
      </c>
      <c r="R677" s="112" t="n">
        <v>4760.37</v>
      </c>
      <c r="S677" s="112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D678" t="inlineStr"/>
      <c r="E678" t="inlineStr">
        <is>
          <t>LA</t>
        </is>
      </c>
      <c r="F678" t="inlineStr"/>
      <c r="G678" s="126" t="inlineStr"/>
      <c r="H678" s="125" t="n">
        <v>46055</v>
      </c>
      <c r="I678" t="inlineStr"/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N678" t="inlineStr"/>
      <c r="O678" t="inlineStr"/>
      <c r="P678" t="inlineStr"/>
      <c r="Q678" s="112" t="n">
        <v>0</v>
      </c>
      <c r="R678" s="112" t="n">
        <v>3142.37</v>
      </c>
      <c r="S678" s="112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D679" t="inlineStr"/>
      <c r="E679" t="inlineStr">
        <is>
          <t>LA</t>
        </is>
      </c>
      <c r="F679" t="inlineStr"/>
      <c r="G679" s="126" t="inlineStr"/>
      <c r="H679" s="125" t="n">
        <v>46055</v>
      </c>
      <c r="I679" t="inlineStr"/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N679" t="inlineStr"/>
      <c r="O679" t="inlineStr"/>
      <c r="P679" t="inlineStr"/>
      <c r="Q679" s="112" t="n">
        <v>0</v>
      </c>
      <c r="R679" s="112" t="n">
        <v>3031.63</v>
      </c>
      <c r="S679" s="112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D680" t="inlineStr"/>
      <c r="E680" t="inlineStr">
        <is>
          <t>LA</t>
        </is>
      </c>
      <c r="F680" t="inlineStr"/>
      <c r="G680" s="126" t="inlineStr"/>
      <c r="H680" s="125" t="n">
        <v>46055</v>
      </c>
      <c r="I680" t="inlineStr"/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N680" t="inlineStr"/>
      <c r="O680" t="inlineStr"/>
      <c r="P680" t="inlineStr"/>
      <c r="Q680" s="112" t="n">
        <v>0</v>
      </c>
      <c r="R680" s="112" t="n">
        <v>3715.12</v>
      </c>
      <c r="S680" s="112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D681" t="inlineStr"/>
      <c r="E681" t="inlineStr">
        <is>
          <t>LA</t>
        </is>
      </c>
      <c r="F681" t="inlineStr"/>
      <c r="G681" s="126" t="inlineStr"/>
      <c r="H681" s="125" t="n">
        <v>46055</v>
      </c>
      <c r="I681" t="inlineStr"/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N681" t="inlineStr"/>
      <c r="O681" t="inlineStr"/>
      <c r="P681" t="inlineStr"/>
      <c r="Q681" s="112" t="n">
        <v>0</v>
      </c>
      <c r="R681" s="112" t="n">
        <v>846.1799999999999</v>
      </c>
      <c r="S681" s="112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D682" t="inlineStr"/>
      <c r="E682" t="inlineStr">
        <is>
          <t>LA</t>
        </is>
      </c>
      <c r="F682" t="inlineStr"/>
      <c r="G682" s="126" t="inlineStr"/>
      <c r="H682" s="125" t="n">
        <v>46055</v>
      </c>
      <c r="I682" t="inlineStr"/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N682" t="inlineStr"/>
      <c r="O682" t="inlineStr"/>
      <c r="P682" t="inlineStr"/>
      <c r="Q682" s="112" t="n">
        <v>0</v>
      </c>
      <c r="R682" s="112" t="n">
        <v>3988.4</v>
      </c>
      <c r="S682" s="112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D683" t="inlineStr"/>
      <c r="E683" t="inlineStr">
        <is>
          <t>LA</t>
        </is>
      </c>
      <c r="F683" t="inlineStr"/>
      <c r="G683" s="126" t="inlineStr"/>
      <c r="H683" s="125" t="n">
        <v>46055</v>
      </c>
      <c r="I683" t="inlineStr"/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N683" t="inlineStr"/>
      <c r="O683" t="inlineStr"/>
      <c r="P683" t="inlineStr"/>
      <c r="Q683" s="112" t="n">
        <v>0</v>
      </c>
      <c r="R683" s="112" t="n">
        <v>1073.18</v>
      </c>
      <c r="S683" s="112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D684" t="inlineStr"/>
      <c r="E684" t="inlineStr">
        <is>
          <t>LA</t>
        </is>
      </c>
      <c r="F684" t="inlineStr"/>
      <c r="G684" s="126" t="inlineStr"/>
      <c r="H684" s="125" t="n">
        <v>46055</v>
      </c>
      <c r="I684" t="inlineStr"/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N684" t="inlineStr"/>
      <c r="O684" t="inlineStr"/>
      <c r="P684" t="inlineStr"/>
      <c r="Q684" s="112" t="n">
        <v>0</v>
      </c>
      <c r="R684" s="112" t="n">
        <v>3267.34</v>
      </c>
      <c r="S684" s="112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D685" t="inlineStr"/>
      <c r="E685" t="inlineStr">
        <is>
          <t>LA</t>
        </is>
      </c>
      <c r="F685" t="inlineStr"/>
      <c r="G685" s="126" t="inlineStr"/>
      <c r="H685" s="125" t="n">
        <v>46055</v>
      </c>
      <c r="I685" t="inlineStr"/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N685" t="inlineStr"/>
      <c r="O685" t="inlineStr"/>
      <c r="P685" t="inlineStr"/>
      <c r="Q685" s="112" t="n">
        <v>0</v>
      </c>
      <c r="R685" s="112" t="n">
        <v>3685.43</v>
      </c>
      <c r="S685" s="112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D686" t="inlineStr"/>
      <c r="E686" t="inlineStr">
        <is>
          <t>LA</t>
        </is>
      </c>
      <c r="F686" t="inlineStr"/>
      <c r="G686" s="126" t="inlineStr"/>
      <c r="H686" s="125" t="n">
        <v>46055</v>
      </c>
      <c r="I686" t="inlineStr"/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N686" t="inlineStr"/>
      <c r="O686" t="inlineStr"/>
      <c r="P686" t="inlineStr"/>
      <c r="Q686" s="112" t="n">
        <v>0</v>
      </c>
      <c r="R686" s="112" t="n">
        <v>3038.9</v>
      </c>
      <c r="S686" s="112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D687" t="inlineStr"/>
      <c r="E687" t="inlineStr">
        <is>
          <t>LA</t>
        </is>
      </c>
      <c r="F687" t="inlineStr"/>
      <c r="G687" s="126" t="inlineStr"/>
      <c r="H687" s="125" t="n">
        <v>46055</v>
      </c>
      <c r="I687" t="inlineStr"/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N687" t="inlineStr"/>
      <c r="O687" t="inlineStr"/>
      <c r="P687" t="inlineStr"/>
      <c r="Q687" s="112" t="n">
        <v>0</v>
      </c>
      <c r="R687" s="112" t="n">
        <v>2477.79</v>
      </c>
      <c r="S687" s="112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D688" t="inlineStr"/>
      <c r="E688" t="inlineStr">
        <is>
          <t>LA</t>
        </is>
      </c>
      <c r="F688" t="inlineStr"/>
      <c r="G688" s="126" t="inlineStr"/>
      <c r="H688" s="125" t="n">
        <v>46069</v>
      </c>
      <c r="I688" t="inlineStr"/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N688" t="inlineStr"/>
      <c r="O688" t="inlineStr"/>
      <c r="P688" t="inlineStr"/>
      <c r="Q688" s="112" t="n">
        <v>0</v>
      </c>
      <c r="R688" s="112" t="n">
        <v>5615.66</v>
      </c>
      <c r="S688" s="112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D689" t="inlineStr"/>
      <c r="E689" t="inlineStr">
        <is>
          <t>LA</t>
        </is>
      </c>
      <c r="F689" t="inlineStr"/>
      <c r="G689" s="126" t="inlineStr"/>
      <c r="H689" s="125" t="n">
        <v>46069</v>
      </c>
      <c r="I689" t="inlineStr"/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N689" t="inlineStr"/>
      <c r="O689" t="inlineStr"/>
      <c r="P689" t="inlineStr"/>
      <c r="Q689" s="112" t="n">
        <v>0</v>
      </c>
      <c r="R689" s="112" t="n">
        <v>4071.47</v>
      </c>
      <c r="S689" s="112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D690" t="inlineStr"/>
      <c r="E690" t="inlineStr">
        <is>
          <t>LA</t>
        </is>
      </c>
      <c r="F690" t="inlineStr"/>
      <c r="G690" s="126" t="inlineStr"/>
      <c r="H690" s="125" t="n">
        <v>46069</v>
      </c>
      <c r="I690" t="inlineStr"/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N690" t="inlineStr"/>
      <c r="O690" t="inlineStr"/>
      <c r="P690" t="inlineStr"/>
      <c r="Q690" s="112" t="n">
        <v>0</v>
      </c>
      <c r="R690" s="112" t="n">
        <v>4693.98</v>
      </c>
      <c r="S690" s="112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D691" t="inlineStr"/>
      <c r="E691" t="inlineStr">
        <is>
          <t>LA</t>
        </is>
      </c>
      <c r="F691" t="inlineStr"/>
      <c r="G691" s="126" t="inlineStr"/>
      <c r="H691" s="125" t="n">
        <v>46069</v>
      </c>
      <c r="I691" t="inlineStr"/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N691" t="inlineStr"/>
      <c r="O691" t="inlineStr"/>
      <c r="P691" t="inlineStr"/>
      <c r="Q691" s="112" t="n">
        <v>0</v>
      </c>
      <c r="R691" s="112" t="n">
        <v>5728.07</v>
      </c>
      <c r="S691" s="112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D692" t="inlineStr"/>
      <c r="E692" t="inlineStr">
        <is>
          <t>LA</t>
        </is>
      </c>
      <c r="F692" t="inlineStr"/>
      <c r="G692" s="126" t="inlineStr"/>
      <c r="H692" s="125" t="n">
        <v>46079</v>
      </c>
      <c r="I692" t="inlineStr"/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N692" t="inlineStr"/>
      <c r="O692" t="inlineStr"/>
      <c r="P692" t="inlineStr"/>
      <c r="Q692" s="112" t="n">
        <v>0</v>
      </c>
      <c r="R692" s="112" t="n">
        <v>899.66</v>
      </c>
      <c r="S692" s="112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D693" t="inlineStr"/>
      <c r="E693" t="inlineStr">
        <is>
          <t>LA</t>
        </is>
      </c>
      <c r="F693" t="inlineStr"/>
      <c r="G693" s="126" t="inlineStr"/>
      <c r="H693" s="125" t="n">
        <v>46079</v>
      </c>
      <c r="I693" t="inlineStr"/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N693" t="inlineStr"/>
      <c r="O693" t="inlineStr"/>
      <c r="P693" t="inlineStr"/>
      <c r="Q693" s="112" t="n">
        <v>0</v>
      </c>
      <c r="R693" s="112" t="n">
        <v>899.66</v>
      </c>
      <c r="S693" s="112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D694" t="inlineStr"/>
      <c r="E694" t="inlineStr">
        <is>
          <t>LA</t>
        </is>
      </c>
      <c r="F694" t="inlineStr"/>
      <c r="G694" s="126" t="inlineStr"/>
      <c r="H694" s="125" t="n">
        <v>46079</v>
      </c>
      <c r="I694" t="inlineStr"/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N694" t="inlineStr"/>
      <c r="O694" t="inlineStr"/>
      <c r="P694" t="inlineStr"/>
      <c r="Q694" s="112" t="n">
        <v>0</v>
      </c>
      <c r="R694" s="112" t="n">
        <v>899.66</v>
      </c>
      <c r="S694" s="112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D695" t="inlineStr"/>
      <c r="E695" t="inlineStr">
        <is>
          <t>LA</t>
        </is>
      </c>
      <c r="F695" t="inlineStr"/>
      <c r="G695" s="126" t="inlineStr"/>
      <c r="H695" s="125" t="n">
        <v>46079</v>
      </c>
      <c r="I695" t="inlineStr"/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N695" t="inlineStr"/>
      <c r="O695" t="inlineStr"/>
      <c r="P695" t="inlineStr"/>
      <c r="Q695" s="112" t="n">
        <v>0</v>
      </c>
      <c r="R695" s="112" t="n">
        <v>899.66</v>
      </c>
      <c r="S695" s="112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D696" t="inlineStr"/>
      <c r="E696" t="inlineStr">
        <is>
          <t>LA</t>
        </is>
      </c>
      <c r="F696" t="inlineStr"/>
      <c r="G696" s="126" t="inlineStr"/>
      <c r="H696" s="125" t="n">
        <v>46079</v>
      </c>
      <c r="I696" t="inlineStr"/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N696" t="inlineStr"/>
      <c r="O696" t="inlineStr"/>
      <c r="P696" t="inlineStr"/>
      <c r="Q696" s="112" t="n">
        <v>0</v>
      </c>
      <c r="R696" s="112" t="n">
        <v>899.6900000000001</v>
      </c>
      <c r="S696" s="112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D697" t="inlineStr"/>
      <c r="E697" t="inlineStr">
        <is>
          <t>LA</t>
        </is>
      </c>
      <c r="F697" t="inlineStr"/>
      <c r="G697" s="126" t="inlineStr"/>
      <c r="H697" s="125" t="n">
        <v>46083</v>
      </c>
      <c r="I697" t="inlineStr"/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N697" t="inlineStr"/>
      <c r="O697" t="inlineStr"/>
      <c r="P697" t="inlineStr"/>
      <c r="Q697" s="112" t="n">
        <v>0</v>
      </c>
      <c r="R697" s="112" t="n">
        <v>6838.18</v>
      </c>
      <c r="S697" s="112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D698" t="inlineStr"/>
      <c r="E698" t="inlineStr">
        <is>
          <t>LA</t>
        </is>
      </c>
      <c r="F698" t="inlineStr"/>
      <c r="G698" s="126" t="inlineStr"/>
      <c r="H698" s="125" t="n">
        <v>46083</v>
      </c>
      <c r="I698" t="inlineStr"/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N698" t="inlineStr"/>
      <c r="O698" t="inlineStr"/>
      <c r="P698" t="inlineStr"/>
      <c r="Q698" s="112" t="n">
        <v>0</v>
      </c>
      <c r="R698" s="112" t="n">
        <v>7209.73</v>
      </c>
      <c r="S698" s="112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D699" t="inlineStr"/>
      <c r="E699" t="inlineStr">
        <is>
          <t>LA</t>
        </is>
      </c>
      <c r="F699" t="inlineStr"/>
      <c r="G699" s="126" t="inlineStr"/>
      <c r="H699" s="125" t="n">
        <v>46083</v>
      </c>
      <c r="I699" t="inlineStr"/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N699" t="inlineStr"/>
      <c r="O699" t="inlineStr"/>
      <c r="P699" t="inlineStr"/>
      <c r="Q699" s="112" t="n">
        <v>0</v>
      </c>
      <c r="R699" s="112" t="n">
        <v>1434.59</v>
      </c>
      <c r="S699" s="112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D700" t="inlineStr"/>
      <c r="E700" t="inlineStr">
        <is>
          <t>LA</t>
        </is>
      </c>
      <c r="F700" t="inlineStr"/>
      <c r="G700" s="126" t="inlineStr"/>
      <c r="H700" s="125" t="n">
        <v>46083</v>
      </c>
      <c r="I700" t="inlineStr"/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N700" t="inlineStr"/>
      <c r="O700" t="inlineStr"/>
      <c r="P700" t="inlineStr"/>
      <c r="Q700" s="112" t="n">
        <v>0</v>
      </c>
      <c r="R700" s="112" t="n">
        <v>5394.44</v>
      </c>
      <c r="S700" s="112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D701" t="inlineStr"/>
      <c r="E701" t="inlineStr">
        <is>
          <t>LA</t>
        </is>
      </c>
      <c r="F701" t="inlineStr"/>
      <c r="G701" s="126" t="inlineStr"/>
      <c r="H701" s="125" t="n">
        <v>46083</v>
      </c>
      <c r="I701" t="inlineStr"/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N701" t="inlineStr"/>
      <c r="O701" t="inlineStr"/>
      <c r="P701" t="inlineStr"/>
      <c r="Q701" s="112" t="n">
        <v>0</v>
      </c>
      <c r="R701" s="112" t="n">
        <v>1435.57</v>
      </c>
      <c r="S701" s="112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D702" t="inlineStr"/>
      <c r="E702" t="inlineStr">
        <is>
          <t>LA</t>
        </is>
      </c>
      <c r="F702" t="inlineStr"/>
      <c r="G702" s="126" t="inlineStr"/>
      <c r="H702" s="125" t="n">
        <v>46083</v>
      </c>
      <c r="I702" t="inlineStr"/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N702" t="inlineStr"/>
      <c r="O702" t="inlineStr"/>
      <c r="P702" t="inlineStr"/>
      <c r="Q702" s="112" t="n">
        <v>0</v>
      </c>
      <c r="R702" s="112" t="n">
        <v>4521.21</v>
      </c>
      <c r="S702" s="112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D703" t="inlineStr"/>
      <c r="E703" t="inlineStr">
        <is>
          <t>LA</t>
        </is>
      </c>
      <c r="F703" t="inlineStr"/>
      <c r="G703" s="126" t="inlineStr"/>
      <c r="H703" s="125" t="n">
        <v>46083</v>
      </c>
      <c r="I703" t="inlineStr"/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N703" t="inlineStr"/>
      <c r="O703" t="inlineStr"/>
      <c r="P703" t="inlineStr"/>
      <c r="Q703" s="112" t="n">
        <v>0</v>
      </c>
      <c r="R703" s="112" t="n">
        <v>5053.41</v>
      </c>
      <c r="S703" s="112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D704" t="inlineStr"/>
      <c r="E704" t="inlineStr">
        <is>
          <t>LA</t>
        </is>
      </c>
      <c r="F704" t="inlineStr"/>
      <c r="G704" s="126" t="inlineStr"/>
      <c r="H704" s="125" t="n">
        <v>46083</v>
      </c>
      <c r="I704" t="inlineStr"/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N704" t="inlineStr"/>
      <c r="O704" t="inlineStr"/>
      <c r="P704" t="inlineStr"/>
      <c r="Q704" s="112" t="n">
        <v>0</v>
      </c>
      <c r="R704" s="112" t="n">
        <v>3494.61</v>
      </c>
      <c r="S704" s="112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D705" t="inlineStr"/>
      <c r="E705" t="inlineStr">
        <is>
          <t>LA</t>
        </is>
      </c>
      <c r="F705" t="inlineStr"/>
      <c r="G705" s="126" t="inlineStr"/>
      <c r="H705" s="125" t="n">
        <v>46083</v>
      </c>
      <c r="I705" t="inlineStr"/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N705" t="inlineStr"/>
      <c r="O705" t="inlineStr"/>
      <c r="P705" t="inlineStr"/>
      <c r="Q705" s="112" t="n">
        <v>0</v>
      </c>
      <c r="R705" s="112" t="n">
        <v>4119.91</v>
      </c>
      <c r="S705" s="112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D706" t="inlineStr"/>
      <c r="E706" t="inlineStr">
        <is>
          <t>LA</t>
        </is>
      </c>
      <c r="F706" t="inlineStr"/>
      <c r="G706" s="126" t="inlineStr"/>
      <c r="H706" s="125" t="n">
        <v>46083</v>
      </c>
      <c r="I706" t="inlineStr"/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N706" t="inlineStr"/>
      <c r="O706" t="inlineStr"/>
      <c r="P706" t="inlineStr"/>
      <c r="Q706" s="112" t="n">
        <v>0</v>
      </c>
      <c r="R706" s="112" t="n">
        <v>5503.2</v>
      </c>
      <c r="S706" s="112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D707" t="inlineStr"/>
      <c r="E707" t="inlineStr">
        <is>
          <t>LA</t>
        </is>
      </c>
      <c r="F707" t="inlineStr"/>
      <c r="G707" s="126" t="inlineStr"/>
      <c r="H707" s="125" t="n">
        <v>46083</v>
      </c>
      <c r="I707" t="inlineStr"/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N707" t="inlineStr"/>
      <c r="O707" t="inlineStr"/>
      <c r="P707" t="inlineStr"/>
      <c r="Q707" s="112" t="n">
        <v>0</v>
      </c>
      <c r="R707" s="112" t="n">
        <v>4188.25</v>
      </c>
      <c r="S707" s="112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D708" t="inlineStr"/>
      <c r="E708" t="inlineStr">
        <is>
          <t>LA</t>
        </is>
      </c>
      <c r="F708" t="inlineStr"/>
      <c r="G708" s="126" t="inlineStr"/>
      <c r="H708" s="125" t="n">
        <v>46083</v>
      </c>
      <c r="I708" t="inlineStr"/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N708" t="inlineStr"/>
      <c r="O708" t="inlineStr"/>
      <c r="P708" t="inlineStr"/>
      <c r="Q708" s="112" t="n">
        <v>0</v>
      </c>
      <c r="R708" s="112" t="n">
        <v>6606.47</v>
      </c>
      <c r="S708" s="112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D709" t="inlineStr"/>
      <c r="E709" t="inlineStr">
        <is>
          <t>LA</t>
        </is>
      </c>
      <c r="F709" t="inlineStr"/>
      <c r="G709" s="126" t="inlineStr"/>
      <c r="H709" s="125" t="n">
        <v>46083</v>
      </c>
      <c r="I709" t="inlineStr"/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N709" t="inlineStr"/>
      <c r="O709" t="inlineStr"/>
      <c r="P709" t="inlineStr"/>
      <c r="Q709" s="112" t="n">
        <v>0</v>
      </c>
      <c r="R709" s="112" t="n">
        <v>6852.13</v>
      </c>
      <c r="S709" s="112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D710" t="inlineStr"/>
      <c r="E710" t="inlineStr">
        <is>
          <t>LA</t>
        </is>
      </c>
      <c r="F710" t="inlineStr"/>
      <c r="G710" s="126" t="inlineStr"/>
      <c r="H710" s="125" t="n">
        <v>46097</v>
      </c>
      <c r="I710" t="inlineStr"/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N710" t="inlineStr"/>
      <c r="O710" t="inlineStr"/>
      <c r="P710" t="inlineStr"/>
      <c r="Q710" s="112" t="n">
        <v>0</v>
      </c>
      <c r="R710" s="112" t="n">
        <v>7364.87</v>
      </c>
      <c r="S710" s="112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D711" t="inlineStr"/>
      <c r="E711" t="inlineStr">
        <is>
          <t>LA</t>
        </is>
      </c>
      <c r="F711" t="inlineStr"/>
      <c r="G711" s="126" t="inlineStr"/>
      <c r="H711" s="125" t="n">
        <v>46097</v>
      </c>
      <c r="I711" t="inlineStr"/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N711" t="inlineStr"/>
      <c r="O711" t="inlineStr"/>
      <c r="P711" t="inlineStr"/>
      <c r="Q711" s="112" t="n">
        <v>0</v>
      </c>
      <c r="R711" s="112" t="n">
        <v>6245.73</v>
      </c>
      <c r="S711" s="112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D712" t="inlineStr"/>
      <c r="E712" t="inlineStr">
        <is>
          <t>LA</t>
        </is>
      </c>
      <c r="F712" t="inlineStr"/>
      <c r="G712" s="126" t="inlineStr"/>
      <c r="H712" s="125" t="n">
        <v>46097</v>
      </c>
      <c r="I712" t="inlineStr"/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N712" t="inlineStr"/>
      <c r="O712" t="inlineStr"/>
      <c r="P712" t="inlineStr"/>
      <c r="Q712" s="112" t="n">
        <v>0</v>
      </c>
      <c r="R712" s="112" t="n">
        <v>9508.219999999999</v>
      </c>
      <c r="S712" s="112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D713" t="inlineStr"/>
      <c r="E713" t="inlineStr">
        <is>
          <t>LA</t>
        </is>
      </c>
      <c r="F713" t="inlineStr"/>
      <c r="G713" s="126" t="inlineStr"/>
      <c r="H713" s="125" t="n">
        <v>46086</v>
      </c>
      <c r="I713" t="inlineStr"/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N713" t="inlineStr"/>
      <c r="O713" t="inlineStr"/>
      <c r="P713" t="inlineStr"/>
      <c r="Q713" s="112" t="n">
        <v>0</v>
      </c>
      <c r="R713" s="112" t="n">
        <v>912.66</v>
      </c>
      <c r="S713" s="112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D714" t="inlineStr"/>
      <c r="E714" t="inlineStr">
        <is>
          <t>LA</t>
        </is>
      </c>
      <c r="F714" t="inlineStr"/>
      <c r="G714" s="126" t="inlineStr"/>
      <c r="H714" s="125" t="n">
        <v>46086</v>
      </c>
      <c r="I714" t="inlineStr"/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N714" t="inlineStr"/>
      <c r="O714" t="inlineStr"/>
      <c r="P714" t="inlineStr"/>
      <c r="Q714" s="112" t="n">
        <v>0</v>
      </c>
      <c r="R714" s="112" t="n">
        <v>912.66</v>
      </c>
      <c r="S714" s="112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D715" t="inlineStr"/>
      <c r="E715" t="inlineStr">
        <is>
          <t>LA</t>
        </is>
      </c>
      <c r="F715" t="inlineStr"/>
      <c r="G715" s="126" t="inlineStr"/>
      <c r="H715" s="125" t="n">
        <v>46086</v>
      </c>
      <c r="I715" t="inlineStr"/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N715" t="inlineStr"/>
      <c r="O715" t="inlineStr"/>
      <c r="P715" t="inlineStr"/>
      <c r="Q715" s="112" t="n">
        <v>0</v>
      </c>
      <c r="R715" s="112" t="n">
        <v>912.66</v>
      </c>
      <c r="S715" s="112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D716" t="inlineStr"/>
      <c r="E716" t="inlineStr">
        <is>
          <t>LA</t>
        </is>
      </c>
      <c r="F716" t="inlineStr"/>
      <c r="G716" s="126" t="inlineStr"/>
      <c r="H716" s="125" t="n">
        <v>46086</v>
      </c>
      <c r="I716" t="inlineStr"/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N716" t="inlineStr"/>
      <c r="O716" t="inlineStr"/>
      <c r="P716" t="inlineStr"/>
      <c r="Q716" s="112" t="n">
        <v>0</v>
      </c>
      <c r="R716" s="112" t="n">
        <v>912.66</v>
      </c>
      <c r="S716" s="112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D717" t="inlineStr"/>
      <c r="E717" t="inlineStr">
        <is>
          <t>LA</t>
        </is>
      </c>
      <c r="F717" t="inlineStr"/>
      <c r="G717" s="126" t="inlineStr"/>
      <c r="H717" s="125" t="n">
        <v>46086</v>
      </c>
      <c r="I717" t="inlineStr"/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N717" t="inlineStr"/>
      <c r="O717" t="inlineStr"/>
      <c r="P717" t="inlineStr"/>
      <c r="Q717" s="112" t="n">
        <v>0</v>
      </c>
      <c r="R717" s="112" t="n">
        <v>912.6900000000001</v>
      </c>
      <c r="S717" s="112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D718" t="inlineStr"/>
      <c r="E718" t="inlineStr">
        <is>
          <t>LA</t>
        </is>
      </c>
      <c r="F718" t="inlineStr"/>
      <c r="G718" s="126" t="inlineStr"/>
      <c r="H718" s="125" t="n">
        <v>46097</v>
      </c>
      <c r="I718" t="inlineStr"/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N718" t="inlineStr"/>
      <c r="O718" t="inlineStr"/>
      <c r="P718" t="inlineStr"/>
      <c r="Q718" s="112" t="n">
        <v>0</v>
      </c>
      <c r="R718" s="112" t="n">
        <v>549.85</v>
      </c>
      <c r="S718" s="112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D719" t="inlineStr"/>
      <c r="E719" t="inlineStr">
        <is>
          <t>LA</t>
        </is>
      </c>
      <c r="F719" t="inlineStr"/>
      <c r="G719" s="126" t="inlineStr"/>
      <c r="H719" s="125" t="n">
        <v>46097</v>
      </c>
      <c r="I719" t="inlineStr"/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N719" t="inlineStr"/>
      <c r="O719" t="inlineStr"/>
      <c r="P719" t="inlineStr"/>
      <c r="Q719" s="112" t="n">
        <v>0</v>
      </c>
      <c r="R719" s="112" t="n">
        <v>549.8200000000001</v>
      </c>
      <c r="S719" s="112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D720" t="inlineStr"/>
      <c r="E720" t="inlineStr">
        <is>
          <t>LA</t>
        </is>
      </c>
      <c r="F720" t="inlineStr"/>
      <c r="G720" s="126" t="inlineStr"/>
      <c r="H720" s="125" t="n">
        <v>46097</v>
      </c>
      <c r="I720" t="inlineStr"/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N720" t="inlineStr"/>
      <c r="O720" t="inlineStr"/>
      <c r="P720" t="inlineStr"/>
      <c r="Q720" s="112" t="n">
        <v>0</v>
      </c>
      <c r="R720" s="112" t="n">
        <v>549.85</v>
      </c>
      <c r="S720" s="112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D721" t="inlineStr"/>
      <c r="E721" t="inlineStr">
        <is>
          <t>LA</t>
        </is>
      </c>
      <c r="F721" t="inlineStr"/>
      <c r="G721" s="126" t="inlineStr"/>
      <c r="H721" s="125" t="n">
        <v>46097</v>
      </c>
      <c r="I721" t="inlineStr"/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N721" t="inlineStr"/>
      <c r="O721" t="inlineStr"/>
      <c r="P721" t="inlineStr"/>
      <c r="Q721" s="112" t="n">
        <v>0</v>
      </c>
      <c r="R721" s="112" t="n">
        <v>593.96</v>
      </c>
      <c r="S721" s="112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D722" t="inlineStr"/>
      <c r="E722" t="inlineStr">
        <is>
          <t>LA</t>
        </is>
      </c>
      <c r="F722" t="inlineStr"/>
      <c r="G722" s="126" t="inlineStr"/>
      <c r="H722" s="125" t="n">
        <v>46097</v>
      </c>
      <c r="I722" t="inlineStr"/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N722" t="inlineStr"/>
      <c r="O722" t="inlineStr"/>
      <c r="P722" t="inlineStr"/>
      <c r="Q722" s="112" t="n">
        <v>0</v>
      </c>
      <c r="R722" s="112" t="n">
        <v>4942.33</v>
      </c>
      <c r="S722" s="112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D723" t="inlineStr"/>
      <c r="E723" t="inlineStr">
        <is>
          <t>LA</t>
        </is>
      </c>
      <c r="F723" t="inlineStr"/>
      <c r="G723" s="126" t="inlineStr"/>
      <c r="H723" s="125" t="n">
        <v>46097</v>
      </c>
      <c r="I723" t="inlineStr"/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N723" t="inlineStr"/>
      <c r="O723" t="inlineStr"/>
      <c r="P723" t="inlineStr"/>
      <c r="Q723" s="112" t="n">
        <v>0</v>
      </c>
      <c r="R723" s="112" t="n">
        <v>9069.15</v>
      </c>
      <c r="S723" s="112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D724" t="inlineStr"/>
      <c r="E724" t="inlineStr">
        <is>
          <t>LA</t>
        </is>
      </c>
      <c r="F724" t="inlineStr"/>
      <c r="G724" s="126" t="inlineStr"/>
      <c r="H724" s="125" t="n">
        <v>46097</v>
      </c>
      <c r="I724" t="inlineStr"/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N724" t="inlineStr"/>
      <c r="O724" t="inlineStr"/>
      <c r="P724" t="inlineStr"/>
      <c r="Q724" s="112" t="n">
        <v>0</v>
      </c>
      <c r="R724" s="112" t="n">
        <v>6800.09</v>
      </c>
      <c r="S724" s="112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D725" t="inlineStr"/>
      <c r="E725" t="inlineStr">
        <is>
          <t>LA</t>
        </is>
      </c>
      <c r="F725" t="inlineStr"/>
      <c r="G725" s="126" t="inlineStr"/>
      <c r="H725" s="125" t="n">
        <v>46097</v>
      </c>
      <c r="I725" t="inlineStr"/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N725" t="inlineStr"/>
      <c r="O725" t="inlineStr"/>
      <c r="P725" t="inlineStr"/>
      <c r="Q725" s="112" t="n">
        <v>0</v>
      </c>
      <c r="R725" s="112" t="n">
        <v>1385.12</v>
      </c>
      <c r="S725" s="112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D726" t="inlineStr"/>
      <c r="E726" t="inlineStr">
        <is>
          <t>LA</t>
        </is>
      </c>
      <c r="F726" t="inlineStr"/>
      <c r="G726" s="126" t="inlineStr"/>
      <c r="H726" s="125" t="n">
        <v>46097</v>
      </c>
      <c r="I726" t="inlineStr"/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N726" t="inlineStr"/>
      <c r="O726" t="inlineStr"/>
      <c r="P726" t="inlineStr"/>
      <c r="Q726" s="112" t="n">
        <v>0</v>
      </c>
      <c r="R726" s="112" t="n">
        <v>8223.51</v>
      </c>
      <c r="S726" s="112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D727" t="inlineStr"/>
      <c r="E727" t="inlineStr">
        <is>
          <t>LA</t>
        </is>
      </c>
      <c r="F727" t="inlineStr"/>
      <c r="G727" s="126" t="inlineStr"/>
      <c r="H727" s="125" t="n">
        <v>46097</v>
      </c>
      <c r="I727" t="inlineStr"/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N727" t="inlineStr"/>
      <c r="O727" t="inlineStr"/>
      <c r="P727" t="inlineStr"/>
      <c r="Q727" s="112" t="n">
        <v>0</v>
      </c>
      <c r="R727" s="112" t="n">
        <v>6651.02</v>
      </c>
      <c r="S727" s="112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D728" t="inlineStr"/>
      <c r="E728" t="inlineStr">
        <is>
          <t>LA</t>
        </is>
      </c>
      <c r="F728" t="inlineStr"/>
      <c r="G728" s="126" t="inlineStr"/>
      <c r="H728" s="125" t="n">
        <v>46097</v>
      </c>
      <c r="I728" t="inlineStr"/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N728" t="inlineStr"/>
      <c r="O728" t="inlineStr"/>
      <c r="P728" t="inlineStr"/>
      <c r="Q728" s="112" t="n">
        <v>0</v>
      </c>
      <c r="R728" s="112" t="n">
        <v>7433.13</v>
      </c>
      <c r="S728" s="112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D729" t="inlineStr"/>
      <c r="E729" t="inlineStr">
        <is>
          <t>LA</t>
        </is>
      </c>
      <c r="F729" t="inlineStr"/>
      <c r="G729" s="126" t="inlineStr"/>
      <c r="H729" s="125" t="n">
        <v>46097</v>
      </c>
      <c r="I729" t="inlineStr"/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N729" t="inlineStr"/>
      <c r="O729" t="inlineStr"/>
      <c r="P729" t="inlineStr"/>
      <c r="Q729" s="112" t="n">
        <v>0</v>
      </c>
      <c r="R729" s="112" t="n">
        <v>8410.4</v>
      </c>
      <c r="S729" s="112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D730" t="inlineStr"/>
      <c r="E730" t="inlineStr">
        <is>
          <t>LA</t>
        </is>
      </c>
      <c r="F730" t="inlineStr"/>
      <c r="G730" s="126" t="inlineStr"/>
      <c r="H730" s="125" t="n">
        <v>46097</v>
      </c>
      <c r="I730" t="inlineStr"/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N730" t="inlineStr"/>
      <c r="O730" t="inlineStr"/>
      <c r="P730" t="inlineStr"/>
      <c r="Q730" s="112" t="n">
        <v>0</v>
      </c>
      <c r="R730" s="112" t="n">
        <v>549.75</v>
      </c>
      <c r="S730" s="112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D731" t="inlineStr"/>
      <c r="E731" t="inlineStr">
        <is>
          <t>LA</t>
        </is>
      </c>
      <c r="F731" t="inlineStr"/>
      <c r="G731" s="126" t="inlineStr"/>
      <c r="H731" s="125" t="n">
        <v>46097</v>
      </c>
      <c r="I731" t="inlineStr"/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N731" t="inlineStr"/>
      <c r="O731" t="inlineStr"/>
      <c r="P731" t="inlineStr"/>
      <c r="Q731" s="112" t="n">
        <v>0</v>
      </c>
      <c r="R731" s="112" t="n">
        <v>549.85</v>
      </c>
      <c r="S731" s="112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D732" t="inlineStr"/>
      <c r="E732" t="inlineStr">
        <is>
          <t>LA</t>
        </is>
      </c>
      <c r="F732" t="inlineStr"/>
      <c r="G732" s="126" t="inlineStr"/>
      <c r="H732" s="125" t="n">
        <v>46097</v>
      </c>
      <c r="I732" t="inlineStr"/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N732" t="inlineStr"/>
      <c r="O732" t="inlineStr"/>
      <c r="P732" t="inlineStr"/>
      <c r="Q732" s="112" t="n">
        <v>0</v>
      </c>
      <c r="R732" s="112" t="n">
        <v>549.8200000000001</v>
      </c>
      <c r="S732" s="112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D733" t="inlineStr"/>
      <c r="E733" t="inlineStr">
        <is>
          <t>LA</t>
        </is>
      </c>
      <c r="F733" t="inlineStr"/>
      <c r="G733" s="126" t="inlineStr"/>
      <c r="H733" s="125" t="n">
        <v>46097</v>
      </c>
      <c r="I733" t="inlineStr"/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N733" t="inlineStr"/>
      <c r="O733" t="inlineStr"/>
      <c r="P733" t="inlineStr"/>
      <c r="Q733" s="112" t="n">
        <v>0</v>
      </c>
      <c r="R733" s="112" t="n">
        <v>549.85</v>
      </c>
      <c r="S733" s="112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D734" t="inlineStr"/>
      <c r="E734" t="inlineStr">
        <is>
          <t>LA</t>
        </is>
      </c>
      <c r="F734" t="inlineStr"/>
      <c r="G734" s="126" t="inlineStr"/>
      <c r="H734" s="125" t="n">
        <v>46097</v>
      </c>
      <c r="I734" t="inlineStr"/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N734" t="inlineStr"/>
      <c r="O734" t="inlineStr"/>
      <c r="P734" t="inlineStr"/>
      <c r="Q734" s="112" t="n">
        <v>0</v>
      </c>
      <c r="R734" s="112" t="n">
        <v>549.85</v>
      </c>
      <c r="S734" s="112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D735" t="inlineStr"/>
      <c r="E735" t="inlineStr">
        <is>
          <t>LA</t>
        </is>
      </c>
      <c r="F735" t="inlineStr"/>
      <c r="G735" s="126" t="inlineStr"/>
      <c r="H735" s="125" t="n">
        <v>46097</v>
      </c>
      <c r="I735" t="inlineStr"/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N735" t="inlineStr"/>
      <c r="O735" t="inlineStr"/>
      <c r="P735" t="inlineStr"/>
      <c r="Q735" s="112" t="n">
        <v>0</v>
      </c>
      <c r="R735" s="112" t="n">
        <v>549.85</v>
      </c>
      <c r="S735" s="112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D736" t="inlineStr"/>
      <c r="E736" t="inlineStr">
        <is>
          <t>LA</t>
        </is>
      </c>
      <c r="F736" t="inlineStr"/>
      <c r="G736" s="126" t="inlineStr"/>
      <c r="H736" s="125" t="n">
        <v>46097</v>
      </c>
      <c r="I736" t="inlineStr"/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N736" t="inlineStr"/>
      <c r="O736" t="inlineStr"/>
      <c r="P736" t="inlineStr"/>
      <c r="Q736" s="112" t="n">
        <v>0</v>
      </c>
      <c r="R736" s="112" t="n">
        <v>549.85</v>
      </c>
      <c r="S736" s="112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D737" t="inlineStr"/>
      <c r="E737" t="inlineStr">
        <is>
          <t>LA</t>
        </is>
      </c>
      <c r="F737" t="inlineStr"/>
      <c r="G737" s="126" t="inlineStr"/>
      <c r="H737" s="125" t="n">
        <v>46093</v>
      </c>
      <c r="I737" t="inlineStr"/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N737" t="inlineStr"/>
      <c r="O737" t="inlineStr"/>
      <c r="P737" t="inlineStr"/>
      <c r="Q737" s="112" t="n">
        <v>0</v>
      </c>
      <c r="R737" s="112" t="n">
        <v>603.0700000000001</v>
      </c>
      <c r="S737" s="112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D738" t="inlineStr"/>
      <c r="E738" t="inlineStr">
        <is>
          <t>LA</t>
        </is>
      </c>
      <c r="F738" t="inlineStr"/>
      <c r="G738" s="126" t="inlineStr"/>
      <c r="H738" s="125" t="n">
        <v>46093</v>
      </c>
      <c r="I738" t="inlineStr"/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N738" t="inlineStr"/>
      <c r="O738" t="inlineStr"/>
      <c r="P738" t="inlineStr"/>
      <c r="Q738" s="112" t="n">
        <v>0</v>
      </c>
      <c r="R738" s="112" t="n">
        <v>603.05</v>
      </c>
      <c r="S738" s="112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D739" t="inlineStr"/>
      <c r="E739" t="inlineStr">
        <is>
          <t>LA</t>
        </is>
      </c>
      <c r="F739" t="inlineStr"/>
      <c r="G739" s="126" t="inlineStr"/>
      <c r="H739" s="125" t="n">
        <v>46093</v>
      </c>
      <c r="I739" t="inlineStr"/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N739" t="inlineStr"/>
      <c r="O739" t="inlineStr"/>
      <c r="P739" t="inlineStr"/>
      <c r="Q739" s="112" t="n">
        <v>0</v>
      </c>
      <c r="R739" s="112" t="n">
        <v>1359.64</v>
      </c>
      <c r="S739" s="112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D740" t="inlineStr"/>
      <c r="E740" t="inlineStr">
        <is>
          <t>LA</t>
        </is>
      </c>
      <c r="F740" t="inlineStr"/>
      <c r="G740" s="126" t="inlineStr"/>
      <c r="H740" s="125" t="n">
        <v>46093</v>
      </c>
      <c r="I740" t="inlineStr"/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N740" t="inlineStr"/>
      <c r="O740" t="inlineStr"/>
      <c r="P740" t="inlineStr"/>
      <c r="Q740" s="112" t="n">
        <v>0</v>
      </c>
      <c r="R740" s="112" t="n">
        <v>1359.64</v>
      </c>
      <c r="S740" s="112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D741" t="inlineStr"/>
      <c r="E741" t="inlineStr">
        <is>
          <t>LA</t>
        </is>
      </c>
      <c r="F741" t="inlineStr"/>
      <c r="G741" s="126" t="inlineStr"/>
      <c r="H741" s="125" t="n">
        <v>46093</v>
      </c>
      <c r="I741" t="inlineStr"/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N741" t="inlineStr"/>
      <c r="O741" t="inlineStr"/>
      <c r="P741" t="inlineStr"/>
      <c r="Q741" s="112" t="n">
        <v>0</v>
      </c>
      <c r="R741" s="112" t="n">
        <v>1359.64</v>
      </c>
      <c r="S741" s="112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D742" t="inlineStr"/>
      <c r="E742" t="inlineStr">
        <is>
          <t>LA</t>
        </is>
      </c>
      <c r="F742" t="inlineStr"/>
      <c r="G742" s="126" t="inlineStr"/>
      <c r="H742" s="125" t="n">
        <v>46093</v>
      </c>
      <c r="I742" t="inlineStr"/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N742" t="inlineStr"/>
      <c r="O742" t="inlineStr"/>
      <c r="P742" t="inlineStr"/>
      <c r="Q742" s="112" t="n">
        <v>0</v>
      </c>
      <c r="R742" s="112" t="n">
        <v>1359.64</v>
      </c>
      <c r="S742" s="112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D743" t="inlineStr"/>
      <c r="E743" t="inlineStr">
        <is>
          <t>LA</t>
        </is>
      </c>
      <c r="F743" t="inlineStr"/>
      <c r="G743" s="126" t="inlineStr"/>
      <c r="H743" s="125" t="n">
        <v>46093</v>
      </c>
      <c r="I743" t="inlineStr"/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N743" t="inlineStr"/>
      <c r="O743" t="inlineStr"/>
      <c r="P743" t="inlineStr"/>
      <c r="Q743" s="112" t="n">
        <v>0</v>
      </c>
      <c r="R743" s="112" t="n">
        <v>899.6900000000001</v>
      </c>
      <c r="S743" s="112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D744" t="inlineStr"/>
      <c r="E744" t="inlineStr">
        <is>
          <t>LA</t>
        </is>
      </c>
      <c r="F744" t="inlineStr"/>
      <c r="G744" s="126" t="inlineStr"/>
      <c r="H744" s="125" t="n">
        <v>46100</v>
      </c>
      <c r="I744" t="inlineStr"/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N744" t="inlineStr"/>
      <c r="O744" t="inlineStr"/>
      <c r="P744" t="inlineStr"/>
      <c r="Q744" s="112" t="n">
        <v>0</v>
      </c>
      <c r="R744" s="112" t="n">
        <v>1163.93</v>
      </c>
      <c r="S744" s="112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D745" t="inlineStr"/>
      <c r="E745" t="inlineStr">
        <is>
          <t>LA</t>
        </is>
      </c>
      <c r="F745" t="inlineStr"/>
      <c r="G745" s="126" t="inlineStr"/>
      <c r="H745" s="125" t="n">
        <v>46100</v>
      </c>
      <c r="I745" t="inlineStr"/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N745" t="inlineStr"/>
      <c r="O745" t="inlineStr"/>
      <c r="P745" t="inlineStr"/>
      <c r="Q745" s="112" t="n">
        <v>0</v>
      </c>
      <c r="R745" s="112" t="n">
        <v>1163.9</v>
      </c>
      <c r="S745" s="112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D746" t="inlineStr"/>
      <c r="E746" t="inlineStr">
        <is>
          <t>LA</t>
        </is>
      </c>
      <c r="F746" t="inlineStr"/>
      <c r="G746" s="126" t="inlineStr"/>
      <c r="H746" s="125" t="n">
        <v>46100</v>
      </c>
      <c r="I746" t="inlineStr"/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N746" t="inlineStr"/>
      <c r="O746" t="inlineStr"/>
      <c r="P746" t="inlineStr"/>
      <c r="Q746" s="112" t="n">
        <v>0</v>
      </c>
      <c r="R746" s="112" t="n">
        <v>1741.62</v>
      </c>
      <c r="S746" s="112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D747" t="inlineStr"/>
      <c r="E747" t="inlineStr">
        <is>
          <t>LA</t>
        </is>
      </c>
      <c r="F747" t="inlineStr"/>
      <c r="G747" s="126" t="inlineStr"/>
      <c r="H747" s="125" t="n">
        <v>46100</v>
      </c>
      <c r="I747" t="inlineStr"/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N747" t="inlineStr"/>
      <c r="O747" t="inlineStr"/>
      <c r="P747" t="inlineStr"/>
      <c r="Q747" s="112" t="n">
        <v>0</v>
      </c>
      <c r="R747" s="112" t="n">
        <v>1345.55</v>
      </c>
      <c r="S747" s="112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D748" t="inlineStr"/>
      <c r="E748" t="inlineStr">
        <is>
          <t>LA</t>
        </is>
      </c>
      <c r="F748" t="inlineStr"/>
      <c r="G748" s="126" t="inlineStr"/>
      <c r="H748" s="125" t="n">
        <v>46100</v>
      </c>
      <c r="I748" t="inlineStr"/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N748" t="inlineStr"/>
      <c r="O748" t="inlineStr"/>
      <c r="P748" t="inlineStr"/>
      <c r="Q748" s="112" t="n">
        <v>0</v>
      </c>
      <c r="R748" s="112" t="n">
        <v>1344.8</v>
      </c>
      <c r="S748" s="112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D749" t="inlineStr"/>
      <c r="E749" t="inlineStr">
        <is>
          <t>LA</t>
        </is>
      </c>
      <c r="F749" t="inlineStr"/>
      <c r="G749" s="126" t="inlineStr"/>
      <c r="H749" s="125" t="n">
        <v>46100</v>
      </c>
      <c r="I749" t="inlineStr"/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N749" t="inlineStr"/>
      <c r="O749" t="inlineStr"/>
      <c r="P749" t="inlineStr"/>
      <c r="Q749" s="112" t="n">
        <v>0</v>
      </c>
      <c r="R749" s="112" t="n">
        <v>1344.05</v>
      </c>
      <c r="S749" s="112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D750" t="inlineStr"/>
      <c r="E750" t="inlineStr">
        <is>
          <t>LA</t>
        </is>
      </c>
      <c r="F750" t="inlineStr"/>
      <c r="G750" s="126" t="inlineStr"/>
      <c r="H750" s="125" t="n">
        <v>46100</v>
      </c>
      <c r="I750" t="inlineStr"/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N750" t="inlineStr"/>
      <c r="O750" t="inlineStr"/>
      <c r="P750" t="inlineStr"/>
      <c r="Q750" s="112" t="n">
        <v>0</v>
      </c>
      <c r="R750" s="112" t="n">
        <v>889.84</v>
      </c>
      <c r="S750" s="112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D751" t="inlineStr"/>
      <c r="E751" t="inlineStr">
        <is>
          <t>LA</t>
        </is>
      </c>
      <c r="F751" t="inlineStr"/>
      <c r="G751" s="126" t="inlineStr"/>
      <c r="H751" s="125" t="n">
        <v>46111</v>
      </c>
      <c r="I751" t="inlineStr"/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N751" t="inlineStr"/>
      <c r="O751" t="inlineStr"/>
      <c r="P751" t="inlineStr"/>
      <c r="Q751" s="112" t="n">
        <v>0</v>
      </c>
      <c r="R751" s="112" t="n">
        <v>11206.89</v>
      </c>
      <c r="S751" s="112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D752" t="inlineStr"/>
      <c r="E752" t="inlineStr">
        <is>
          <t>LA</t>
        </is>
      </c>
      <c r="F752" t="inlineStr"/>
      <c r="G752" s="126" t="inlineStr"/>
      <c r="H752" s="125" t="n">
        <v>46111</v>
      </c>
      <c r="I752" t="inlineStr"/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N752" t="inlineStr"/>
      <c r="O752" t="inlineStr"/>
      <c r="P752" t="inlineStr"/>
      <c r="Q752" s="112" t="n">
        <v>0</v>
      </c>
      <c r="R752" s="112" t="n">
        <v>10045.89</v>
      </c>
      <c r="S752" s="112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D753" t="inlineStr"/>
      <c r="E753" t="inlineStr">
        <is>
          <t>LA</t>
        </is>
      </c>
      <c r="F753" t="inlineStr"/>
      <c r="G753" s="126" t="inlineStr"/>
      <c r="H753" s="125" t="n">
        <v>46111</v>
      </c>
      <c r="I753" t="inlineStr"/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N753" t="inlineStr"/>
      <c r="O753" t="inlineStr"/>
      <c r="P753" t="inlineStr"/>
      <c r="Q753" s="112" t="n">
        <v>0</v>
      </c>
      <c r="R753" s="112" t="n">
        <v>11672.56</v>
      </c>
      <c r="S753" s="112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D754" t="inlineStr"/>
      <c r="E754" t="inlineStr">
        <is>
          <t>LA</t>
        </is>
      </c>
      <c r="F754" t="inlineStr"/>
      <c r="G754" s="126" t="inlineStr"/>
      <c r="H754" s="125" t="n">
        <v>46111</v>
      </c>
      <c r="I754" t="inlineStr"/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N754" t="inlineStr"/>
      <c r="O754" t="inlineStr"/>
      <c r="P754" t="inlineStr"/>
      <c r="Q754" s="112" t="n">
        <v>0</v>
      </c>
      <c r="R754" s="112" t="n">
        <v>12190.22</v>
      </c>
      <c r="S754" s="112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D755" t="inlineStr"/>
      <c r="E755" t="inlineStr">
        <is>
          <t>LA</t>
        </is>
      </c>
      <c r="F755" t="inlineStr"/>
      <c r="G755" s="126" t="inlineStr"/>
      <c r="H755" s="125" t="n">
        <v>46111</v>
      </c>
      <c r="I755" t="inlineStr"/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N755" t="inlineStr"/>
      <c r="O755" t="inlineStr"/>
      <c r="P755" t="inlineStr"/>
      <c r="Q755" s="112" t="n">
        <v>0</v>
      </c>
      <c r="R755" s="112" t="n">
        <v>10043.27</v>
      </c>
      <c r="S755" s="112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D756" t="inlineStr"/>
      <c r="E756" t="inlineStr">
        <is>
          <t>LA</t>
        </is>
      </c>
      <c r="F756" t="inlineStr"/>
      <c r="G756" s="126" t="inlineStr"/>
      <c r="H756" s="125" t="n">
        <v>46111</v>
      </c>
      <c r="I756" t="inlineStr"/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N756" t="inlineStr"/>
      <c r="O756" t="inlineStr"/>
      <c r="P756" t="inlineStr"/>
      <c r="Q756" s="112" t="n">
        <v>0</v>
      </c>
      <c r="R756" s="112" t="n">
        <v>9814.809999999999</v>
      </c>
      <c r="S756" s="112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D757" t="inlineStr"/>
      <c r="E757" t="inlineStr">
        <is>
          <t>LA</t>
        </is>
      </c>
      <c r="F757" t="inlineStr"/>
      <c r="G757" s="126" t="inlineStr"/>
      <c r="H757" s="125" t="n">
        <v>46111</v>
      </c>
      <c r="I757" t="inlineStr"/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N757" t="inlineStr"/>
      <c r="O757" t="inlineStr"/>
      <c r="P757" t="inlineStr"/>
      <c r="Q757" s="112" t="n">
        <v>0</v>
      </c>
      <c r="R757" s="112" t="n">
        <v>13786.75</v>
      </c>
      <c r="S757" s="112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D758" t="inlineStr"/>
      <c r="E758" t="inlineStr">
        <is>
          <t>LA</t>
        </is>
      </c>
      <c r="F758" t="inlineStr"/>
      <c r="G758" s="126" t="inlineStr"/>
      <c r="H758" s="125" t="n">
        <v>46111</v>
      </c>
      <c r="I758" t="inlineStr"/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N758" t="inlineStr"/>
      <c r="O758" t="inlineStr"/>
      <c r="P758" t="inlineStr"/>
      <c r="Q758" s="112" t="n">
        <v>0</v>
      </c>
      <c r="R758" s="112" t="n">
        <v>10181.8</v>
      </c>
      <c r="S758" s="112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D759" t="inlineStr"/>
      <c r="E759" t="inlineStr">
        <is>
          <t>LA</t>
        </is>
      </c>
      <c r="F759" t="inlineStr"/>
      <c r="G759" s="126" t="inlineStr"/>
      <c r="H759" s="125" t="n">
        <v>46111</v>
      </c>
      <c r="I759" t="inlineStr"/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N759" t="inlineStr"/>
      <c r="O759" t="inlineStr"/>
      <c r="P759" t="inlineStr"/>
      <c r="Q759" s="112" t="n">
        <v>0</v>
      </c>
      <c r="R759" s="112" t="n">
        <v>10434.09</v>
      </c>
      <c r="S759" s="112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D760" t="inlineStr"/>
      <c r="E760" t="inlineStr">
        <is>
          <t>LA</t>
        </is>
      </c>
      <c r="F760" t="inlineStr"/>
      <c r="G760" s="126" t="inlineStr"/>
      <c r="H760" s="125" t="n">
        <v>46111</v>
      </c>
      <c r="I760" t="inlineStr"/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N760" t="inlineStr"/>
      <c r="O760" t="inlineStr"/>
      <c r="P760" t="inlineStr"/>
      <c r="Q760" s="112" t="n">
        <v>0</v>
      </c>
      <c r="R760" s="112" t="n">
        <v>11242.67</v>
      </c>
      <c r="S760" s="112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D761" t="inlineStr"/>
      <c r="E761" t="inlineStr">
        <is>
          <t>LA</t>
        </is>
      </c>
      <c r="F761" t="inlineStr"/>
      <c r="G761" s="126" t="inlineStr"/>
      <c r="H761" s="125" t="n">
        <v>46111</v>
      </c>
      <c r="I761" t="inlineStr"/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N761" t="inlineStr"/>
      <c r="O761" t="inlineStr"/>
      <c r="P761" t="inlineStr"/>
      <c r="Q761" s="112" t="n">
        <v>0</v>
      </c>
      <c r="R761" s="112" t="n">
        <v>2433.25</v>
      </c>
      <c r="S761" s="112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D762" t="inlineStr"/>
      <c r="E762" t="inlineStr">
        <is>
          <t>LA</t>
        </is>
      </c>
      <c r="F762" t="inlineStr"/>
      <c r="G762" s="126" t="inlineStr"/>
      <c r="H762" s="125" t="n">
        <v>46111</v>
      </c>
      <c r="I762" t="inlineStr"/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N762" t="inlineStr"/>
      <c r="O762" t="inlineStr"/>
      <c r="P762" t="inlineStr"/>
      <c r="Q762" s="112" t="n">
        <v>0</v>
      </c>
      <c r="R762" s="112" t="n">
        <v>3085.15</v>
      </c>
      <c r="S762" s="112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D763" t="inlineStr"/>
      <c r="E763" t="inlineStr">
        <is>
          <t>LA</t>
        </is>
      </c>
      <c r="F763" t="inlineStr"/>
      <c r="G763" s="126" t="inlineStr"/>
      <c r="H763" s="125" t="n">
        <v>46107</v>
      </c>
      <c r="I763" t="inlineStr"/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N763" t="inlineStr"/>
      <c r="O763" t="inlineStr"/>
      <c r="P763" t="inlineStr"/>
      <c r="Q763" s="112" t="n">
        <v>0</v>
      </c>
      <c r="R763" s="112" t="n">
        <v>1772.58</v>
      </c>
      <c r="S763" s="112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D764" t="inlineStr"/>
      <c r="E764" t="inlineStr">
        <is>
          <t>LA</t>
        </is>
      </c>
      <c r="F764" t="inlineStr"/>
      <c r="G764" s="126" t="inlineStr"/>
      <c r="H764" s="125" t="n">
        <v>46107</v>
      </c>
      <c r="I764" t="inlineStr"/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N764" t="inlineStr"/>
      <c r="O764" t="inlineStr"/>
      <c r="P764" t="inlineStr"/>
      <c r="Q764" s="112" t="n">
        <v>0</v>
      </c>
      <c r="R764" s="112" t="n">
        <v>1772.58</v>
      </c>
      <c r="S764" s="112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D765" t="inlineStr"/>
      <c r="E765" t="inlineStr">
        <is>
          <t>LA</t>
        </is>
      </c>
      <c r="F765" t="inlineStr"/>
      <c r="G765" s="126" t="inlineStr"/>
      <c r="H765" s="125" t="n">
        <v>46107</v>
      </c>
      <c r="I765" t="inlineStr"/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N765" t="inlineStr"/>
      <c r="O765" t="inlineStr"/>
      <c r="P765" t="inlineStr"/>
      <c r="Q765" s="112" t="n">
        <v>0</v>
      </c>
      <c r="R765" s="112" t="n">
        <v>2202.09</v>
      </c>
      <c r="S765" s="112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D766" t="inlineStr"/>
      <c r="E766" t="inlineStr">
        <is>
          <t>LA</t>
        </is>
      </c>
      <c r="F766" t="inlineStr"/>
      <c r="G766" s="126" t="inlineStr"/>
      <c r="H766" s="125" t="n">
        <v>46107</v>
      </c>
      <c r="I766" t="inlineStr"/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N766" t="inlineStr"/>
      <c r="O766" t="inlineStr"/>
      <c r="P766" t="inlineStr"/>
      <c r="Q766" s="112" t="n">
        <v>0</v>
      </c>
      <c r="R766" s="112" t="n">
        <v>2359.77</v>
      </c>
      <c r="S766" s="112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D767" t="inlineStr"/>
      <c r="E767" t="inlineStr">
        <is>
          <t>LA</t>
        </is>
      </c>
      <c r="F767" t="inlineStr"/>
      <c r="G767" s="126" t="inlineStr"/>
      <c r="H767" s="125" t="n">
        <v>46114</v>
      </c>
      <c r="I767" t="inlineStr"/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N767" t="inlineStr"/>
      <c r="O767" t="inlineStr"/>
      <c r="P767" t="inlineStr"/>
      <c r="Q767" s="112" t="n">
        <v>0</v>
      </c>
      <c r="R767" s="112" t="n">
        <v>567.35</v>
      </c>
      <c r="S767" s="112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D768" t="inlineStr"/>
      <c r="E768" t="inlineStr">
        <is>
          <t>LA</t>
        </is>
      </c>
      <c r="F768" t="inlineStr"/>
      <c r="G768" s="126" t="inlineStr"/>
      <c r="H768" s="125" t="n">
        <v>46114</v>
      </c>
      <c r="I768" t="inlineStr"/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N768" t="inlineStr"/>
      <c r="O768" t="inlineStr"/>
      <c r="P768" t="inlineStr"/>
      <c r="Q768" s="112" t="n">
        <v>0</v>
      </c>
      <c r="R768" s="112" t="n">
        <v>567.34</v>
      </c>
      <c r="S768" s="112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D769" t="inlineStr"/>
      <c r="E769" t="inlineStr">
        <is>
          <t>LA</t>
        </is>
      </c>
      <c r="F769" t="inlineStr"/>
      <c r="G769" s="126" t="inlineStr"/>
      <c r="H769" s="125" t="n">
        <v>46114</v>
      </c>
      <c r="I769" t="inlineStr"/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N769" t="inlineStr"/>
      <c r="O769" t="inlineStr"/>
      <c r="P769" t="inlineStr"/>
      <c r="Q769" s="112" t="n">
        <v>0</v>
      </c>
      <c r="R769" s="112" t="n">
        <v>1947.69</v>
      </c>
      <c r="S769" s="112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D770" t="inlineStr"/>
      <c r="E770" t="inlineStr">
        <is>
          <t>LA</t>
        </is>
      </c>
      <c r="F770" t="inlineStr"/>
      <c r="G770" s="126" t="inlineStr"/>
      <c r="H770" s="125" t="n">
        <v>46114</v>
      </c>
      <c r="I770" t="inlineStr"/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N770" t="inlineStr"/>
      <c r="O770" t="inlineStr"/>
      <c r="P770" t="inlineStr"/>
      <c r="Q770" s="112" t="n">
        <v>0</v>
      </c>
      <c r="R770" s="112" t="n">
        <v>1550.12</v>
      </c>
      <c r="S770" s="112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D771" t="inlineStr"/>
      <c r="E771" t="inlineStr">
        <is>
          <t>LA</t>
        </is>
      </c>
      <c r="F771" t="inlineStr"/>
      <c r="G771" s="126" t="inlineStr"/>
      <c r="H771" s="125" t="n">
        <v>46114</v>
      </c>
      <c r="I771" t="inlineStr"/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N771" t="inlineStr"/>
      <c r="O771" t="inlineStr"/>
      <c r="P771" t="inlineStr"/>
      <c r="Q771" s="112" t="n">
        <v>0</v>
      </c>
      <c r="R771" s="112" t="n">
        <v>1550.12</v>
      </c>
      <c r="S771" s="112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D772" t="inlineStr"/>
      <c r="E772" t="inlineStr">
        <is>
          <t>LA</t>
        </is>
      </c>
      <c r="F772" t="inlineStr"/>
      <c r="G772" s="126" t="inlineStr"/>
      <c r="H772" s="125" t="n">
        <v>46114</v>
      </c>
      <c r="I772" t="inlineStr"/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N772" t="inlineStr"/>
      <c r="O772" t="inlineStr"/>
      <c r="P772" t="inlineStr"/>
      <c r="Q772" s="112" t="n">
        <v>0</v>
      </c>
      <c r="R772" s="112" t="n">
        <v>1550.12</v>
      </c>
      <c r="S772" s="112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D773" t="inlineStr"/>
      <c r="E773" t="inlineStr">
        <is>
          <t>LA</t>
        </is>
      </c>
      <c r="F773" t="inlineStr"/>
      <c r="G773" s="126" t="inlineStr"/>
      <c r="H773" s="125" t="n">
        <v>46114</v>
      </c>
      <c r="I773" t="inlineStr"/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N773" t="inlineStr"/>
      <c r="O773" t="inlineStr"/>
      <c r="P773" t="inlineStr"/>
      <c r="Q773" s="112" t="n">
        <v>0</v>
      </c>
      <c r="R773" s="112" t="n">
        <v>902.84</v>
      </c>
      <c r="S773" s="112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D774" t="inlineStr"/>
      <c r="E774" t="inlineStr">
        <is>
          <t>LA</t>
        </is>
      </c>
      <c r="F774" t="inlineStr"/>
      <c r="G774" s="126" t="inlineStr"/>
      <c r="H774" s="125" t="n">
        <v>46121</v>
      </c>
      <c r="I774" t="inlineStr"/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N774" t="inlineStr"/>
      <c r="O774" t="inlineStr"/>
      <c r="P774" t="inlineStr"/>
      <c r="Q774" s="112" t="n">
        <v>0</v>
      </c>
      <c r="R774" s="112" t="n">
        <v>524.49</v>
      </c>
      <c r="S774" s="112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D775" t="inlineStr"/>
      <c r="E775" t="inlineStr">
        <is>
          <t>LA</t>
        </is>
      </c>
      <c r="F775" t="inlineStr"/>
      <c r="G775" s="126" t="inlineStr"/>
      <c r="H775" s="125" t="n">
        <v>46121</v>
      </c>
      <c r="I775" t="inlineStr"/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N775" t="inlineStr"/>
      <c r="O775" t="inlineStr"/>
      <c r="P775" t="inlineStr"/>
      <c r="Q775" s="112" t="n">
        <v>0</v>
      </c>
      <c r="R775" s="112" t="n">
        <v>1408.31</v>
      </c>
      <c r="S775" s="112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D776" t="inlineStr"/>
      <c r="E776" t="inlineStr">
        <is>
          <t>LA</t>
        </is>
      </c>
      <c r="F776" t="inlineStr"/>
      <c r="G776" s="126" t="inlineStr"/>
      <c r="H776" s="125" t="n">
        <v>46121</v>
      </c>
      <c r="I776" t="inlineStr"/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N776" t="inlineStr"/>
      <c r="O776" t="inlineStr"/>
      <c r="P776" t="inlineStr"/>
      <c r="Q776" s="112" t="n">
        <v>0</v>
      </c>
      <c r="R776" s="112" t="n">
        <v>1994.78</v>
      </c>
      <c r="S776" s="112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D777" t="inlineStr"/>
      <c r="E777" t="inlineStr">
        <is>
          <t>LA</t>
        </is>
      </c>
      <c r="F777" t="inlineStr"/>
      <c r="G777" s="126" t="inlineStr"/>
      <c r="H777" s="125" t="n">
        <v>46121</v>
      </c>
      <c r="I777" t="inlineStr"/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N777" t="inlineStr"/>
      <c r="O777" t="inlineStr"/>
      <c r="P777" t="inlineStr"/>
      <c r="Q777" s="112" t="n">
        <v>0</v>
      </c>
      <c r="R777" s="112" t="n">
        <v>1625.76</v>
      </c>
      <c r="S777" s="112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D778" t="inlineStr"/>
      <c r="E778" t="inlineStr">
        <is>
          <t>LA</t>
        </is>
      </c>
      <c r="F778" t="inlineStr"/>
      <c r="G778" s="126" t="inlineStr"/>
      <c r="H778" s="125" t="n">
        <v>46121</v>
      </c>
      <c r="I778" t="inlineStr"/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N778" t="inlineStr"/>
      <c r="O778" t="inlineStr"/>
      <c r="P778" t="inlineStr"/>
      <c r="Q778" s="112" t="n">
        <v>0</v>
      </c>
      <c r="R778" s="112" t="n">
        <v>1625.78</v>
      </c>
      <c r="S778" s="112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D779" t="inlineStr"/>
      <c r="E779" t="inlineStr">
        <is>
          <t>LA</t>
        </is>
      </c>
      <c r="F779" t="inlineStr"/>
      <c r="G779" s="126" t="inlineStr"/>
      <c r="H779" s="125" t="n">
        <v>46121</v>
      </c>
      <c r="I779" t="inlineStr"/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N779" t="inlineStr"/>
      <c r="O779" t="inlineStr"/>
      <c r="P779" t="inlineStr"/>
      <c r="Q779" s="112" t="n">
        <v>0</v>
      </c>
      <c r="R779" s="112" t="n">
        <v>1625.78</v>
      </c>
      <c r="S779" s="112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D780" t="inlineStr"/>
      <c r="E780" t="inlineStr">
        <is>
          <t>LA</t>
        </is>
      </c>
      <c r="F780" t="inlineStr"/>
      <c r="G780" s="126" t="inlineStr"/>
      <c r="H780" s="125" t="n">
        <v>46121</v>
      </c>
      <c r="I780" t="inlineStr"/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N780" t="inlineStr"/>
      <c r="O780" t="inlineStr"/>
      <c r="P780" t="inlineStr"/>
      <c r="Q780" s="112" t="n">
        <v>0</v>
      </c>
      <c r="R780" s="112" t="n">
        <v>1625.81</v>
      </c>
      <c r="S780" s="112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D781" t="inlineStr"/>
      <c r="E781" t="inlineStr">
        <is>
          <t>LA</t>
        </is>
      </c>
      <c r="F781" t="inlineStr"/>
      <c r="G781" s="126" t="inlineStr"/>
      <c r="H781" s="125" t="n">
        <v>46126</v>
      </c>
      <c r="I781" t="inlineStr"/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N781" t="inlineStr"/>
      <c r="O781" t="inlineStr"/>
      <c r="P781" t="inlineStr"/>
      <c r="Q781" s="112" t="n">
        <v>0</v>
      </c>
      <c r="R781" s="112" t="n">
        <v>11132.37</v>
      </c>
      <c r="S781" s="112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D782" t="inlineStr"/>
      <c r="E782" t="inlineStr">
        <is>
          <t>LA</t>
        </is>
      </c>
      <c r="F782" t="inlineStr"/>
      <c r="G782" s="126" t="inlineStr"/>
      <c r="H782" s="125" t="n">
        <v>46126</v>
      </c>
      <c r="I782" t="inlineStr"/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N782" t="inlineStr"/>
      <c r="O782" t="inlineStr"/>
      <c r="P782" t="inlineStr"/>
      <c r="Q782" s="112" t="n">
        <v>0</v>
      </c>
      <c r="R782" s="112" t="n">
        <v>10692.64</v>
      </c>
      <c r="S782" s="112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D783" t="inlineStr"/>
      <c r="E783" t="inlineStr">
        <is>
          <t>LA</t>
        </is>
      </c>
      <c r="F783" t="inlineStr"/>
      <c r="G783" s="126" t="inlineStr"/>
      <c r="H783" s="125" t="n">
        <v>46126</v>
      </c>
      <c r="I783" t="inlineStr"/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N783" t="inlineStr"/>
      <c r="O783" t="inlineStr"/>
      <c r="P783" t="inlineStr"/>
      <c r="Q783" s="112" t="n">
        <v>0</v>
      </c>
      <c r="R783" s="112" t="n">
        <v>10807.98</v>
      </c>
      <c r="S783" s="112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D784" t="inlineStr"/>
      <c r="E784" t="inlineStr">
        <is>
          <t>LA</t>
        </is>
      </c>
      <c r="F784" t="inlineStr"/>
      <c r="G784" s="126" t="inlineStr"/>
      <c r="H784" s="125" t="n">
        <v>46126</v>
      </c>
      <c r="I784" t="inlineStr"/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N784" t="inlineStr"/>
      <c r="O784" t="inlineStr"/>
      <c r="P784" t="inlineStr"/>
      <c r="Q784" s="112" t="n">
        <v>0</v>
      </c>
      <c r="R784" s="112" t="n">
        <v>11260.82</v>
      </c>
      <c r="S784" s="112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D785" t="inlineStr"/>
      <c r="E785" t="inlineStr">
        <is>
          <t>LA</t>
        </is>
      </c>
      <c r="F785" t="inlineStr"/>
      <c r="G785" s="126" t="inlineStr"/>
      <c r="H785" s="125" t="n">
        <v>46126</v>
      </c>
      <c r="I785" t="inlineStr"/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N785" t="inlineStr"/>
      <c r="O785" t="inlineStr"/>
      <c r="P785" t="inlineStr"/>
      <c r="Q785" s="112" t="n">
        <v>0</v>
      </c>
      <c r="R785" s="112" t="n">
        <v>10735.75</v>
      </c>
      <c r="S785" s="112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D786" t="inlineStr"/>
      <c r="E786" t="inlineStr">
        <is>
          <t>LA</t>
        </is>
      </c>
      <c r="F786" t="inlineStr"/>
      <c r="G786" s="126" t="inlineStr"/>
      <c r="H786" s="125" t="n">
        <v>46126</v>
      </c>
      <c r="I786" t="inlineStr"/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N786" t="inlineStr"/>
      <c r="O786" t="inlineStr"/>
      <c r="P786" t="inlineStr"/>
      <c r="Q786" s="112" t="n">
        <v>0</v>
      </c>
      <c r="R786" s="112" t="n">
        <v>2671.38</v>
      </c>
      <c r="S786" s="112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D787" t="inlineStr"/>
      <c r="E787" t="inlineStr">
        <is>
          <t>LA</t>
        </is>
      </c>
      <c r="F787" t="inlineStr"/>
      <c r="G787" s="126" t="inlineStr"/>
      <c r="H787" s="125" t="n">
        <v>46126</v>
      </c>
      <c r="I787" t="inlineStr"/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N787" t="inlineStr"/>
      <c r="O787" t="inlineStr"/>
      <c r="P787" t="inlineStr"/>
      <c r="Q787" s="112" t="n">
        <v>0</v>
      </c>
      <c r="R787" s="112" t="n">
        <v>9624.52</v>
      </c>
      <c r="S787" s="112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D788" t="inlineStr"/>
      <c r="E788" t="inlineStr">
        <is>
          <t>LA</t>
        </is>
      </c>
      <c r="F788" t="inlineStr"/>
      <c r="G788" s="126" t="inlineStr"/>
      <c r="H788" s="125" t="n">
        <v>46126</v>
      </c>
      <c r="I788" t="inlineStr"/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N788" t="inlineStr"/>
      <c r="O788" t="inlineStr"/>
      <c r="P788" t="inlineStr"/>
      <c r="Q788" s="112" t="n">
        <v>0</v>
      </c>
      <c r="R788" s="112" t="n">
        <v>10612.35</v>
      </c>
      <c r="S788" s="112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D789" t="inlineStr"/>
      <c r="E789" t="inlineStr">
        <is>
          <t>LA</t>
        </is>
      </c>
      <c r="F789" t="inlineStr"/>
      <c r="G789" s="126" t="inlineStr"/>
      <c r="H789" s="125" t="n">
        <v>46126</v>
      </c>
      <c r="I789" t="inlineStr"/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N789" t="inlineStr"/>
      <c r="O789" t="inlineStr"/>
      <c r="P789" t="inlineStr"/>
      <c r="Q789" s="112" t="n">
        <v>0</v>
      </c>
      <c r="R789" s="112" t="n">
        <v>11087.85</v>
      </c>
      <c r="S789" s="112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D790" t="inlineStr"/>
      <c r="E790" t="inlineStr">
        <is>
          <t>LA</t>
        </is>
      </c>
      <c r="F790" t="inlineStr"/>
      <c r="G790" s="126" t="inlineStr"/>
      <c r="H790" s="125" t="n">
        <v>46126</v>
      </c>
      <c r="I790" t="inlineStr"/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N790" t="inlineStr"/>
      <c r="O790" t="inlineStr"/>
      <c r="P790" t="inlineStr"/>
      <c r="Q790" s="112" t="n">
        <v>0</v>
      </c>
      <c r="R790" s="112" t="n">
        <v>9891.52</v>
      </c>
      <c r="S790" s="112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D791" t="inlineStr"/>
      <c r="E791" t="inlineStr">
        <is>
          <t>LA</t>
        </is>
      </c>
      <c r="F791" t="inlineStr"/>
      <c r="G791" s="126" t="inlineStr"/>
      <c r="H791" s="125" t="n">
        <v>46126</v>
      </c>
      <c r="I791" t="inlineStr"/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N791" t="inlineStr"/>
      <c r="O791" t="inlineStr"/>
      <c r="P791" t="inlineStr"/>
      <c r="Q791" s="112" t="n">
        <v>0</v>
      </c>
      <c r="R791" s="112" t="n">
        <v>2356</v>
      </c>
      <c r="S791" s="112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D792" t="inlineStr"/>
      <c r="E792" t="inlineStr">
        <is>
          <t>LA</t>
        </is>
      </c>
      <c r="F792" t="inlineStr"/>
      <c r="G792" s="126" t="inlineStr"/>
      <c r="H792" s="125" t="n">
        <v>46126</v>
      </c>
      <c r="I792" t="inlineStr"/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N792" t="inlineStr"/>
      <c r="O792" t="inlineStr"/>
      <c r="P792" t="inlineStr"/>
      <c r="Q792" s="112" t="n">
        <v>0</v>
      </c>
      <c r="R792" s="112" t="n">
        <v>1223.39</v>
      </c>
      <c r="S792" s="112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D793" t="inlineStr"/>
      <c r="E793" t="inlineStr">
        <is>
          <t>LA</t>
        </is>
      </c>
      <c r="F793" t="inlineStr"/>
      <c r="G793" s="126" t="inlineStr"/>
      <c r="H793" s="125" t="n">
        <v>46128</v>
      </c>
      <c r="I793" t="inlineStr"/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N793" t="inlineStr"/>
      <c r="O793" t="inlineStr"/>
      <c r="P793" t="inlineStr"/>
      <c r="Q793" s="112" t="n">
        <v>0</v>
      </c>
      <c r="R793" s="112" t="n">
        <v>567.35</v>
      </c>
      <c r="S793" s="112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D794" t="inlineStr"/>
      <c r="E794" t="inlineStr">
        <is>
          <t>LA</t>
        </is>
      </c>
      <c r="F794" t="inlineStr"/>
      <c r="G794" s="126" t="inlineStr"/>
      <c r="H794" s="125" t="n">
        <v>46128</v>
      </c>
      <c r="I794" t="inlineStr"/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N794" t="inlineStr"/>
      <c r="O794" t="inlineStr"/>
      <c r="P794" t="inlineStr"/>
      <c r="Q794" s="112" t="n">
        <v>0</v>
      </c>
      <c r="R794" s="112" t="n">
        <v>567.34</v>
      </c>
      <c r="S794" s="112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D795" t="inlineStr"/>
      <c r="E795" t="inlineStr">
        <is>
          <t>LA</t>
        </is>
      </c>
      <c r="F795" t="inlineStr"/>
      <c r="G795" s="126" t="inlineStr"/>
      <c r="H795" s="125" t="n">
        <v>46128</v>
      </c>
      <c r="I795" t="inlineStr"/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N795" t="inlineStr"/>
      <c r="O795" t="inlineStr"/>
      <c r="P795" t="inlineStr"/>
      <c r="Q795" s="112" t="n">
        <v>0</v>
      </c>
      <c r="R795" s="112" t="n">
        <v>2227.09</v>
      </c>
      <c r="S795" s="112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D796" t="inlineStr"/>
      <c r="E796" t="inlineStr">
        <is>
          <t>LA</t>
        </is>
      </c>
      <c r="F796" t="inlineStr"/>
      <c r="G796" s="126" t="inlineStr"/>
      <c r="H796" s="125" t="n">
        <v>46128</v>
      </c>
      <c r="I796" t="inlineStr"/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N796" t="inlineStr"/>
      <c r="O796" t="inlineStr"/>
      <c r="P796" t="inlineStr"/>
      <c r="Q796" s="112" t="n">
        <v>0</v>
      </c>
      <c r="R796" s="112" t="n">
        <v>1532.99</v>
      </c>
      <c r="S796" s="112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D797" t="inlineStr"/>
      <c r="E797" t="inlineStr">
        <is>
          <t>LA</t>
        </is>
      </c>
      <c r="F797" t="inlineStr"/>
      <c r="G797" s="126" t="inlineStr"/>
      <c r="H797" s="125" t="n">
        <v>46128</v>
      </c>
      <c r="I797" t="inlineStr"/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N797" t="inlineStr"/>
      <c r="O797" t="inlineStr"/>
      <c r="P797" t="inlineStr"/>
      <c r="Q797" s="112" t="n">
        <v>0</v>
      </c>
      <c r="R797" s="112" t="n">
        <v>1533</v>
      </c>
      <c r="S797" s="112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D798" t="inlineStr"/>
      <c r="E798" t="inlineStr">
        <is>
          <t>LA</t>
        </is>
      </c>
      <c r="F798" t="inlineStr"/>
      <c r="G798" s="126" t="inlineStr"/>
      <c r="H798" s="125" t="n">
        <v>46128</v>
      </c>
      <c r="I798" t="inlineStr"/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N798" t="inlineStr"/>
      <c r="O798" t="inlineStr"/>
      <c r="P798" t="inlineStr"/>
      <c r="Q798" s="112" t="n">
        <v>0</v>
      </c>
      <c r="R798" s="112" t="n">
        <v>889.8099999999999</v>
      </c>
      <c r="S798" s="112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D799" t="inlineStr"/>
      <c r="E799" t="inlineStr">
        <is>
          <t>LA</t>
        </is>
      </c>
      <c r="F799" t="inlineStr"/>
      <c r="G799" s="126" t="inlineStr"/>
      <c r="H799" s="125" t="n">
        <v>46128</v>
      </c>
      <c r="I799" t="inlineStr"/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N799" t="inlineStr"/>
      <c r="O799" t="inlineStr"/>
      <c r="P799" t="inlineStr"/>
      <c r="Q799" s="112" t="n">
        <v>0</v>
      </c>
      <c r="R799" s="112" t="n">
        <v>1829.53</v>
      </c>
      <c r="S799" s="112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D800" t="inlineStr"/>
      <c r="E800" t="inlineStr">
        <is>
          <t>LA</t>
        </is>
      </c>
      <c r="F800" t="inlineStr"/>
      <c r="G800" s="126" t="inlineStr"/>
      <c r="H800" s="125" t="n">
        <v>46149</v>
      </c>
      <c r="I800" t="inlineStr"/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N800" t="inlineStr"/>
      <c r="O800" t="inlineStr"/>
      <c r="P800" t="inlineStr"/>
      <c r="Q800" s="112" t="n">
        <v>0</v>
      </c>
      <c r="R800" s="112" t="n">
        <v>1960</v>
      </c>
      <c r="S800" s="112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D801" t="inlineStr"/>
      <c r="E801" t="inlineStr">
        <is>
          <t>LA</t>
        </is>
      </c>
      <c r="F801" t="inlineStr"/>
      <c r="G801" s="126" t="inlineStr"/>
      <c r="H801" s="125" t="n">
        <v>46135</v>
      </c>
      <c r="I801" t="inlineStr"/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N801" t="inlineStr"/>
      <c r="O801" t="inlineStr"/>
      <c r="P801" t="inlineStr"/>
      <c r="Q801" s="112" t="n">
        <v>0</v>
      </c>
      <c r="R801" s="112" t="n">
        <v>567.35</v>
      </c>
      <c r="S801" s="112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D802" t="inlineStr"/>
      <c r="E802" t="inlineStr">
        <is>
          <t>LA</t>
        </is>
      </c>
      <c r="F802" t="inlineStr"/>
      <c r="G802" s="126" t="inlineStr"/>
      <c r="H802" s="125" t="n">
        <v>46135</v>
      </c>
      <c r="I802" t="inlineStr"/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N802" t="inlineStr"/>
      <c r="O802" t="inlineStr"/>
      <c r="P802" t="inlineStr"/>
      <c r="Q802" s="112" t="n">
        <v>0</v>
      </c>
      <c r="R802" s="112" t="n">
        <v>567.34</v>
      </c>
      <c r="S802" s="112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D803" t="inlineStr"/>
      <c r="E803" t="inlineStr">
        <is>
          <t>LA</t>
        </is>
      </c>
      <c r="F803" t="inlineStr"/>
      <c r="G803" s="126" t="inlineStr"/>
      <c r="H803" s="125" t="n">
        <v>46135</v>
      </c>
      <c r="I803" t="inlineStr"/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N803" t="inlineStr"/>
      <c r="O803" t="inlineStr"/>
      <c r="P803" t="inlineStr"/>
      <c r="Q803" s="112" t="n">
        <v>0</v>
      </c>
      <c r="R803" s="112" t="n">
        <v>2091.34</v>
      </c>
      <c r="S803" s="112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D804" t="inlineStr"/>
      <c r="E804" t="inlineStr">
        <is>
          <t>LA</t>
        </is>
      </c>
      <c r="F804" t="inlineStr"/>
      <c r="G804" s="126" t="inlineStr"/>
      <c r="H804" s="125" t="n">
        <v>46135</v>
      </c>
      <c r="I804" t="inlineStr"/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N804" t="inlineStr"/>
      <c r="O804" t="inlineStr"/>
      <c r="P804" t="inlineStr"/>
      <c r="Q804" s="112" t="n">
        <v>0</v>
      </c>
      <c r="R804" s="112" t="n">
        <v>1693.79</v>
      </c>
      <c r="S804" s="112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D805" t="inlineStr"/>
      <c r="E805" t="inlineStr">
        <is>
          <t>LA</t>
        </is>
      </c>
      <c r="F805" t="inlineStr"/>
      <c r="G805" s="126" t="inlineStr"/>
      <c r="H805" s="125" t="n">
        <v>46135</v>
      </c>
      <c r="I805" t="inlineStr"/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N805" t="inlineStr"/>
      <c r="O805" t="inlineStr"/>
      <c r="P805" t="inlineStr"/>
      <c r="Q805" s="112" t="n">
        <v>0</v>
      </c>
      <c r="R805" s="112" t="n">
        <v>1693.79</v>
      </c>
      <c r="S805" s="112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D806" t="inlineStr"/>
      <c r="E806" t="inlineStr">
        <is>
          <t>LA</t>
        </is>
      </c>
      <c r="F806" t="inlineStr"/>
      <c r="G806" s="126" t="inlineStr"/>
      <c r="H806" s="125" t="n">
        <v>46135</v>
      </c>
      <c r="I806" t="inlineStr"/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N806" t="inlineStr"/>
      <c r="O806" t="inlineStr"/>
      <c r="P806" t="inlineStr"/>
      <c r="Q806" s="112" t="n">
        <v>0</v>
      </c>
      <c r="R806" s="112" t="n">
        <v>1693.8</v>
      </c>
      <c r="S806" s="112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D807" t="inlineStr"/>
      <c r="E807" t="inlineStr">
        <is>
          <t>LA</t>
        </is>
      </c>
      <c r="F807" t="inlineStr"/>
      <c r="G807" s="126" t="inlineStr"/>
      <c r="H807" s="125" t="n">
        <v>46135</v>
      </c>
      <c r="I807" t="inlineStr"/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N807" t="inlineStr"/>
      <c r="O807" t="inlineStr"/>
      <c r="P807" t="inlineStr"/>
      <c r="Q807" s="112" t="n">
        <v>0</v>
      </c>
      <c r="R807" s="112" t="n">
        <v>889.84</v>
      </c>
      <c r="S807" s="112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D808" t="inlineStr"/>
      <c r="E808" t="inlineStr">
        <is>
          <t>LA</t>
        </is>
      </c>
      <c r="F808" t="inlineStr"/>
      <c r="G808" s="126" t="inlineStr"/>
      <c r="H808" s="125" t="n">
        <v>46139</v>
      </c>
      <c r="I808" t="inlineStr"/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N808" t="inlineStr"/>
      <c r="O808" t="inlineStr"/>
      <c r="P808" t="inlineStr"/>
      <c r="Q808" s="112" t="n">
        <v>0</v>
      </c>
      <c r="R808" s="112" t="n">
        <v>12216.65</v>
      </c>
      <c r="S808" s="112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D809" t="inlineStr"/>
      <c r="E809" t="inlineStr">
        <is>
          <t>LA</t>
        </is>
      </c>
      <c r="F809" t="inlineStr"/>
      <c r="G809" s="126" t="inlineStr"/>
      <c r="H809" s="125" t="n">
        <v>46139</v>
      </c>
      <c r="I809" t="inlineStr"/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N809" t="inlineStr"/>
      <c r="O809" t="inlineStr"/>
      <c r="P809" t="inlineStr"/>
      <c r="Q809" s="112" t="n">
        <v>0</v>
      </c>
      <c r="R809" s="112" t="n">
        <v>9744.51</v>
      </c>
      <c r="S809" s="112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D810" t="inlineStr"/>
      <c r="E810" t="inlineStr">
        <is>
          <t>LA</t>
        </is>
      </c>
      <c r="F810" t="inlineStr"/>
      <c r="G810" s="126" t="inlineStr"/>
      <c r="H810" s="125" t="n">
        <v>46139</v>
      </c>
      <c r="I810" t="inlineStr"/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N810" t="inlineStr"/>
      <c r="O810" t="inlineStr"/>
      <c r="P810" t="inlineStr"/>
      <c r="Q810" s="112" t="n">
        <v>0</v>
      </c>
      <c r="R810" s="112" t="n">
        <v>7867.8</v>
      </c>
      <c r="S810" s="112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D811" t="inlineStr"/>
      <c r="E811" t="inlineStr">
        <is>
          <t>LA</t>
        </is>
      </c>
      <c r="F811" t="inlineStr"/>
      <c r="G811" s="126" t="inlineStr"/>
      <c r="H811" s="125" t="n">
        <v>46139</v>
      </c>
      <c r="I811" t="inlineStr"/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N811" t="inlineStr"/>
      <c r="O811" t="inlineStr"/>
      <c r="P811" t="inlineStr"/>
      <c r="Q811" s="112" t="n">
        <v>0</v>
      </c>
      <c r="R811" s="112" t="n">
        <v>1483.04</v>
      </c>
      <c r="S811" s="112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D812" t="inlineStr"/>
      <c r="E812" t="inlineStr">
        <is>
          <t>LA</t>
        </is>
      </c>
      <c r="F812" t="inlineStr"/>
      <c r="G812" s="126" t="inlineStr"/>
      <c r="H812" s="125" t="n">
        <v>46139</v>
      </c>
      <c r="I812" t="inlineStr"/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N812" t="inlineStr"/>
      <c r="O812" t="inlineStr"/>
      <c r="P812" t="inlineStr"/>
      <c r="Q812" s="112" t="n">
        <v>0</v>
      </c>
      <c r="R812" s="112" t="n">
        <v>12848.76</v>
      </c>
      <c r="S812" s="112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D813" t="inlineStr"/>
      <c r="E813" t="inlineStr">
        <is>
          <t>LA</t>
        </is>
      </c>
      <c r="F813" t="inlineStr"/>
      <c r="G813" s="126" t="inlineStr"/>
      <c r="H813" s="125" t="n">
        <v>46139</v>
      </c>
      <c r="I813" t="inlineStr"/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N813" t="inlineStr"/>
      <c r="O813" t="inlineStr"/>
      <c r="P813" t="inlineStr"/>
      <c r="Q813" s="112" t="n">
        <v>0</v>
      </c>
      <c r="R813" s="112" t="n">
        <v>15817.78</v>
      </c>
      <c r="S813" s="112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D814" t="inlineStr"/>
      <c r="E814" t="inlineStr">
        <is>
          <t>LA</t>
        </is>
      </c>
      <c r="F814" t="inlineStr"/>
      <c r="G814" s="126" t="inlineStr"/>
      <c r="H814" s="125" t="n">
        <v>46139</v>
      </c>
      <c r="I814" t="inlineStr"/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N814" t="inlineStr"/>
      <c r="O814" t="inlineStr"/>
      <c r="P814" t="inlineStr"/>
      <c r="Q814" s="112" t="n">
        <v>0</v>
      </c>
      <c r="R814" s="112" t="n">
        <v>13721.68</v>
      </c>
      <c r="S814" s="112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D815" t="inlineStr"/>
      <c r="E815" t="inlineStr">
        <is>
          <t>LA</t>
        </is>
      </c>
      <c r="F815" t="inlineStr"/>
      <c r="G815" s="126" t="inlineStr"/>
      <c r="H815" s="125" t="n">
        <v>46139</v>
      </c>
      <c r="I815" t="inlineStr"/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N815" t="inlineStr"/>
      <c r="O815" t="inlineStr"/>
      <c r="P815" t="inlineStr"/>
      <c r="Q815" s="112" t="n">
        <v>0</v>
      </c>
      <c r="R815" s="112" t="n">
        <v>11199.78</v>
      </c>
      <c r="S815" s="112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D816" t="inlineStr"/>
      <c r="E816" t="inlineStr">
        <is>
          <t>LA</t>
        </is>
      </c>
      <c r="F816" t="inlineStr"/>
      <c r="G816" s="126" t="inlineStr"/>
      <c r="H816" s="125" t="n">
        <v>46139</v>
      </c>
      <c r="I816" t="inlineStr"/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N816" t="inlineStr"/>
      <c r="O816" t="inlineStr"/>
      <c r="P816" t="inlineStr"/>
      <c r="Q816" s="112" t="n">
        <v>0</v>
      </c>
      <c r="R816" s="112" t="n">
        <v>2845.54</v>
      </c>
      <c r="S816" s="112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D817" t="inlineStr"/>
      <c r="E817" t="inlineStr">
        <is>
          <t>LA</t>
        </is>
      </c>
      <c r="F817" t="inlineStr"/>
      <c r="G817" s="126" t="inlineStr"/>
      <c r="H817" s="125" t="n">
        <v>46139</v>
      </c>
      <c r="I817" t="inlineStr"/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N817" t="inlineStr"/>
      <c r="O817" t="inlineStr"/>
      <c r="P817" t="inlineStr"/>
      <c r="Q817" s="112" t="n">
        <v>0</v>
      </c>
      <c r="R817" s="112" t="n">
        <v>11721.96</v>
      </c>
      <c r="S817" s="112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D818" t="inlineStr"/>
      <c r="E818" t="inlineStr">
        <is>
          <t>LA</t>
        </is>
      </c>
      <c r="F818" t="inlineStr"/>
      <c r="G818" s="126" t="inlineStr"/>
      <c r="H818" s="125" t="n">
        <v>46139</v>
      </c>
      <c r="I818" t="inlineStr"/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N818" t="inlineStr"/>
      <c r="O818" t="inlineStr"/>
      <c r="P818" t="inlineStr"/>
      <c r="Q818" s="112" t="n">
        <v>0</v>
      </c>
      <c r="R818" s="112" t="n">
        <v>12390.3</v>
      </c>
      <c r="S818" s="112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D819" t="inlineStr"/>
      <c r="E819" t="inlineStr">
        <is>
          <t>LA</t>
        </is>
      </c>
      <c r="F819" t="inlineStr"/>
      <c r="G819" s="126" t="inlineStr"/>
      <c r="H819" s="125" t="n">
        <v>46139</v>
      </c>
      <c r="I819" t="inlineStr"/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N819" t="inlineStr"/>
      <c r="O819" t="inlineStr"/>
      <c r="P819" t="inlineStr"/>
      <c r="Q819" s="112" t="n">
        <v>0</v>
      </c>
      <c r="R819" s="112" t="n">
        <v>14547.78</v>
      </c>
      <c r="S819" s="112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D820" t="inlineStr"/>
      <c r="E820" t="inlineStr">
        <is>
          <t>LA</t>
        </is>
      </c>
      <c r="F820" t="inlineStr"/>
      <c r="G820" s="126" t="inlineStr"/>
      <c r="H820" s="125" t="n">
        <v>46139</v>
      </c>
      <c r="I820" t="inlineStr"/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N820" t="inlineStr"/>
      <c r="O820" t="inlineStr"/>
      <c r="P820" t="inlineStr"/>
      <c r="Q820" s="112" t="n">
        <v>0</v>
      </c>
      <c r="R820" s="112" t="n">
        <v>389.75</v>
      </c>
      <c r="S820" s="112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D821" t="inlineStr"/>
      <c r="E821" t="inlineStr">
        <is>
          <t>LA</t>
        </is>
      </c>
      <c r="F821" t="inlineStr"/>
      <c r="G821" s="126" t="inlineStr"/>
      <c r="H821" s="125" t="n">
        <v>46142</v>
      </c>
      <c r="I821" t="inlineStr"/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N821" t="inlineStr"/>
      <c r="O821" t="inlineStr"/>
      <c r="P821" t="inlineStr"/>
      <c r="Q821" s="112" t="n">
        <v>0</v>
      </c>
      <c r="R821" s="112" t="n">
        <v>2907.32</v>
      </c>
      <c r="S821" s="112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D822" t="inlineStr"/>
      <c r="E822" t="inlineStr">
        <is>
          <t>LA</t>
        </is>
      </c>
      <c r="F822" t="inlineStr"/>
      <c r="G822" s="126" t="inlineStr"/>
      <c r="H822" s="125" t="n">
        <v>46142</v>
      </c>
      <c r="I822" t="inlineStr"/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N822" t="inlineStr"/>
      <c r="O822" t="inlineStr"/>
      <c r="P822" t="inlineStr"/>
      <c r="Q822" s="112" t="n">
        <v>0</v>
      </c>
      <c r="R822" s="112" t="n">
        <v>2907.32</v>
      </c>
      <c r="S822" s="112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D823" t="inlineStr"/>
      <c r="E823" t="inlineStr">
        <is>
          <t>LA</t>
        </is>
      </c>
      <c r="F823" t="inlineStr"/>
      <c r="G823" s="126" t="inlineStr"/>
      <c r="H823" s="125" t="n">
        <v>46142</v>
      </c>
      <c r="I823" t="inlineStr"/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N823" t="inlineStr"/>
      <c r="O823" t="inlineStr"/>
      <c r="P823" t="inlineStr"/>
      <c r="Q823" s="112" t="n">
        <v>0</v>
      </c>
      <c r="R823" s="112" t="n">
        <v>2907.32</v>
      </c>
      <c r="S823" s="112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D824" t="inlineStr"/>
      <c r="E824" t="inlineStr">
        <is>
          <t>LA</t>
        </is>
      </c>
      <c r="F824" t="inlineStr"/>
      <c r="G824" s="126" t="inlineStr"/>
      <c r="H824" s="125" t="n">
        <v>46142</v>
      </c>
      <c r="I824" t="inlineStr"/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N824" t="inlineStr"/>
      <c r="O824" t="inlineStr"/>
      <c r="P824" t="inlineStr"/>
      <c r="Q824" s="112" t="n">
        <v>0</v>
      </c>
      <c r="R824" s="112" t="n">
        <v>1257.63</v>
      </c>
      <c r="S824" s="112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D825" t="inlineStr"/>
      <c r="E825" t="inlineStr">
        <is>
          <t>LA</t>
        </is>
      </c>
      <c r="F825" t="inlineStr"/>
      <c r="G825" s="126" t="inlineStr"/>
      <c r="H825" s="125" t="n">
        <v>46142</v>
      </c>
      <c r="I825" t="inlineStr"/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N825" t="inlineStr"/>
      <c r="O825" t="inlineStr"/>
      <c r="P825" t="inlineStr"/>
      <c r="Q825" s="112" t="n">
        <v>0</v>
      </c>
      <c r="R825" s="112" t="n">
        <v>2520.67</v>
      </c>
      <c r="S825" s="112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D826" t="inlineStr"/>
      <c r="E826" t="inlineStr">
        <is>
          <t>LA</t>
        </is>
      </c>
      <c r="F826" t="inlineStr"/>
      <c r="G826" s="126" t="inlineStr"/>
      <c r="H826" s="125" t="n">
        <v>46142</v>
      </c>
      <c r="I826" t="inlineStr"/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N826" t="inlineStr"/>
      <c r="O826" t="inlineStr"/>
      <c r="P826" t="inlineStr"/>
      <c r="Q826" s="112" t="n">
        <v>0</v>
      </c>
      <c r="R826" s="112" t="n">
        <v>2029.99</v>
      </c>
      <c r="S826" s="112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D827" t="inlineStr"/>
      <c r="E827" t="inlineStr">
        <is>
          <t>LA</t>
        </is>
      </c>
      <c r="F827" t="inlineStr"/>
      <c r="G827" s="126" t="inlineStr"/>
      <c r="H827" s="125" t="n">
        <v>46150</v>
      </c>
      <c r="I827" t="inlineStr"/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N827" t="inlineStr"/>
      <c r="O827" t="inlineStr"/>
      <c r="P827" t="inlineStr"/>
      <c r="Q827" s="112" t="n">
        <v>0</v>
      </c>
      <c r="R827" s="112" t="n">
        <v>647.3</v>
      </c>
      <c r="S827" s="112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D828" t="inlineStr"/>
      <c r="E828" t="inlineStr">
        <is>
          <t>LA</t>
        </is>
      </c>
      <c r="F828" t="inlineStr"/>
      <c r="G828" s="126" t="inlineStr"/>
      <c r="H828" s="125" t="n">
        <v>46150</v>
      </c>
      <c r="I828" t="inlineStr"/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N828" t="inlineStr"/>
      <c r="O828" t="inlineStr"/>
      <c r="P828" t="inlineStr"/>
      <c r="Q828" s="112" t="n">
        <v>0</v>
      </c>
      <c r="R828" s="112" t="n">
        <v>889.84</v>
      </c>
      <c r="S828" s="112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D829" t="inlineStr"/>
      <c r="E829" t="inlineStr">
        <is>
          <t>LA</t>
        </is>
      </c>
      <c r="F829" t="inlineStr"/>
      <c r="G829" s="126" t="inlineStr"/>
      <c r="H829" s="125" t="n">
        <v>46150</v>
      </c>
      <c r="I829" t="inlineStr"/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N829" t="inlineStr"/>
      <c r="O829" t="inlineStr"/>
      <c r="P829" t="inlineStr"/>
      <c r="Q829" s="112" t="n">
        <v>0</v>
      </c>
      <c r="R829" s="112" t="n">
        <v>13092.02</v>
      </c>
      <c r="S829" s="112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D830" t="inlineStr"/>
      <c r="E830" t="inlineStr">
        <is>
          <t>LA</t>
        </is>
      </c>
      <c r="F830" t="inlineStr"/>
      <c r="G830" s="126" t="inlineStr"/>
      <c r="H830" s="125" t="n">
        <v>46150</v>
      </c>
      <c r="I830" t="inlineStr"/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N830" t="inlineStr"/>
      <c r="O830" t="inlineStr"/>
      <c r="P830" t="inlineStr"/>
      <c r="Q830" s="112" t="n">
        <v>0</v>
      </c>
      <c r="R830" s="112" t="n">
        <v>3928.43</v>
      </c>
      <c r="S830" s="112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D831" t="inlineStr"/>
      <c r="E831" t="inlineStr">
        <is>
          <t>LA</t>
        </is>
      </c>
      <c r="F831" t="inlineStr"/>
      <c r="G831" s="126" t="inlineStr"/>
      <c r="H831" s="125" t="n">
        <v>46150</v>
      </c>
      <c r="I831" t="inlineStr"/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N831" t="inlineStr"/>
      <c r="O831" t="inlineStr"/>
      <c r="P831" t="inlineStr"/>
      <c r="Q831" s="112" t="n">
        <v>0</v>
      </c>
      <c r="R831" s="112" t="n">
        <v>1460.45</v>
      </c>
      <c r="S831" s="112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D832" t="inlineStr"/>
      <c r="E832" t="inlineStr">
        <is>
          <t>LA</t>
        </is>
      </c>
      <c r="F832" t="inlineStr"/>
      <c r="G832" s="126" t="inlineStr"/>
      <c r="H832" s="125" t="n">
        <v>46150</v>
      </c>
      <c r="I832" t="inlineStr"/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N832" t="inlineStr"/>
      <c r="O832" t="inlineStr"/>
      <c r="P832" t="inlineStr"/>
      <c r="Q832" s="112" t="n">
        <v>0</v>
      </c>
      <c r="R832" s="112" t="n">
        <v>2184.8</v>
      </c>
      <c r="S832" s="112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D833" t="inlineStr"/>
      <c r="E833" t="inlineStr">
        <is>
          <t>LA</t>
        </is>
      </c>
      <c r="F833" t="inlineStr"/>
      <c r="G833" s="126" t="inlineStr"/>
      <c r="H833" s="125" t="n">
        <v>46150</v>
      </c>
      <c r="I833" t="inlineStr"/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N833" t="inlineStr"/>
      <c r="O833" t="inlineStr"/>
      <c r="P833" t="inlineStr"/>
      <c r="Q833" s="112" t="n">
        <v>0</v>
      </c>
      <c r="R833" s="112" t="n">
        <v>2935.8</v>
      </c>
      <c r="S833" s="112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D834" t="inlineStr"/>
      <c r="E834" t="inlineStr">
        <is>
          <t>LA</t>
        </is>
      </c>
      <c r="F834" t="inlineStr"/>
      <c r="G834" s="126" t="inlineStr"/>
      <c r="H834" s="125" t="n">
        <v>46150</v>
      </c>
      <c r="I834" t="inlineStr"/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N834" t="inlineStr"/>
      <c r="O834" t="inlineStr"/>
      <c r="P834" t="inlineStr"/>
      <c r="Q834" s="112" t="n">
        <v>0</v>
      </c>
      <c r="R834" s="112" t="n">
        <v>3291.21</v>
      </c>
      <c r="S834" s="112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D835" t="inlineStr"/>
      <c r="E835" t="inlineStr">
        <is>
          <t>LA</t>
        </is>
      </c>
      <c r="F835" t="inlineStr"/>
      <c r="G835" s="126" t="inlineStr"/>
      <c r="H835" s="125" t="n">
        <v>46150</v>
      </c>
      <c r="I835" t="inlineStr"/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N835" t="inlineStr"/>
      <c r="O835" t="inlineStr"/>
      <c r="P835" t="inlineStr"/>
      <c r="Q835" s="112" t="n">
        <v>0</v>
      </c>
      <c r="R835" s="112" t="n">
        <v>780.3099999999999</v>
      </c>
      <c r="S835" s="112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D836" t="inlineStr"/>
      <c r="E836" t="inlineStr">
        <is>
          <t>LA</t>
        </is>
      </c>
      <c r="F836" t="inlineStr"/>
      <c r="G836" s="126" t="inlineStr"/>
      <c r="H836" s="125" t="n">
        <v>46150</v>
      </c>
      <c r="I836" t="inlineStr"/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N836" t="inlineStr"/>
      <c r="O836" t="inlineStr"/>
      <c r="P836" t="inlineStr"/>
      <c r="Q836" s="112" t="n">
        <v>0</v>
      </c>
      <c r="R836" s="112" t="n">
        <v>2287.4</v>
      </c>
      <c r="S836" s="112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D837" t="inlineStr"/>
      <c r="E837" t="inlineStr">
        <is>
          <t>LA</t>
        </is>
      </c>
      <c r="F837" t="inlineStr"/>
      <c r="G837" s="126" t="inlineStr"/>
      <c r="H837" s="125" t="n">
        <v>46149</v>
      </c>
      <c r="I837" t="inlineStr"/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N837" t="inlineStr"/>
      <c r="O837" t="inlineStr"/>
      <c r="P837" t="inlineStr"/>
      <c r="Q837" s="112" t="n">
        <v>0</v>
      </c>
      <c r="R837" s="112" t="n">
        <v>1661.09</v>
      </c>
      <c r="S837" s="112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D838" t="inlineStr"/>
      <c r="E838" t="inlineStr">
        <is>
          <t>LA</t>
        </is>
      </c>
      <c r="F838" t="inlineStr"/>
      <c r="G838" s="126" t="inlineStr"/>
      <c r="H838" s="125" t="n">
        <v>46149</v>
      </c>
      <c r="I838" t="inlineStr"/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N838" t="inlineStr"/>
      <c r="O838" t="inlineStr"/>
      <c r="P838" t="inlineStr"/>
      <c r="Q838" s="112" t="n">
        <v>0</v>
      </c>
      <c r="R838" s="112" t="n">
        <v>1996.78</v>
      </c>
      <c r="S838" s="112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D839" t="inlineStr"/>
      <c r="E839" t="inlineStr">
        <is>
          <t>LA</t>
        </is>
      </c>
      <c r="F839" t="inlineStr"/>
      <c r="G839" s="126" t="inlineStr"/>
      <c r="H839" s="125" t="n">
        <v>46149</v>
      </c>
      <c r="I839" t="inlineStr"/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N839" t="inlineStr"/>
      <c r="O839" t="inlineStr"/>
      <c r="P839" t="inlineStr"/>
      <c r="Q839" s="112" t="n">
        <v>0</v>
      </c>
      <c r="R839" s="112" t="n">
        <v>3691.3</v>
      </c>
      <c r="S839" s="112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D840" t="inlineStr"/>
      <c r="E840" t="inlineStr">
        <is>
          <t>LA</t>
        </is>
      </c>
      <c r="F840" t="inlineStr"/>
      <c r="G840" s="126" t="inlineStr"/>
      <c r="H840" s="125" t="n">
        <v>46149</v>
      </c>
      <c r="I840" t="inlineStr"/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N840" t="inlineStr"/>
      <c r="O840" t="inlineStr"/>
      <c r="P840" t="inlineStr"/>
      <c r="Q840" s="112" t="n">
        <v>0</v>
      </c>
      <c r="R840" s="112" t="n">
        <v>3100.85</v>
      </c>
      <c r="S840" s="112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D841" t="inlineStr"/>
      <c r="E841" t="inlineStr">
        <is>
          <t>LA</t>
        </is>
      </c>
      <c r="F841" t="inlineStr"/>
      <c r="G841" s="126" t="inlineStr"/>
      <c r="H841" s="125" t="n">
        <v>46149</v>
      </c>
      <c r="I841" t="inlineStr"/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N841" t="inlineStr"/>
      <c r="O841" t="inlineStr"/>
      <c r="P841" t="inlineStr"/>
      <c r="Q841" s="112" t="n">
        <v>0</v>
      </c>
      <c r="R841" s="112" t="n">
        <v>3100.85</v>
      </c>
      <c r="S841" s="112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D842" t="inlineStr"/>
      <c r="E842" t="inlineStr">
        <is>
          <t>LA</t>
        </is>
      </c>
      <c r="F842" t="inlineStr"/>
      <c r="G842" s="126" t="inlineStr"/>
      <c r="H842" s="125" t="n">
        <v>46149</v>
      </c>
      <c r="I842" t="inlineStr"/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N842" t="inlineStr"/>
      <c r="O842" t="inlineStr"/>
      <c r="P842" t="inlineStr"/>
      <c r="Q842" s="112" t="n">
        <v>0</v>
      </c>
      <c r="R842" s="112" t="n">
        <v>3099.04</v>
      </c>
      <c r="S842" s="112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D843" t="inlineStr"/>
      <c r="E843" t="inlineStr">
        <is>
          <t>LA</t>
        </is>
      </c>
      <c r="F843" t="inlineStr"/>
      <c r="G843" s="126" t="inlineStr"/>
      <c r="H843" s="125" t="n">
        <v>46149</v>
      </c>
      <c r="I843" t="inlineStr"/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N843" t="inlineStr"/>
      <c r="O843" t="inlineStr"/>
      <c r="P843" t="inlineStr"/>
      <c r="Q843" s="112" t="n">
        <v>0</v>
      </c>
      <c r="R843" s="112" t="n">
        <v>537.67</v>
      </c>
      <c r="S843" s="112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D844" t="inlineStr"/>
      <c r="E844" t="inlineStr">
        <is>
          <t>LA</t>
        </is>
      </c>
      <c r="F844" t="inlineStr"/>
      <c r="G844" s="126" t="inlineStr"/>
      <c r="H844" s="125" t="n">
        <v>46149</v>
      </c>
      <c r="I844" t="inlineStr"/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N844" t="inlineStr"/>
      <c r="O844" t="inlineStr"/>
      <c r="P844" t="inlineStr"/>
      <c r="Q844" s="112" t="n">
        <v>0</v>
      </c>
      <c r="R844" s="112" t="n">
        <v>2472</v>
      </c>
      <c r="S844" s="112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D845" t="inlineStr"/>
      <c r="E845" t="inlineStr">
        <is>
          <t>LA</t>
        </is>
      </c>
      <c r="F845" t="inlineStr"/>
      <c r="G845" s="126" t="inlineStr"/>
      <c r="H845" s="125" t="n">
        <v>46154</v>
      </c>
      <c r="I845" t="inlineStr"/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N845" t="inlineStr"/>
      <c r="O845" t="inlineStr"/>
      <c r="P845" t="inlineStr"/>
      <c r="Q845" s="112" t="n">
        <v>0</v>
      </c>
      <c r="R845" s="112" t="n">
        <v>12295.32</v>
      </c>
      <c r="S845" s="112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D846" t="inlineStr"/>
      <c r="E846" t="inlineStr">
        <is>
          <t>LA</t>
        </is>
      </c>
      <c r="F846" t="inlineStr"/>
      <c r="G846" s="126" t="inlineStr"/>
      <c r="H846" s="125" t="n">
        <v>46154</v>
      </c>
      <c r="I846" t="inlineStr"/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N846" t="inlineStr"/>
      <c r="O846" t="inlineStr"/>
      <c r="P846" t="inlineStr"/>
      <c r="Q846" s="112" t="n">
        <v>0</v>
      </c>
      <c r="R846" s="112" t="n">
        <v>14780.19</v>
      </c>
      <c r="S846" s="112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D847" t="inlineStr"/>
      <c r="E847" t="inlineStr">
        <is>
          <t>LA</t>
        </is>
      </c>
      <c r="F847" t="inlineStr"/>
      <c r="G847" s="126" t="inlineStr"/>
      <c r="H847" s="125" t="n">
        <v>46154</v>
      </c>
      <c r="I847" t="inlineStr"/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N847" t="inlineStr"/>
      <c r="O847" t="inlineStr"/>
      <c r="P847" t="inlineStr"/>
      <c r="Q847" s="112" t="n">
        <v>0</v>
      </c>
      <c r="R847" s="112" t="n">
        <v>14017.36</v>
      </c>
      <c r="S847" s="112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D848" t="inlineStr"/>
      <c r="E848" t="inlineStr">
        <is>
          <t>LA</t>
        </is>
      </c>
      <c r="F848" t="inlineStr"/>
      <c r="G848" s="126" t="inlineStr"/>
      <c r="H848" s="125" t="n">
        <v>46154</v>
      </c>
      <c r="I848" t="inlineStr"/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N848" t="inlineStr"/>
      <c r="O848" t="inlineStr"/>
      <c r="P848" t="inlineStr"/>
      <c r="Q848" s="112" t="n">
        <v>0</v>
      </c>
      <c r="R848" s="112" t="n">
        <v>14451.45</v>
      </c>
      <c r="S848" s="112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D849" t="inlineStr"/>
      <c r="E849" t="inlineStr">
        <is>
          <t>LA</t>
        </is>
      </c>
      <c r="F849" t="inlineStr"/>
      <c r="G849" s="126" t="inlineStr"/>
      <c r="H849" s="125" t="n">
        <v>46154</v>
      </c>
      <c r="I849" t="inlineStr"/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N849" t="inlineStr"/>
      <c r="O849" t="inlineStr"/>
      <c r="P849" t="inlineStr"/>
      <c r="Q849" s="112" t="n">
        <v>0</v>
      </c>
      <c r="R849" s="112" t="n">
        <v>2057.1</v>
      </c>
      <c r="S849" s="112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D850" t="inlineStr"/>
      <c r="E850" t="inlineStr">
        <is>
          <t>LA</t>
        </is>
      </c>
      <c r="F850" t="inlineStr"/>
      <c r="G850" s="126" t="inlineStr"/>
      <c r="H850" s="125" t="n">
        <v>46154</v>
      </c>
      <c r="I850" t="inlineStr"/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N850" t="inlineStr"/>
      <c r="O850" t="inlineStr"/>
      <c r="P850" t="inlineStr"/>
      <c r="Q850" s="112" t="n">
        <v>0</v>
      </c>
      <c r="R850" s="112" t="n">
        <v>8948.969999999999</v>
      </c>
      <c r="S850" s="112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D851" t="inlineStr"/>
      <c r="E851" t="inlineStr">
        <is>
          <t>LA</t>
        </is>
      </c>
      <c r="F851" t="inlineStr"/>
      <c r="G851" s="126" t="inlineStr"/>
      <c r="H851" s="125" t="n">
        <v>46154</v>
      </c>
      <c r="I851" t="inlineStr"/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N851" t="inlineStr"/>
      <c r="O851" t="inlineStr"/>
      <c r="P851" t="inlineStr"/>
      <c r="Q851" s="112" t="n">
        <v>0</v>
      </c>
      <c r="R851" s="112" t="n">
        <v>11479.65</v>
      </c>
      <c r="S851" s="112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D852" t="inlineStr"/>
      <c r="E852" t="inlineStr">
        <is>
          <t>LA</t>
        </is>
      </c>
      <c r="F852" t="inlineStr"/>
      <c r="G852" s="126" t="inlineStr"/>
      <c r="H852" s="125" t="n">
        <v>46154</v>
      </c>
      <c r="I852" t="inlineStr"/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N852" t="inlineStr"/>
      <c r="O852" t="inlineStr"/>
      <c r="P852" t="inlineStr"/>
      <c r="Q852" s="112" t="n">
        <v>0</v>
      </c>
      <c r="R852" s="112" t="n">
        <v>9619.77</v>
      </c>
      <c r="S852" s="112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D853" t="inlineStr"/>
      <c r="E853" t="inlineStr">
        <is>
          <t>LA</t>
        </is>
      </c>
      <c r="F853" t="inlineStr"/>
      <c r="G853" s="126" t="inlineStr"/>
      <c r="H853" s="125" t="n">
        <v>46154</v>
      </c>
      <c r="I853" t="inlineStr"/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N853" t="inlineStr"/>
      <c r="O853" t="inlineStr"/>
      <c r="P853" t="inlineStr"/>
      <c r="Q853" s="112" t="n">
        <v>0</v>
      </c>
      <c r="R853" s="112" t="n">
        <v>9598.190000000001</v>
      </c>
      <c r="S853" s="112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D854" t="inlineStr"/>
      <c r="E854" t="inlineStr">
        <is>
          <t>LA</t>
        </is>
      </c>
      <c r="F854" t="inlineStr"/>
      <c r="G854" s="126" t="inlineStr"/>
      <c r="H854" s="125" t="n">
        <v>46154</v>
      </c>
      <c r="I854" t="inlineStr"/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N854" t="inlineStr"/>
      <c r="O854" t="inlineStr"/>
      <c r="P854" t="inlineStr"/>
      <c r="Q854" s="112" t="n">
        <v>0</v>
      </c>
      <c r="R854" s="112" t="n">
        <v>981.22</v>
      </c>
      <c r="S854" s="112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D855" t="inlineStr"/>
      <c r="E855" t="inlineStr">
        <is>
          <t>LA</t>
        </is>
      </c>
      <c r="F855" t="inlineStr"/>
      <c r="G855" s="126" t="inlineStr"/>
      <c r="H855" s="125" t="n">
        <v>46154</v>
      </c>
      <c r="I855" t="inlineStr"/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N855" t="inlineStr"/>
      <c r="O855" t="inlineStr"/>
      <c r="P855" t="inlineStr"/>
      <c r="Q855" s="112" t="n">
        <v>0</v>
      </c>
      <c r="R855" s="112" t="n">
        <v>758.02</v>
      </c>
      <c r="S855" s="112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D856" t="inlineStr"/>
      <c r="E856" t="inlineStr">
        <is>
          <t>LA</t>
        </is>
      </c>
      <c r="F856" t="inlineStr"/>
      <c r="G856" s="126" t="inlineStr"/>
      <c r="H856" s="125" t="n">
        <v>46154</v>
      </c>
      <c r="I856" t="inlineStr"/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N856" t="inlineStr"/>
      <c r="O856" t="inlineStr"/>
      <c r="P856" t="inlineStr"/>
      <c r="Q856" s="112" t="n">
        <v>0</v>
      </c>
      <c r="R856" s="112" t="n">
        <v>9509.77</v>
      </c>
      <c r="S856" s="112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D857" t="inlineStr"/>
      <c r="E857" t="inlineStr">
        <is>
          <t>LA</t>
        </is>
      </c>
      <c r="F857" t="inlineStr"/>
      <c r="G857" s="126" t="inlineStr"/>
      <c r="H857" s="125" t="n">
        <v>46154</v>
      </c>
      <c r="I857" t="inlineStr"/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N857" t="inlineStr"/>
      <c r="O857" t="inlineStr"/>
      <c r="P857" t="inlineStr"/>
      <c r="Q857" s="112" t="n">
        <v>0</v>
      </c>
      <c r="R857" s="112" t="n">
        <v>11195.87</v>
      </c>
      <c r="S857" s="112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D858" t="inlineStr"/>
      <c r="E858" t="inlineStr">
        <is>
          <t>LA</t>
        </is>
      </c>
      <c r="F858" t="inlineStr"/>
      <c r="G858" s="126" t="inlineStr"/>
      <c r="H858" s="125" t="n">
        <v>46156</v>
      </c>
      <c r="I858" t="inlineStr"/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N858" t="inlineStr"/>
      <c r="O858" t="inlineStr"/>
      <c r="P858" t="inlineStr"/>
      <c r="Q858" s="112" t="n">
        <v>0</v>
      </c>
      <c r="R858" s="112" t="n">
        <v>1618.18</v>
      </c>
      <c r="S858" s="112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D859" t="inlineStr"/>
      <c r="E859" t="inlineStr">
        <is>
          <t>LA</t>
        </is>
      </c>
      <c r="F859" t="inlineStr"/>
      <c r="G859" s="126" t="inlineStr"/>
      <c r="H859" s="125" t="n">
        <v>46156</v>
      </c>
      <c r="I859" t="inlineStr"/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N859" t="inlineStr"/>
      <c r="O859" t="inlineStr"/>
      <c r="P859" t="inlineStr"/>
      <c r="Q859" s="112" t="n">
        <v>0</v>
      </c>
      <c r="R859" s="112" t="n">
        <v>2265.74</v>
      </c>
      <c r="S859" s="112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D860" t="inlineStr"/>
      <c r="E860" t="inlineStr">
        <is>
          <t>LA</t>
        </is>
      </c>
      <c r="F860" t="inlineStr"/>
      <c r="G860" s="126" t="inlineStr"/>
      <c r="H860" s="125" t="n">
        <v>46156</v>
      </c>
      <c r="I860" t="inlineStr"/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N860" t="inlineStr"/>
      <c r="O860" t="inlineStr"/>
      <c r="P860" t="inlineStr"/>
      <c r="Q860" s="112" t="n">
        <v>0</v>
      </c>
      <c r="R860" s="112" t="n">
        <v>2885.32</v>
      </c>
      <c r="S860" s="112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D861" t="inlineStr"/>
      <c r="E861" t="inlineStr">
        <is>
          <t>LA</t>
        </is>
      </c>
      <c r="F861" t="inlineStr"/>
      <c r="G861" s="126" t="inlineStr"/>
      <c r="H861" s="125" t="n">
        <v>46156</v>
      </c>
      <c r="I861" t="inlineStr"/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N861" t="inlineStr"/>
      <c r="O861" t="inlineStr"/>
      <c r="P861" t="inlineStr"/>
      <c r="Q861" s="112" t="n">
        <v>0</v>
      </c>
      <c r="R861" s="112" t="n">
        <v>2323.02</v>
      </c>
      <c r="S861" s="112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D862" t="inlineStr"/>
      <c r="E862" t="inlineStr">
        <is>
          <t>LA</t>
        </is>
      </c>
      <c r="F862" t="inlineStr"/>
      <c r="G862" s="126" t="inlineStr"/>
      <c r="H862" s="125" t="n">
        <v>46156</v>
      </c>
      <c r="I862" t="inlineStr"/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N862" t="inlineStr"/>
      <c r="O862" t="inlineStr"/>
      <c r="P862" t="inlineStr"/>
      <c r="Q862" s="112" t="n">
        <v>0</v>
      </c>
      <c r="R862" s="112" t="n">
        <v>2323.02</v>
      </c>
      <c r="S862" s="112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D863" t="inlineStr"/>
      <c r="E863" t="inlineStr">
        <is>
          <t>LA</t>
        </is>
      </c>
      <c r="F863" t="inlineStr"/>
      <c r="G863" s="126" t="inlineStr"/>
      <c r="H863" s="125" t="n">
        <v>46156</v>
      </c>
      <c r="I863" t="inlineStr"/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N863" t="inlineStr"/>
      <c r="O863" t="inlineStr"/>
      <c r="P863" t="inlineStr"/>
      <c r="Q863" s="112" t="n">
        <v>0</v>
      </c>
      <c r="R863" s="112" t="n">
        <v>1717.32</v>
      </c>
      <c r="S863" s="112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D864" t="inlineStr"/>
      <c r="E864" t="inlineStr">
        <is>
          <t>LA</t>
        </is>
      </c>
      <c r="F864" t="inlineStr"/>
      <c r="G864" s="126" t="inlineStr"/>
      <c r="H864" s="125" t="n">
        <v>46156</v>
      </c>
      <c r="I864" t="inlineStr"/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N864" t="inlineStr"/>
      <c r="O864" t="inlineStr"/>
      <c r="P864" t="inlineStr"/>
      <c r="Q864" s="112" t="n">
        <v>0</v>
      </c>
      <c r="R864" s="112" t="n">
        <v>1717.35</v>
      </c>
      <c r="S864" s="112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D865" t="inlineStr"/>
      <c r="E865" t="inlineStr">
        <is>
          <t>LA</t>
        </is>
      </c>
      <c r="F865" t="inlineStr"/>
      <c r="G865" s="126" t="inlineStr"/>
      <c r="H865" s="125" t="n">
        <v>46156</v>
      </c>
      <c r="I865" t="inlineStr"/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N865" t="inlineStr"/>
      <c r="O865" t="inlineStr"/>
      <c r="P865" t="inlineStr"/>
      <c r="Q865" s="112" t="n">
        <v>0</v>
      </c>
      <c r="R865" s="112" t="n">
        <v>1281.63</v>
      </c>
      <c r="S865" s="112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D866" t="inlineStr"/>
      <c r="E866" t="inlineStr">
        <is>
          <t>LA</t>
        </is>
      </c>
      <c r="F866" t="inlineStr"/>
      <c r="G866" s="126" t="inlineStr"/>
      <c r="H866" s="125" t="n">
        <v>46163</v>
      </c>
      <c r="I866" t="inlineStr"/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N866" t="inlineStr"/>
      <c r="O866" t="inlineStr"/>
      <c r="P866" t="inlineStr"/>
      <c r="Q866" s="112" t="n">
        <v>0</v>
      </c>
      <c r="R866" s="112" t="n">
        <v>4908.84</v>
      </c>
      <c r="S866" s="112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D867" t="inlineStr"/>
      <c r="E867" t="inlineStr">
        <is>
          <t>LA</t>
        </is>
      </c>
      <c r="F867" t="inlineStr"/>
      <c r="G867" s="126" t="inlineStr"/>
      <c r="H867" s="125" t="n">
        <v>46163</v>
      </c>
      <c r="I867" t="inlineStr"/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N867" t="inlineStr"/>
      <c r="O867" t="inlineStr"/>
      <c r="P867" t="inlineStr"/>
      <c r="Q867" s="112" t="n">
        <v>0</v>
      </c>
      <c r="R867" s="112" t="n">
        <v>5625.37</v>
      </c>
      <c r="S867" s="112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D868" t="inlineStr"/>
      <c r="E868" t="inlineStr">
        <is>
          <t>LA</t>
        </is>
      </c>
      <c r="F868" t="inlineStr"/>
      <c r="G868" s="126" t="inlineStr"/>
      <c r="H868" s="125" t="n">
        <v>46163</v>
      </c>
      <c r="I868" t="inlineStr"/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N868" t="inlineStr"/>
      <c r="O868" t="inlineStr"/>
      <c r="P868" t="inlineStr"/>
      <c r="Q868" s="112" t="n">
        <v>0</v>
      </c>
      <c r="R868" s="112" t="n">
        <v>4120.3</v>
      </c>
      <c r="S868" s="112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D869" t="inlineStr"/>
      <c r="E869" t="inlineStr">
        <is>
          <t>LA</t>
        </is>
      </c>
      <c r="F869" t="inlineStr"/>
      <c r="G869" s="126" t="inlineStr"/>
      <c r="H869" s="125" t="n">
        <v>46163</v>
      </c>
      <c r="I869" t="inlineStr"/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N869" t="inlineStr"/>
      <c r="O869" t="inlineStr"/>
      <c r="P869" t="inlineStr"/>
      <c r="Q869" s="112" t="n">
        <v>0</v>
      </c>
      <c r="R869" s="112" t="n">
        <v>4699.86</v>
      </c>
      <c r="S869" s="112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D870" t="inlineStr"/>
      <c r="E870" t="inlineStr">
        <is>
          <t>LA</t>
        </is>
      </c>
      <c r="F870" t="inlineStr"/>
      <c r="G870" s="126" t="inlineStr"/>
      <c r="H870" s="125" t="n">
        <v>46163</v>
      </c>
      <c r="I870" t="inlineStr"/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N870" t="inlineStr"/>
      <c r="O870" t="inlineStr"/>
      <c r="P870" t="inlineStr"/>
      <c r="Q870" s="112" t="n">
        <v>0</v>
      </c>
      <c r="R870" s="112" t="n">
        <v>2813.49</v>
      </c>
      <c r="S870" s="112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D871" t="inlineStr"/>
      <c r="E871" t="inlineStr">
        <is>
          <t>LA</t>
        </is>
      </c>
      <c r="F871" t="inlineStr"/>
      <c r="G871" s="126" t="inlineStr"/>
      <c r="H871" s="125" t="n">
        <v>46163</v>
      </c>
      <c r="I871" t="inlineStr"/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N871" t="inlineStr"/>
      <c r="O871" t="inlineStr"/>
      <c r="P871" t="inlineStr"/>
      <c r="Q871" s="112" t="n">
        <v>0</v>
      </c>
      <c r="R871" s="112" t="n">
        <v>647.55</v>
      </c>
      <c r="S871" s="112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D872" t="inlineStr"/>
      <c r="E872" t="inlineStr">
        <is>
          <t>OC</t>
        </is>
      </c>
      <c r="F872" t="inlineStr"/>
      <c r="G872" s="126" t="inlineStr"/>
      <c r="H872" s="125" t="n">
        <v>45963</v>
      </c>
      <c r="I872" t="inlineStr"/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N872" t="inlineStr"/>
      <c r="O872" t="inlineStr">
        <is>
          <t>20542</t>
        </is>
      </c>
      <c r="P872" t="inlineStr">
        <is>
          <t>CORPORATE TRAVELER</t>
        </is>
      </c>
      <c r="Q872" s="112" t="n">
        <v>0</v>
      </c>
      <c r="R872" s="112" t="n">
        <v>609.99</v>
      </c>
      <c r="S872" s="112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D873" t="inlineStr"/>
      <c r="E873" t="inlineStr">
        <is>
          <t>OC</t>
        </is>
      </c>
      <c r="F873" t="inlineStr"/>
      <c r="G873" s="126" t="inlineStr"/>
      <c r="H873" s="125" t="n">
        <v>45983</v>
      </c>
      <c r="I873" t="inlineStr"/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N873" t="inlineStr"/>
      <c r="O873" t="inlineStr">
        <is>
          <t>20542</t>
        </is>
      </c>
      <c r="P873" t="inlineStr">
        <is>
          <t>CORPORATE TRAVELER</t>
        </is>
      </c>
      <c r="Q873" s="112" t="n">
        <v>0</v>
      </c>
      <c r="R873" s="112" t="n">
        <v>20.1</v>
      </c>
      <c r="S873" s="112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D874" t="inlineStr"/>
      <c r="E874" t="inlineStr">
        <is>
          <t>OC</t>
        </is>
      </c>
      <c r="F874" t="inlineStr"/>
      <c r="G874" s="126" t="inlineStr"/>
      <c r="H874" s="125" t="n">
        <v>45983</v>
      </c>
      <c r="I874" t="inlineStr"/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N874" t="inlineStr"/>
      <c r="O874" t="inlineStr">
        <is>
          <t>20542</t>
        </is>
      </c>
      <c r="P874" t="inlineStr">
        <is>
          <t>CORPORATE TRAVELER</t>
        </is>
      </c>
      <c r="Q874" s="112" t="n">
        <v>0</v>
      </c>
      <c r="R874" s="112" t="n">
        <v>20.1</v>
      </c>
      <c r="S874" s="112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D875" t="inlineStr"/>
      <c r="E875" t="inlineStr">
        <is>
          <t>OC</t>
        </is>
      </c>
      <c r="F875" t="inlineStr"/>
      <c r="G875" s="126" t="inlineStr"/>
      <c r="H875" s="125" t="n">
        <v>45983</v>
      </c>
      <c r="I875" t="inlineStr"/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N875" t="inlineStr"/>
      <c r="O875" t="inlineStr">
        <is>
          <t>20542</t>
        </is>
      </c>
      <c r="P875" t="inlineStr">
        <is>
          <t>CORPORATE TRAVELER</t>
        </is>
      </c>
      <c r="Q875" s="112" t="n">
        <v>0</v>
      </c>
      <c r="R875" s="112" t="n">
        <v>20.1</v>
      </c>
      <c r="S875" s="112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D876" t="inlineStr"/>
      <c r="E876" t="inlineStr">
        <is>
          <t>OC</t>
        </is>
      </c>
      <c r="F876" t="inlineStr"/>
      <c r="G876" s="126" t="inlineStr"/>
      <c r="H876" s="125" t="n">
        <v>45983</v>
      </c>
      <c r="I876" t="inlineStr"/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N876" t="inlineStr"/>
      <c r="O876" t="inlineStr">
        <is>
          <t>20542</t>
        </is>
      </c>
      <c r="P876" t="inlineStr">
        <is>
          <t>CORPORATE TRAVELER</t>
        </is>
      </c>
      <c r="Q876" s="112" t="n">
        <v>0</v>
      </c>
      <c r="R876" s="112" t="n">
        <v>20.1</v>
      </c>
      <c r="S876" s="112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D877" t="inlineStr"/>
      <c r="E877" t="inlineStr">
        <is>
          <t>OC</t>
        </is>
      </c>
      <c r="F877" t="inlineStr"/>
      <c r="G877" s="126" t="inlineStr"/>
      <c r="H877" s="125" t="n">
        <v>45983</v>
      </c>
      <c r="I877" t="inlineStr"/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N877" t="inlineStr"/>
      <c r="O877" t="inlineStr">
        <is>
          <t>20542</t>
        </is>
      </c>
      <c r="P877" t="inlineStr">
        <is>
          <t>CORPORATE TRAVELER</t>
        </is>
      </c>
      <c r="Q877" s="112" t="n">
        <v>0</v>
      </c>
      <c r="R877" s="112" t="n">
        <v>20.1</v>
      </c>
      <c r="S877" s="112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D878" t="inlineStr"/>
      <c r="E878" t="inlineStr">
        <is>
          <t>OC</t>
        </is>
      </c>
      <c r="F878" t="inlineStr"/>
      <c r="G878" s="126" t="inlineStr"/>
      <c r="H878" s="125" t="n">
        <v>45983</v>
      </c>
      <c r="I878" t="inlineStr"/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N878" t="inlineStr"/>
      <c r="O878" t="inlineStr">
        <is>
          <t>20542</t>
        </is>
      </c>
      <c r="P878" t="inlineStr">
        <is>
          <t>CORPORATE TRAVELER</t>
        </is>
      </c>
      <c r="Q878" s="112" t="n">
        <v>0</v>
      </c>
      <c r="R878" s="112" t="n">
        <v>20.1</v>
      </c>
      <c r="S878" s="112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D879" t="inlineStr"/>
      <c r="E879" t="inlineStr">
        <is>
          <t>OC</t>
        </is>
      </c>
      <c r="F879" t="inlineStr"/>
      <c r="G879" s="126" t="inlineStr"/>
      <c r="H879" s="125" t="n">
        <v>45983</v>
      </c>
      <c r="I879" t="inlineStr"/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N879" t="inlineStr"/>
      <c r="O879" t="inlineStr">
        <is>
          <t>20542</t>
        </is>
      </c>
      <c r="P879" t="inlineStr">
        <is>
          <t>CORPORATE TRAVELER</t>
        </is>
      </c>
      <c r="Q879" s="112" t="n">
        <v>0</v>
      </c>
      <c r="R879" s="112" t="n">
        <v>20.1</v>
      </c>
      <c r="S879" s="112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D880" t="inlineStr"/>
      <c r="E880" t="inlineStr">
        <is>
          <t>OC</t>
        </is>
      </c>
      <c r="F880" t="inlineStr"/>
      <c r="G880" s="126" t="inlineStr"/>
      <c r="H880" s="125" t="n">
        <v>45995</v>
      </c>
      <c r="I880" t="inlineStr"/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N880" t="inlineStr"/>
      <c r="O880" t="inlineStr">
        <is>
          <t>20542</t>
        </is>
      </c>
      <c r="P880" t="inlineStr">
        <is>
          <t>CORPORATE TRAVELER</t>
        </is>
      </c>
      <c r="Q880" s="112" t="n">
        <v>0</v>
      </c>
      <c r="R880" s="112" t="n">
        <v>428.59</v>
      </c>
      <c r="S880" s="112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D881" t="inlineStr"/>
      <c r="E881" t="inlineStr">
        <is>
          <t>OC</t>
        </is>
      </c>
      <c r="F881" t="inlineStr"/>
      <c r="G881" s="126" t="inlineStr"/>
      <c r="H881" s="125" t="n">
        <v>45995</v>
      </c>
      <c r="I881" t="inlineStr"/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N881" t="inlineStr"/>
      <c r="O881" t="inlineStr">
        <is>
          <t>20542</t>
        </is>
      </c>
      <c r="P881" t="inlineStr">
        <is>
          <t>CORPORATE TRAVELER</t>
        </is>
      </c>
      <c r="Q881" s="112" t="n">
        <v>0</v>
      </c>
      <c r="R881" s="112" t="n">
        <v>774.14</v>
      </c>
      <c r="S881" s="112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D882" t="inlineStr"/>
      <c r="E882" t="inlineStr">
        <is>
          <t>OC</t>
        </is>
      </c>
      <c r="F882" t="inlineStr"/>
      <c r="G882" s="126" t="inlineStr"/>
      <c r="H882" s="125" t="n">
        <v>45995</v>
      </c>
      <c r="I882" t="inlineStr"/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N882" t="inlineStr"/>
      <c r="O882" t="inlineStr">
        <is>
          <t>20542</t>
        </is>
      </c>
      <c r="P882" t="inlineStr">
        <is>
          <t>CORPORATE TRAVELER</t>
        </is>
      </c>
      <c r="Q882" s="112" t="n">
        <v>0</v>
      </c>
      <c r="R882" s="112" t="n">
        <v>40.2</v>
      </c>
      <c r="S882" s="112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D883" t="inlineStr"/>
      <c r="E883" t="inlineStr">
        <is>
          <t>OC</t>
        </is>
      </c>
      <c r="F883" t="inlineStr"/>
      <c r="G883" s="126" t="inlineStr"/>
      <c r="H883" s="125" t="n">
        <v>45995</v>
      </c>
      <c r="I883" t="inlineStr"/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N883" t="inlineStr"/>
      <c r="O883" t="inlineStr">
        <is>
          <t>20542</t>
        </is>
      </c>
      <c r="P883" t="inlineStr">
        <is>
          <t>CORPORATE TRAVELER</t>
        </is>
      </c>
      <c r="Q883" s="112" t="n">
        <v>0</v>
      </c>
      <c r="R883" s="112" t="n">
        <v>20.1</v>
      </c>
      <c r="S883" s="112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D884" t="inlineStr"/>
      <c r="E884" t="inlineStr">
        <is>
          <t>OC</t>
        </is>
      </c>
      <c r="F884" t="inlineStr"/>
      <c r="G884" s="126" t="inlineStr"/>
      <c r="H884" s="125" t="n">
        <v>45992</v>
      </c>
      <c r="I884" t="inlineStr"/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N884" t="inlineStr"/>
      <c r="O884" t="inlineStr">
        <is>
          <t>20542</t>
        </is>
      </c>
      <c r="P884" t="inlineStr">
        <is>
          <t>CORPORATE TRAVELER</t>
        </is>
      </c>
      <c r="Q884" s="112" t="n">
        <v>0</v>
      </c>
      <c r="R884" s="112" t="n">
        <v>660.95</v>
      </c>
      <c r="S884" s="112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D885" t="inlineStr"/>
      <c r="E885" t="inlineStr">
        <is>
          <t>OC</t>
        </is>
      </c>
      <c r="F885" t="inlineStr"/>
      <c r="G885" s="126" t="inlineStr"/>
      <c r="H885" s="125" t="n">
        <v>45992</v>
      </c>
      <c r="I885" t="inlineStr"/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N885" t="inlineStr"/>
      <c r="O885" t="inlineStr">
        <is>
          <t>20542</t>
        </is>
      </c>
      <c r="P885" t="inlineStr">
        <is>
          <t>CORPORATE TRAVELER</t>
        </is>
      </c>
      <c r="Q885" s="112" t="n">
        <v>0</v>
      </c>
      <c r="R885" s="112" t="n">
        <v>279.95</v>
      </c>
      <c r="S885" s="112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D886" t="inlineStr"/>
      <c r="E886" t="inlineStr">
        <is>
          <t>OC</t>
        </is>
      </c>
      <c r="F886" t="inlineStr"/>
      <c r="G886" s="126" t="inlineStr"/>
      <c r="H886" s="125" t="n">
        <v>45992</v>
      </c>
      <c r="I886" t="inlineStr"/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N886" t="inlineStr"/>
      <c r="O886" t="inlineStr">
        <is>
          <t>20542</t>
        </is>
      </c>
      <c r="P886" t="inlineStr">
        <is>
          <t>CORPORATE TRAVELER</t>
        </is>
      </c>
      <c r="Q886" s="112" t="n">
        <v>0</v>
      </c>
      <c r="R886" s="112" t="n">
        <v>317.98</v>
      </c>
      <c r="S886" s="112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D887" t="inlineStr"/>
      <c r="E887" t="inlineStr">
        <is>
          <t>OC</t>
        </is>
      </c>
      <c r="F887" t="inlineStr"/>
      <c r="G887" s="126" t="inlineStr"/>
      <c r="H887" s="125" t="n">
        <v>45992</v>
      </c>
      <c r="I887" t="inlineStr"/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N887" t="inlineStr"/>
      <c r="O887" t="inlineStr">
        <is>
          <t>20542</t>
        </is>
      </c>
      <c r="P887" t="inlineStr">
        <is>
          <t>CORPORATE TRAVELER</t>
        </is>
      </c>
      <c r="Q887" s="112" t="n">
        <v>0</v>
      </c>
      <c r="R887" s="112" t="n">
        <v>159.73</v>
      </c>
      <c r="S887" s="112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D888" t="inlineStr"/>
      <c r="E888" t="inlineStr">
        <is>
          <t>OC</t>
        </is>
      </c>
      <c r="F888" t="inlineStr"/>
      <c r="G888" s="126" t="inlineStr"/>
      <c r="H888" s="125" t="n">
        <v>45992</v>
      </c>
      <c r="I888" t="inlineStr"/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N888" t="inlineStr"/>
      <c r="O888" t="inlineStr">
        <is>
          <t>20542</t>
        </is>
      </c>
      <c r="P888" t="inlineStr">
        <is>
          <t>CORPORATE TRAVELER</t>
        </is>
      </c>
      <c r="Q888" s="112" t="n">
        <v>0</v>
      </c>
      <c r="R888" s="112" t="n">
        <v>319.47</v>
      </c>
      <c r="S888" s="112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D889" t="inlineStr"/>
      <c r="E889" t="inlineStr">
        <is>
          <t>OC</t>
        </is>
      </c>
      <c r="F889" t="inlineStr"/>
      <c r="G889" s="126" t="inlineStr"/>
      <c r="H889" s="125" t="n">
        <v>46000</v>
      </c>
      <c r="I889" t="inlineStr"/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N889" t="inlineStr"/>
      <c r="O889" t="inlineStr">
        <is>
          <t>20542</t>
        </is>
      </c>
      <c r="P889" t="inlineStr">
        <is>
          <t>CORPORATE TRAVELER</t>
        </is>
      </c>
      <c r="Q889" s="112" t="n">
        <v>0</v>
      </c>
      <c r="R889" s="112" t="n">
        <v>147.63</v>
      </c>
      <c r="S889" s="112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D890" t="inlineStr"/>
      <c r="E890" t="inlineStr">
        <is>
          <t>OC</t>
        </is>
      </c>
      <c r="F890" t="inlineStr"/>
      <c r="G890" s="126" t="inlineStr"/>
      <c r="H890" s="125" t="n">
        <v>46000</v>
      </c>
      <c r="I890" t="inlineStr"/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N890" t="inlineStr"/>
      <c r="O890" t="inlineStr">
        <is>
          <t>20542</t>
        </is>
      </c>
      <c r="P890" t="inlineStr">
        <is>
          <t>CORPORATE TRAVELER</t>
        </is>
      </c>
      <c r="Q890" s="112" t="n">
        <v>0</v>
      </c>
      <c r="R890" s="112" t="n">
        <v>20.1</v>
      </c>
      <c r="S890" s="112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D891" t="inlineStr"/>
      <c r="E891" t="inlineStr">
        <is>
          <t>OC</t>
        </is>
      </c>
      <c r="F891" t="inlineStr"/>
      <c r="G891" s="126" t="inlineStr"/>
      <c r="H891" s="125" t="n">
        <v>46000</v>
      </c>
      <c r="I891" t="inlineStr"/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N891" t="inlineStr"/>
      <c r="O891" t="inlineStr">
        <is>
          <t>20542</t>
        </is>
      </c>
      <c r="P891" t="inlineStr">
        <is>
          <t>CORPORATE TRAVELER</t>
        </is>
      </c>
      <c r="Q891" s="112" t="n">
        <v>0</v>
      </c>
      <c r="R891" s="112" t="n">
        <v>1360.51</v>
      </c>
      <c r="S891" s="112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D892" t="inlineStr"/>
      <c r="E892" t="inlineStr">
        <is>
          <t>OC</t>
        </is>
      </c>
      <c r="F892" t="inlineStr"/>
      <c r="G892" s="126" t="inlineStr"/>
      <c r="H892" s="125" t="n">
        <v>46042</v>
      </c>
      <c r="I892" t="inlineStr"/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N892" t="inlineStr"/>
      <c r="O892" t="inlineStr">
        <is>
          <t>12681</t>
        </is>
      </c>
      <c r="P892" t="inlineStr">
        <is>
          <t>FEDERAL EXPRESS CORPORATION</t>
        </is>
      </c>
      <c r="Q892" s="112" t="n">
        <v>0</v>
      </c>
      <c r="R892" s="112" t="n">
        <v>40.06</v>
      </c>
      <c r="S892" s="112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D893" t="inlineStr"/>
      <c r="E893" t="inlineStr">
        <is>
          <t>OC</t>
        </is>
      </c>
      <c r="F893" t="inlineStr"/>
      <c r="G893" s="126" t="inlineStr"/>
      <c r="H893" s="125" t="n">
        <v>46045</v>
      </c>
      <c r="I893" t="inlineStr"/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N893" t="inlineStr"/>
      <c r="O893" t="inlineStr">
        <is>
          <t>2230</t>
        </is>
      </c>
      <c r="P893" t="inlineStr"/>
      <c r="Q893" s="112" t="n">
        <v>0</v>
      </c>
      <c r="R893" s="112" t="n">
        <v>165</v>
      </c>
      <c r="S893" s="112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D894" t="inlineStr"/>
      <c r="E894" t="inlineStr">
        <is>
          <t>OC</t>
        </is>
      </c>
      <c r="F894" t="inlineStr"/>
      <c r="G894" s="126" t="inlineStr"/>
      <c r="H894" s="125" t="n">
        <v>46051</v>
      </c>
      <c r="I894" t="inlineStr"/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N894" t="inlineStr"/>
      <c r="O894" t="inlineStr">
        <is>
          <t>12681</t>
        </is>
      </c>
      <c r="P894" t="inlineStr">
        <is>
          <t>FEDERAL EXPRESS CORPORATION</t>
        </is>
      </c>
      <c r="Q894" s="112" t="n">
        <v>0</v>
      </c>
      <c r="R894" s="112" t="n">
        <v>22.5</v>
      </c>
      <c r="S894" s="112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D895" t="inlineStr"/>
      <c r="E895" t="inlineStr">
        <is>
          <t>OC</t>
        </is>
      </c>
      <c r="F895" t="inlineStr"/>
      <c r="G895" s="126" t="inlineStr"/>
      <c r="H895" s="125" t="n">
        <v>46062</v>
      </c>
      <c r="I895" t="inlineStr"/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N895" t="inlineStr"/>
      <c r="O895" t="inlineStr"/>
      <c r="P895" t="inlineStr"/>
      <c r="Q895" s="112" t="n">
        <v>0</v>
      </c>
      <c r="R895" s="112" t="n">
        <v>83.5</v>
      </c>
      <c r="S895" s="112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D896" t="inlineStr"/>
      <c r="E896" t="inlineStr">
        <is>
          <t>OC</t>
        </is>
      </c>
      <c r="F896" t="inlineStr"/>
      <c r="G896" s="126" t="inlineStr"/>
      <c r="H896" s="125" t="n">
        <v>46071</v>
      </c>
      <c r="I896" t="inlineStr"/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N896" t="inlineStr"/>
      <c r="O896" t="inlineStr">
        <is>
          <t>12681</t>
        </is>
      </c>
      <c r="P896" t="inlineStr">
        <is>
          <t>FEDERAL EXPRESS CORPORATION</t>
        </is>
      </c>
      <c r="Q896" s="112" t="n">
        <v>0</v>
      </c>
      <c r="R896" s="112" t="n">
        <v>672.47</v>
      </c>
      <c r="S896" s="112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D897" t="inlineStr"/>
      <c r="E897" t="inlineStr">
        <is>
          <t>OC</t>
        </is>
      </c>
      <c r="F897" t="inlineStr"/>
      <c r="G897" s="126" t="inlineStr"/>
      <c r="H897" s="125" t="n">
        <v>46093</v>
      </c>
      <c r="I897" t="inlineStr"/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N897" t="inlineStr"/>
      <c r="O897" t="inlineStr">
        <is>
          <t>20542</t>
        </is>
      </c>
      <c r="P897" t="inlineStr">
        <is>
          <t>CORPORATE TRAVELER</t>
        </is>
      </c>
      <c r="Q897" s="112" t="n">
        <v>0</v>
      </c>
      <c r="R897" s="112" t="n">
        <v>850.99</v>
      </c>
      <c r="S897" s="112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D898" t="inlineStr"/>
      <c r="E898" t="inlineStr">
        <is>
          <t>OC</t>
        </is>
      </c>
      <c r="F898" t="inlineStr"/>
      <c r="G898" s="126" t="inlineStr"/>
      <c r="H898" s="125" t="n">
        <v>46093</v>
      </c>
      <c r="I898" t="inlineStr"/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N898" t="inlineStr"/>
      <c r="O898" t="inlineStr">
        <is>
          <t>20542</t>
        </is>
      </c>
      <c r="P898" t="inlineStr">
        <is>
          <t>CORPORATE TRAVELER</t>
        </is>
      </c>
      <c r="Q898" s="112" t="n">
        <v>0</v>
      </c>
      <c r="R898" s="112" t="n">
        <v>1006.42</v>
      </c>
      <c r="S898" s="112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D899" t="inlineStr"/>
      <c r="E899" t="inlineStr">
        <is>
          <t>OC</t>
        </is>
      </c>
      <c r="F899" t="inlineStr"/>
      <c r="G899" s="126" t="inlineStr"/>
      <c r="H899" s="125" t="n">
        <v>46093</v>
      </c>
      <c r="I899" t="inlineStr"/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N899" t="inlineStr"/>
      <c r="O899" t="inlineStr">
        <is>
          <t>20542</t>
        </is>
      </c>
      <c r="P899" t="inlineStr">
        <is>
          <t>CORPORATE TRAVELER</t>
        </is>
      </c>
      <c r="Q899" s="112" t="n">
        <v>0</v>
      </c>
      <c r="R899" s="112" t="n">
        <v>1033.05</v>
      </c>
      <c r="S899" s="112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D900" t="inlineStr"/>
      <c r="E900" t="inlineStr">
        <is>
          <t>OC</t>
        </is>
      </c>
      <c r="F900" t="inlineStr"/>
      <c r="G900" s="126" t="inlineStr"/>
      <c r="H900" s="125" t="n">
        <v>46093</v>
      </c>
      <c r="I900" t="inlineStr"/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N900" t="inlineStr"/>
      <c r="O900" t="inlineStr">
        <is>
          <t>20542</t>
        </is>
      </c>
      <c r="P900" t="inlineStr">
        <is>
          <t>CORPORATE TRAVELER</t>
        </is>
      </c>
      <c r="Q900" s="112" t="n">
        <v>0</v>
      </c>
      <c r="R900" s="112" t="n">
        <v>20.1</v>
      </c>
      <c r="S900" s="112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D901" t="inlineStr"/>
      <c r="E901" t="inlineStr">
        <is>
          <t>OC</t>
        </is>
      </c>
      <c r="F901" t="inlineStr"/>
      <c r="G901" s="126" t="inlineStr"/>
      <c r="H901" s="125" t="n">
        <v>46093</v>
      </c>
      <c r="I901" t="inlineStr"/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N901" t="inlineStr"/>
      <c r="O901" t="inlineStr">
        <is>
          <t>20542</t>
        </is>
      </c>
      <c r="P901" t="inlineStr">
        <is>
          <t>CORPORATE TRAVELER</t>
        </is>
      </c>
      <c r="Q901" s="112" t="n">
        <v>0</v>
      </c>
      <c r="R901" s="112" t="n">
        <v>156.72</v>
      </c>
      <c r="S901" s="112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D902" t="inlineStr"/>
      <c r="E902" t="inlineStr">
        <is>
          <t>OC</t>
        </is>
      </c>
      <c r="F902" t="inlineStr"/>
      <c r="G902" s="126" t="inlineStr"/>
      <c r="H902" s="125" t="n">
        <v>46093</v>
      </c>
      <c r="I902" t="inlineStr"/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N902" t="inlineStr"/>
      <c r="O902" t="inlineStr">
        <is>
          <t>20542</t>
        </is>
      </c>
      <c r="P902" t="inlineStr">
        <is>
          <t>CORPORATE TRAVELER</t>
        </is>
      </c>
      <c r="Q902" s="112" t="n">
        <v>0</v>
      </c>
      <c r="R902" s="112" t="n">
        <v>141.98</v>
      </c>
      <c r="S902" s="112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D903" t="inlineStr"/>
      <c r="E903" t="inlineStr">
        <is>
          <t>OC</t>
        </is>
      </c>
      <c r="F903" t="inlineStr"/>
      <c r="G903" s="126" t="inlineStr"/>
      <c r="H903" s="125" t="n">
        <v>46093</v>
      </c>
      <c r="I903" t="inlineStr"/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N903" t="inlineStr"/>
      <c r="O903" t="inlineStr">
        <is>
          <t>20542</t>
        </is>
      </c>
      <c r="P903" t="inlineStr">
        <is>
          <t>CORPORATE TRAVELER</t>
        </is>
      </c>
      <c r="Q903" s="112" t="n">
        <v>0</v>
      </c>
      <c r="R903" s="112" t="n">
        <v>333.01</v>
      </c>
      <c r="S903" s="112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D904" t="inlineStr"/>
      <c r="E904" t="inlineStr">
        <is>
          <t>OC</t>
        </is>
      </c>
      <c r="F904" t="inlineStr"/>
      <c r="G904" s="126" t="inlineStr"/>
      <c r="H904" s="125" t="n">
        <v>46093</v>
      </c>
      <c r="I904" t="inlineStr"/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N904" t="inlineStr"/>
      <c r="O904" t="inlineStr">
        <is>
          <t>20542</t>
        </is>
      </c>
      <c r="P904" t="inlineStr">
        <is>
          <t>CORPORATE TRAVELER</t>
        </is>
      </c>
      <c r="Q904" s="112" t="n">
        <v>0</v>
      </c>
      <c r="R904" s="112" t="n">
        <v>144.82</v>
      </c>
      <c r="S904" s="112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D905" t="inlineStr"/>
      <c r="E905" t="inlineStr">
        <is>
          <t>OC</t>
        </is>
      </c>
      <c r="F905" t="inlineStr"/>
      <c r="G905" s="126" t="inlineStr"/>
      <c r="H905" s="125" t="n">
        <v>46086</v>
      </c>
      <c r="I905" t="inlineStr"/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N905" t="inlineStr"/>
      <c r="O905" t="inlineStr">
        <is>
          <t>12681</t>
        </is>
      </c>
      <c r="P905" t="inlineStr">
        <is>
          <t>FEDERAL EXPRESS CORPORATION</t>
        </is>
      </c>
      <c r="Q905" s="112" t="n">
        <v>0</v>
      </c>
      <c r="R905" s="112" t="n">
        <v>333.46</v>
      </c>
      <c r="S905" s="112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D906" t="inlineStr"/>
      <c r="E906" t="inlineStr">
        <is>
          <t>OC</t>
        </is>
      </c>
      <c r="F906" t="inlineStr"/>
      <c r="G906" s="126" t="inlineStr"/>
      <c r="H906" s="125" t="n">
        <v>46113</v>
      </c>
      <c r="I906" t="inlineStr"/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N906" t="inlineStr"/>
      <c r="O906" t="inlineStr">
        <is>
          <t>2265</t>
        </is>
      </c>
      <c r="P906" t="inlineStr"/>
      <c r="Q906" s="112" t="n">
        <v>0</v>
      </c>
      <c r="R906" s="112" t="n">
        <v>11.32</v>
      </c>
      <c r="S906" s="112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D907" t="inlineStr"/>
      <c r="E907" t="inlineStr">
        <is>
          <t>OC</t>
        </is>
      </c>
      <c r="F907" t="inlineStr"/>
      <c r="G907" s="126" t="inlineStr"/>
      <c r="H907" s="125" t="n">
        <v>46113</v>
      </c>
      <c r="I907" t="inlineStr"/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N907" t="inlineStr"/>
      <c r="O907" t="inlineStr">
        <is>
          <t>2265</t>
        </is>
      </c>
      <c r="P907" t="inlineStr"/>
      <c r="Q907" s="112" t="n">
        <v>0</v>
      </c>
      <c r="R907" s="112" t="n">
        <v>17.89</v>
      </c>
      <c r="S907" s="112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D908" t="inlineStr"/>
      <c r="E908" t="inlineStr">
        <is>
          <t>OC</t>
        </is>
      </c>
      <c r="F908" t="inlineStr"/>
      <c r="G908" s="126" t="inlineStr"/>
      <c r="H908" s="125" t="n">
        <v>46113</v>
      </c>
      <c r="I908" t="inlineStr"/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N908" t="inlineStr"/>
      <c r="O908" t="inlineStr">
        <is>
          <t>2265</t>
        </is>
      </c>
      <c r="P908" t="inlineStr"/>
      <c r="Q908" s="112" t="n">
        <v>0</v>
      </c>
      <c r="R908" s="112" t="n">
        <v>32</v>
      </c>
      <c r="S908" s="112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D909" t="inlineStr"/>
      <c r="E909" t="inlineStr">
        <is>
          <t>OC</t>
        </is>
      </c>
      <c r="F909" t="inlineStr"/>
      <c r="G909" s="126" t="inlineStr"/>
      <c r="H909" s="125" t="n">
        <v>46113</v>
      </c>
      <c r="I909" t="inlineStr"/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N909" t="inlineStr"/>
      <c r="O909" t="inlineStr">
        <is>
          <t>2265</t>
        </is>
      </c>
      <c r="P909" t="inlineStr"/>
      <c r="Q909" s="112" t="n">
        <v>0</v>
      </c>
      <c r="R909" s="112" t="n">
        <v>235.99</v>
      </c>
      <c r="S909" s="112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D910" t="inlineStr"/>
      <c r="E910" t="inlineStr">
        <is>
          <t>OC</t>
        </is>
      </c>
      <c r="F910" t="inlineStr"/>
      <c r="G910" s="126" t="inlineStr"/>
      <c r="H910" s="125" t="n">
        <v>46113</v>
      </c>
      <c r="I910" t="inlineStr"/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N910" t="inlineStr"/>
      <c r="O910" t="inlineStr">
        <is>
          <t>2265</t>
        </is>
      </c>
      <c r="P910" t="inlineStr"/>
      <c r="Q910" s="112" t="n">
        <v>0</v>
      </c>
      <c r="R910" s="112" t="n">
        <v>83.58</v>
      </c>
      <c r="S910" s="112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D911" t="inlineStr"/>
      <c r="E911" t="inlineStr">
        <is>
          <t>OC</t>
        </is>
      </c>
      <c r="F911" t="inlineStr"/>
      <c r="G911" s="126" t="inlineStr"/>
      <c r="H911" s="125" t="n">
        <v>46113</v>
      </c>
      <c r="I911" t="inlineStr"/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N911" t="inlineStr"/>
      <c r="O911" t="inlineStr">
        <is>
          <t>2265</t>
        </is>
      </c>
      <c r="P911" t="inlineStr"/>
      <c r="Q911" s="112" t="n">
        <v>0</v>
      </c>
      <c r="R911" s="112" t="n">
        <v>12.53</v>
      </c>
      <c r="S911" s="112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D912" t="inlineStr"/>
      <c r="E912" t="inlineStr">
        <is>
          <t>OC</t>
        </is>
      </c>
      <c r="F912" t="inlineStr"/>
      <c r="G912" s="126" t="inlineStr"/>
      <c r="H912" s="125" t="n">
        <v>46113</v>
      </c>
      <c r="I912" t="inlineStr"/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N912" t="inlineStr"/>
      <c r="O912" t="inlineStr">
        <is>
          <t>2265</t>
        </is>
      </c>
      <c r="P912" t="inlineStr"/>
      <c r="Q912" s="112" t="n">
        <v>0</v>
      </c>
      <c r="R912" s="112" t="n">
        <v>45</v>
      </c>
      <c r="S912" s="112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D913" t="inlineStr"/>
      <c r="E913" t="inlineStr">
        <is>
          <t>OC</t>
        </is>
      </c>
      <c r="F913" t="inlineStr"/>
      <c r="G913" s="126" t="inlineStr"/>
      <c r="H913" s="125" t="n">
        <v>46113</v>
      </c>
      <c r="I913" t="inlineStr"/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N913" t="inlineStr"/>
      <c r="O913" t="inlineStr">
        <is>
          <t>2265</t>
        </is>
      </c>
      <c r="P913" t="inlineStr"/>
      <c r="Q913" s="112" t="n">
        <v>0</v>
      </c>
      <c r="R913" s="112" t="n">
        <v>492.34</v>
      </c>
      <c r="S913" s="112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D914" t="inlineStr"/>
      <c r="E914" t="inlineStr">
        <is>
          <t>OC</t>
        </is>
      </c>
      <c r="F914" t="inlineStr"/>
      <c r="G914" s="126" t="inlineStr"/>
      <c r="H914" s="125" t="n">
        <v>46113</v>
      </c>
      <c r="I914" t="inlineStr"/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N914" t="inlineStr"/>
      <c r="O914" t="inlineStr">
        <is>
          <t>2265</t>
        </is>
      </c>
      <c r="P914" t="inlineStr"/>
      <c r="Q914" s="112" t="n">
        <v>0</v>
      </c>
      <c r="R914" s="112" t="n">
        <v>19.47</v>
      </c>
      <c r="S914" s="112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D915" t="inlineStr"/>
      <c r="E915" t="inlineStr">
        <is>
          <t>OC</t>
        </is>
      </c>
      <c r="F915" t="inlineStr"/>
      <c r="G915" s="126" t="inlineStr"/>
      <c r="H915" s="125" t="n">
        <v>46113</v>
      </c>
      <c r="I915" t="inlineStr"/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N915" t="inlineStr"/>
      <c r="O915" t="inlineStr">
        <is>
          <t>2265</t>
        </is>
      </c>
      <c r="P915" t="inlineStr"/>
      <c r="Q915" s="112" t="n">
        <v>0</v>
      </c>
      <c r="R915" s="112" t="n">
        <v>70</v>
      </c>
      <c r="S915" s="112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D916" t="inlineStr"/>
      <c r="E916" t="inlineStr">
        <is>
          <t>OC</t>
        </is>
      </c>
      <c r="F916" t="inlineStr"/>
      <c r="G916" s="126" t="inlineStr"/>
      <c r="H916" s="125" t="n">
        <v>46113</v>
      </c>
      <c r="I916" t="inlineStr"/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N916" t="inlineStr"/>
      <c r="O916" t="inlineStr">
        <is>
          <t>2265</t>
        </is>
      </c>
      <c r="P916" t="inlineStr"/>
      <c r="Q916" s="112" t="n">
        <v>0</v>
      </c>
      <c r="R916" s="112" t="n">
        <v>239.82</v>
      </c>
      <c r="S916" s="112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D917" t="inlineStr"/>
      <c r="E917" t="inlineStr">
        <is>
          <t>OC</t>
        </is>
      </c>
      <c r="F917" t="inlineStr"/>
      <c r="G917" s="126" t="inlineStr"/>
      <c r="H917" s="125" t="n">
        <v>46113</v>
      </c>
      <c r="I917" t="inlineStr"/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N917" t="inlineStr"/>
      <c r="O917" t="inlineStr">
        <is>
          <t>2265</t>
        </is>
      </c>
      <c r="P917" t="inlineStr"/>
      <c r="Q917" s="112" t="n">
        <v>0</v>
      </c>
      <c r="R917" s="112" t="n">
        <v>40</v>
      </c>
      <c r="S917" s="112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D918" t="inlineStr"/>
      <c r="E918" t="inlineStr">
        <is>
          <t>OC</t>
        </is>
      </c>
      <c r="F918" t="inlineStr"/>
      <c r="G918" s="126" t="inlineStr"/>
      <c r="H918" s="125" t="n">
        <v>46113</v>
      </c>
      <c r="I918" t="inlineStr"/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N918" t="inlineStr"/>
      <c r="O918" t="inlineStr">
        <is>
          <t>2265</t>
        </is>
      </c>
      <c r="P918" t="inlineStr"/>
      <c r="Q918" s="112" t="n">
        <v>0</v>
      </c>
      <c r="R918" s="112" t="n">
        <v>86.03</v>
      </c>
      <c r="S918" s="112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D919" t="inlineStr"/>
      <c r="E919" t="inlineStr">
        <is>
          <t>OC</t>
        </is>
      </c>
      <c r="F919" t="inlineStr"/>
      <c r="G919" s="126" t="inlineStr"/>
      <c r="H919" s="125" t="n">
        <v>46113</v>
      </c>
      <c r="I919" t="inlineStr"/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N919" t="inlineStr"/>
      <c r="O919" t="inlineStr">
        <is>
          <t>2265</t>
        </is>
      </c>
      <c r="P919" t="inlineStr"/>
      <c r="Q919" s="112" t="n">
        <v>0</v>
      </c>
      <c r="R919" s="112" t="n">
        <v>63.41</v>
      </c>
      <c r="S919" s="112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D920" t="inlineStr"/>
      <c r="E920" t="inlineStr">
        <is>
          <t>OC</t>
        </is>
      </c>
      <c r="F920" t="inlineStr"/>
      <c r="G920" s="126" t="inlineStr"/>
      <c r="H920" s="125" t="n">
        <v>46113</v>
      </c>
      <c r="I920" t="inlineStr"/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N920" t="inlineStr"/>
      <c r="O920" t="inlineStr">
        <is>
          <t>2265</t>
        </is>
      </c>
      <c r="P920" t="inlineStr"/>
      <c r="Q920" s="112" t="n">
        <v>0</v>
      </c>
      <c r="R920" s="112" t="n">
        <v>222.87</v>
      </c>
      <c r="S920" s="112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D921" t="inlineStr"/>
      <c r="E921" t="inlineStr">
        <is>
          <t>OC</t>
        </is>
      </c>
      <c r="F921" t="inlineStr"/>
      <c r="G921" s="126" t="inlineStr"/>
      <c r="H921" s="125" t="n">
        <v>46113</v>
      </c>
      <c r="I921" t="inlineStr"/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N921" t="inlineStr"/>
      <c r="O921" t="inlineStr">
        <is>
          <t>2265</t>
        </is>
      </c>
      <c r="P921" t="inlineStr"/>
      <c r="Q921" s="112" t="n">
        <v>0</v>
      </c>
      <c r="R921" s="112" t="n">
        <v>212.67</v>
      </c>
      <c r="S921" s="112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D922" t="inlineStr"/>
      <c r="E922" t="inlineStr">
        <is>
          <t>OC</t>
        </is>
      </c>
      <c r="F922" t="inlineStr"/>
      <c r="G922" s="126" t="inlineStr"/>
      <c r="H922" s="125" t="n">
        <v>46113</v>
      </c>
      <c r="I922" t="inlineStr"/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N922" t="inlineStr"/>
      <c r="O922" t="inlineStr">
        <is>
          <t>2265</t>
        </is>
      </c>
      <c r="P922" t="inlineStr"/>
      <c r="Q922" s="112" t="n">
        <v>0</v>
      </c>
      <c r="R922" s="112" t="n">
        <v>78.75</v>
      </c>
      <c r="S922" s="112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D923" t="inlineStr"/>
      <c r="E923" t="inlineStr">
        <is>
          <t>OC</t>
        </is>
      </c>
      <c r="F923" t="inlineStr"/>
      <c r="G923" s="126" t="inlineStr"/>
      <c r="H923" s="125" t="n">
        <v>46104</v>
      </c>
      <c r="I923" t="inlineStr"/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N923" t="inlineStr"/>
      <c r="O923" t="inlineStr">
        <is>
          <t>21331</t>
        </is>
      </c>
      <c r="P923" t="inlineStr">
        <is>
          <t>STEELMAN, JOHN D</t>
        </is>
      </c>
      <c r="Q923" s="112" t="n">
        <v>0</v>
      </c>
      <c r="R923" s="112" t="n">
        <v>522.98</v>
      </c>
      <c r="S923" s="112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D924" t="inlineStr"/>
      <c r="E924" t="inlineStr">
        <is>
          <t>OC</t>
        </is>
      </c>
      <c r="F924" t="inlineStr"/>
      <c r="G924" s="126" t="inlineStr"/>
      <c r="H924" s="125" t="n">
        <v>46112</v>
      </c>
      <c r="I924" t="inlineStr"/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N924" t="inlineStr"/>
      <c r="O924" t="inlineStr">
        <is>
          <t>2264</t>
        </is>
      </c>
      <c r="P924" t="inlineStr"/>
      <c r="Q924" s="112" t="n">
        <v>0</v>
      </c>
      <c r="R924" s="112" t="n">
        <v>298.28</v>
      </c>
      <c r="S924" s="112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D925" t="inlineStr"/>
      <c r="E925" t="inlineStr">
        <is>
          <t>OC</t>
        </is>
      </c>
      <c r="F925" t="inlineStr"/>
      <c r="G925" s="126" t="inlineStr"/>
      <c r="H925" s="125" t="n">
        <v>46112</v>
      </c>
      <c r="I925" t="inlineStr"/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N925" t="inlineStr"/>
      <c r="O925" t="inlineStr">
        <is>
          <t>2264</t>
        </is>
      </c>
      <c r="P925" t="inlineStr"/>
      <c r="Q925" s="112" t="n">
        <v>0</v>
      </c>
      <c r="R925" s="112" t="n">
        <v>146.58</v>
      </c>
      <c r="S925" s="112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D926" t="inlineStr"/>
      <c r="E926" t="inlineStr">
        <is>
          <t>OC</t>
        </is>
      </c>
      <c r="F926" t="inlineStr"/>
      <c r="G926" s="126" t="inlineStr"/>
      <c r="H926" s="125" t="n">
        <v>46112</v>
      </c>
      <c r="I926" t="inlineStr"/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N926" t="inlineStr"/>
      <c r="O926" t="inlineStr">
        <is>
          <t>20542</t>
        </is>
      </c>
      <c r="P926" t="inlineStr">
        <is>
          <t>CORPORATE TRAVELER</t>
        </is>
      </c>
      <c r="Q926" s="112" t="n">
        <v>0</v>
      </c>
      <c r="R926" s="112" t="n">
        <v>205.32</v>
      </c>
      <c r="S926" s="112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D927" t="inlineStr"/>
      <c r="E927" t="inlineStr">
        <is>
          <t>OC</t>
        </is>
      </c>
      <c r="F927" t="inlineStr"/>
      <c r="G927" s="126" t="inlineStr"/>
      <c r="H927" s="125" t="n">
        <v>46113</v>
      </c>
      <c r="I927" t="inlineStr"/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N927" t="inlineStr"/>
      <c r="O927" t="inlineStr">
        <is>
          <t>21331</t>
        </is>
      </c>
      <c r="P927" t="inlineStr">
        <is>
          <t>STEELMAN, JOHN D</t>
        </is>
      </c>
      <c r="Q927" s="112" t="n">
        <v>0</v>
      </c>
      <c r="R927" s="112" t="n">
        <v>298.57</v>
      </c>
      <c r="S927" s="112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D928" t="inlineStr"/>
      <c r="E928" t="inlineStr">
        <is>
          <t>OC</t>
        </is>
      </c>
      <c r="F928" t="inlineStr"/>
      <c r="G928" s="126" t="inlineStr"/>
      <c r="H928" s="125" t="n">
        <v>46113</v>
      </c>
      <c r="I928" t="inlineStr"/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N928" t="inlineStr"/>
      <c r="O928" t="inlineStr">
        <is>
          <t>13193</t>
        </is>
      </c>
      <c r="P928" t="inlineStr">
        <is>
          <t>SALINAS, NICHOLAS A</t>
        </is>
      </c>
      <c r="Q928" s="112" t="n">
        <v>0</v>
      </c>
      <c r="R928" s="112" t="n">
        <v>408</v>
      </c>
      <c r="S928" s="112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D929" t="inlineStr"/>
      <c r="E929" t="inlineStr">
        <is>
          <t>OC</t>
        </is>
      </c>
      <c r="F929" t="inlineStr"/>
      <c r="G929" s="126" t="inlineStr"/>
      <c r="H929" s="125" t="n">
        <v>46113</v>
      </c>
      <c r="I929" t="inlineStr"/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N929" t="inlineStr"/>
      <c r="O929" t="inlineStr">
        <is>
          <t>18873</t>
        </is>
      </c>
      <c r="P929" t="inlineStr">
        <is>
          <t>EAN SERVICES, LLC</t>
        </is>
      </c>
      <c r="Q929" s="112" t="n">
        <v>0</v>
      </c>
      <c r="R929" s="112" t="n">
        <v>173.12</v>
      </c>
      <c r="S929" s="112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D930" t="inlineStr"/>
      <c r="E930" t="inlineStr">
        <is>
          <t>OC</t>
        </is>
      </c>
      <c r="F930" t="inlineStr"/>
      <c r="G930" s="126" t="inlineStr"/>
      <c r="H930" s="125" t="n">
        <v>46142</v>
      </c>
      <c r="I930" t="inlineStr"/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N930" t="inlineStr"/>
      <c r="O930" t="inlineStr">
        <is>
          <t>21395</t>
        </is>
      </c>
      <c r="P930" t="inlineStr">
        <is>
          <t>ALLIED FIRE PROTECTION, LLC</t>
        </is>
      </c>
      <c r="Q930" s="112" t="n">
        <v>0</v>
      </c>
      <c r="R930" s="112" t="n">
        <v>350</v>
      </c>
      <c r="S930" s="112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D931" t="inlineStr"/>
      <c r="E931" t="inlineStr">
        <is>
          <t>OC</t>
        </is>
      </c>
      <c r="F931" t="inlineStr"/>
      <c r="G931" s="126" t="inlineStr"/>
      <c r="H931" s="125" t="n">
        <v>46140</v>
      </c>
      <c r="I931" t="inlineStr"/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N931" t="inlineStr"/>
      <c r="O931" t="inlineStr">
        <is>
          <t>2294</t>
        </is>
      </c>
      <c r="P931" t="inlineStr"/>
      <c r="Q931" s="112" t="n">
        <v>0</v>
      </c>
      <c r="R931" s="112" t="n">
        <v>525</v>
      </c>
      <c r="S931" s="112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D932" t="inlineStr"/>
      <c r="E932" t="inlineStr">
        <is>
          <t>OC</t>
        </is>
      </c>
      <c r="F932" t="inlineStr"/>
      <c r="G932" s="126" t="inlineStr"/>
      <c r="H932" s="125" t="n">
        <v>46140</v>
      </c>
      <c r="I932" t="inlineStr"/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N932" t="inlineStr"/>
      <c r="O932" t="inlineStr">
        <is>
          <t>2293</t>
        </is>
      </c>
      <c r="P932" t="inlineStr"/>
      <c r="Q932" s="112" t="n">
        <v>0</v>
      </c>
      <c r="R932" s="112" t="n">
        <v>12.53</v>
      </c>
      <c r="S932" s="112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D933" t="inlineStr"/>
      <c r="E933" t="inlineStr">
        <is>
          <t>OC</t>
        </is>
      </c>
      <c r="F933" t="inlineStr"/>
      <c r="G933" s="126" t="inlineStr"/>
      <c r="H933" s="125" t="n">
        <v>46140</v>
      </c>
      <c r="I933" t="inlineStr"/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N933" t="inlineStr"/>
      <c r="O933" t="inlineStr">
        <is>
          <t>2293</t>
        </is>
      </c>
      <c r="P933" t="inlineStr"/>
      <c r="Q933" s="112" t="n">
        <v>0</v>
      </c>
      <c r="R933" s="112" t="n">
        <v>22.3</v>
      </c>
      <c r="S933" s="112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D934" t="inlineStr"/>
      <c r="E934" t="inlineStr">
        <is>
          <t>OC</t>
        </is>
      </c>
      <c r="F934" t="inlineStr"/>
      <c r="G934" s="126" t="inlineStr"/>
      <c r="H934" s="125" t="n">
        <v>46140</v>
      </c>
      <c r="I934" t="inlineStr"/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N934" t="inlineStr"/>
      <c r="O934" t="inlineStr">
        <is>
          <t>2293</t>
        </is>
      </c>
      <c r="P934" t="inlineStr"/>
      <c r="Q934" s="112" t="n">
        <v>0</v>
      </c>
      <c r="R934" s="112" t="n">
        <v>16.5</v>
      </c>
      <c r="S934" s="112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D935" t="inlineStr"/>
      <c r="E935" t="inlineStr">
        <is>
          <t>OC</t>
        </is>
      </c>
      <c r="F935" t="inlineStr"/>
      <c r="G935" s="126" t="inlineStr"/>
      <c r="H935" s="125" t="n">
        <v>46140</v>
      </c>
      <c r="I935" t="inlineStr"/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N935" t="inlineStr"/>
      <c r="O935" t="inlineStr">
        <is>
          <t>2293</t>
        </is>
      </c>
      <c r="P935" t="inlineStr"/>
      <c r="Q935" s="112" t="n">
        <v>0</v>
      </c>
      <c r="R935" s="112" t="n">
        <v>129.35</v>
      </c>
      <c r="S935" s="112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D936" t="inlineStr"/>
      <c r="E936" t="inlineStr">
        <is>
          <t>OC</t>
        </is>
      </c>
      <c r="F936" t="inlineStr"/>
      <c r="G936" s="126" t="inlineStr"/>
      <c r="H936" s="125" t="n">
        <v>46119</v>
      </c>
      <c r="I936" t="inlineStr"/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N936" t="inlineStr"/>
      <c r="O936" t="inlineStr">
        <is>
          <t>12681</t>
        </is>
      </c>
      <c r="P936" t="inlineStr">
        <is>
          <t>FEDERAL EXPRESS CORPORATION</t>
        </is>
      </c>
      <c r="Q936" s="112" t="n">
        <v>0</v>
      </c>
      <c r="R936" s="112" t="n">
        <v>71.66</v>
      </c>
      <c r="S936" s="112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D937" t="inlineStr"/>
      <c r="E937" t="inlineStr">
        <is>
          <t>OC</t>
        </is>
      </c>
      <c r="F937" t="inlineStr"/>
      <c r="G937" s="126" t="inlineStr"/>
      <c r="H937" s="125" t="n">
        <v>46132</v>
      </c>
      <c r="I937" t="inlineStr"/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N937" t="inlineStr"/>
      <c r="O937" t="inlineStr"/>
      <c r="P937" t="inlineStr"/>
      <c r="Q937" s="112" t="n">
        <v>0</v>
      </c>
      <c r="R937" s="112" t="n">
        <v>23.25</v>
      </c>
      <c r="S937" s="112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D938" t="inlineStr"/>
      <c r="E938" t="inlineStr">
        <is>
          <t>OC</t>
        </is>
      </c>
      <c r="F938" t="inlineStr"/>
      <c r="G938" s="126" t="inlineStr"/>
      <c r="H938" s="125" t="n">
        <v>46125</v>
      </c>
      <c r="I938" t="inlineStr"/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N938" t="inlineStr"/>
      <c r="O938" t="inlineStr">
        <is>
          <t>12681</t>
        </is>
      </c>
      <c r="P938" t="inlineStr">
        <is>
          <t>FEDERAL EXPRESS CORPORATION</t>
        </is>
      </c>
      <c r="Q938" s="112" t="n">
        <v>0</v>
      </c>
      <c r="R938" s="112" t="n">
        <v>31.54</v>
      </c>
      <c r="S938" s="112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D939" t="inlineStr"/>
      <c r="E939" t="inlineStr">
        <is>
          <t>OC</t>
        </is>
      </c>
      <c r="F939" t="inlineStr"/>
      <c r="G939" s="126" t="inlineStr"/>
      <c r="H939" s="125" t="n">
        <v>46126</v>
      </c>
      <c r="I939" t="inlineStr"/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N939" t="inlineStr"/>
      <c r="O939" t="inlineStr"/>
      <c r="P939" t="inlineStr"/>
      <c r="Q939" s="112" t="n">
        <v>0</v>
      </c>
      <c r="R939" s="112" t="n">
        <v>18.99</v>
      </c>
      <c r="S939" s="112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D940" t="inlineStr"/>
      <c r="E940" t="inlineStr">
        <is>
          <t>OC</t>
        </is>
      </c>
      <c r="F940" t="inlineStr"/>
      <c r="G940" s="126" t="inlineStr"/>
      <c r="H940" s="125" t="n">
        <v>46133</v>
      </c>
      <c r="I940" t="inlineStr"/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N940" t="inlineStr"/>
      <c r="O940" t="inlineStr">
        <is>
          <t>2285</t>
        </is>
      </c>
      <c r="P940" t="inlineStr"/>
      <c r="Q940" s="112" t="n">
        <v>0</v>
      </c>
      <c r="R940" s="112" t="n">
        <v>16.42</v>
      </c>
      <c r="S940" s="112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D941" t="inlineStr"/>
      <c r="E941" t="inlineStr">
        <is>
          <t>OC</t>
        </is>
      </c>
      <c r="F941" t="inlineStr"/>
      <c r="G941" s="126" t="inlineStr"/>
      <c r="H941" s="125" t="n">
        <v>46133</v>
      </c>
      <c r="I941" t="inlineStr"/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N941" t="inlineStr"/>
      <c r="O941" t="inlineStr">
        <is>
          <t>2285</t>
        </is>
      </c>
      <c r="P941" t="inlineStr"/>
      <c r="Q941" s="112" t="n">
        <v>0</v>
      </c>
      <c r="R941" s="112" t="n">
        <v>22.84</v>
      </c>
      <c r="S941" s="112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D942" t="inlineStr"/>
      <c r="E942" t="inlineStr">
        <is>
          <t>OC</t>
        </is>
      </c>
      <c r="F942" t="inlineStr"/>
      <c r="G942" s="126" t="inlineStr"/>
      <c r="H942" s="125" t="n">
        <v>46133</v>
      </c>
      <c r="I942" t="inlineStr"/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N942" t="inlineStr"/>
      <c r="O942" t="inlineStr">
        <is>
          <t>2285</t>
        </is>
      </c>
      <c r="P942" t="inlineStr"/>
      <c r="Q942" s="112" t="n">
        <v>0</v>
      </c>
      <c r="R942" s="112" t="n">
        <v>12.53</v>
      </c>
      <c r="S942" s="112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D943" t="inlineStr"/>
      <c r="E943" t="inlineStr">
        <is>
          <t>OC</t>
        </is>
      </c>
      <c r="F943" t="inlineStr"/>
      <c r="G943" s="126" t="inlineStr"/>
      <c r="H943" s="125" t="n">
        <v>46133</v>
      </c>
      <c r="I943" t="inlineStr"/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N943" t="inlineStr"/>
      <c r="O943" t="inlineStr">
        <is>
          <t>2285</t>
        </is>
      </c>
      <c r="P943" t="inlineStr"/>
      <c r="Q943" s="112" t="n">
        <v>0</v>
      </c>
      <c r="R943" s="112" t="n">
        <v>95.52</v>
      </c>
      <c r="S943" s="112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D944" t="inlineStr"/>
      <c r="E944" t="inlineStr">
        <is>
          <t>OC</t>
        </is>
      </c>
      <c r="F944" t="inlineStr"/>
      <c r="G944" s="126" t="inlineStr"/>
      <c r="H944" s="125" t="n">
        <v>46133</v>
      </c>
      <c r="I944" t="inlineStr"/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N944" t="inlineStr"/>
      <c r="O944" t="inlineStr">
        <is>
          <t>2285</t>
        </is>
      </c>
      <c r="P944" t="inlineStr"/>
      <c r="Q944" s="112" t="n">
        <v>0</v>
      </c>
      <c r="R944" s="112" t="n">
        <v>48</v>
      </c>
      <c r="S944" s="112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D945" t="inlineStr"/>
      <c r="E945" t="inlineStr">
        <is>
          <t>OC</t>
        </is>
      </c>
      <c r="F945" t="inlineStr"/>
      <c r="G945" s="126" t="inlineStr"/>
      <c r="H945" s="125" t="n">
        <v>46133</v>
      </c>
      <c r="I945" t="inlineStr"/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N945" t="inlineStr"/>
      <c r="O945" t="inlineStr">
        <is>
          <t>2285</t>
        </is>
      </c>
      <c r="P945" t="inlineStr"/>
      <c r="Q945" s="112" t="n">
        <v>0</v>
      </c>
      <c r="R945" s="112" t="n">
        <v>137.16</v>
      </c>
      <c r="S945" s="112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D946" t="inlineStr"/>
      <c r="E946" t="inlineStr">
        <is>
          <t>OC</t>
        </is>
      </c>
      <c r="F946" t="inlineStr"/>
      <c r="G946" s="126" t="inlineStr"/>
      <c r="H946" s="125" t="n">
        <v>46133</v>
      </c>
      <c r="I946" t="inlineStr"/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N946" t="inlineStr"/>
      <c r="O946" t="inlineStr">
        <is>
          <t>2285</t>
        </is>
      </c>
      <c r="P946" t="inlineStr"/>
      <c r="Q946" s="112" t="n">
        <v>0</v>
      </c>
      <c r="R946" s="112" t="n">
        <v>42</v>
      </c>
      <c r="S946" s="112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D947" t="inlineStr"/>
      <c r="E947" t="inlineStr">
        <is>
          <t>OC</t>
        </is>
      </c>
      <c r="F947" t="inlineStr"/>
      <c r="G947" s="126" t="inlineStr"/>
      <c r="H947" s="125" t="n">
        <v>46133</v>
      </c>
      <c r="I947" t="inlineStr"/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N947" t="inlineStr"/>
      <c r="O947" t="inlineStr">
        <is>
          <t>2285</t>
        </is>
      </c>
      <c r="P947" t="inlineStr"/>
      <c r="Q947" s="112" t="n">
        <v>0</v>
      </c>
      <c r="R947" s="112" t="n">
        <v>810</v>
      </c>
      <c r="S947" s="112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D948" t="inlineStr"/>
      <c r="E948" t="inlineStr">
        <is>
          <t>OC</t>
        </is>
      </c>
      <c r="F948" t="inlineStr"/>
      <c r="G948" s="126" t="inlineStr"/>
      <c r="H948" s="125" t="n">
        <v>46133</v>
      </c>
      <c r="I948" t="inlineStr"/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N948" t="inlineStr"/>
      <c r="O948" t="inlineStr">
        <is>
          <t>2285</t>
        </is>
      </c>
      <c r="P948" t="inlineStr"/>
      <c r="Q948" s="112" t="n">
        <v>0</v>
      </c>
      <c r="R948" s="112" t="n">
        <v>246.25</v>
      </c>
      <c r="S948" s="112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D949" t="inlineStr"/>
      <c r="E949" t="inlineStr">
        <is>
          <t>OC</t>
        </is>
      </c>
      <c r="F949" t="inlineStr"/>
      <c r="G949" s="126" t="inlineStr"/>
      <c r="H949" s="125" t="n">
        <v>46133</v>
      </c>
      <c r="I949" t="inlineStr"/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N949" t="inlineStr"/>
      <c r="O949" t="inlineStr">
        <is>
          <t>2285</t>
        </is>
      </c>
      <c r="P949" t="inlineStr"/>
      <c r="Q949" s="112" t="n">
        <v>0</v>
      </c>
      <c r="R949" s="112" t="n">
        <v>3.1</v>
      </c>
      <c r="S949" s="112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D950" t="inlineStr"/>
      <c r="E950" t="inlineStr">
        <is>
          <t>OC</t>
        </is>
      </c>
      <c r="F950" t="inlineStr"/>
      <c r="G950" s="126" t="inlineStr"/>
      <c r="H950" s="125" t="n">
        <v>46133</v>
      </c>
      <c r="I950" t="inlineStr"/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N950" t="inlineStr"/>
      <c r="O950" t="inlineStr">
        <is>
          <t>2285</t>
        </is>
      </c>
      <c r="P950" t="inlineStr"/>
      <c r="Q950" s="112" t="n">
        <v>0</v>
      </c>
      <c r="R950" s="112" t="n">
        <v>63.57</v>
      </c>
      <c r="S950" s="112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D951" t="inlineStr"/>
      <c r="E951" t="inlineStr">
        <is>
          <t>OC</t>
        </is>
      </c>
      <c r="F951" t="inlineStr"/>
      <c r="G951" s="126" t="inlineStr"/>
      <c r="H951" s="125" t="n">
        <v>46133</v>
      </c>
      <c r="I951" t="inlineStr"/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N951" t="inlineStr"/>
      <c r="O951" t="inlineStr">
        <is>
          <t>2285</t>
        </is>
      </c>
      <c r="P951" t="inlineStr"/>
      <c r="Q951" s="112" t="n">
        <v>0</v>
      </c>
      <c r="R951" s="112" t="n">
        <v>64.94</v>
      </c>
      <c r="S951" s="112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D952" t="inlineStr"/>
      <c r="E952" t="inlineStr">
        <is>
          <t>OC</t>
        </is>
      </c>
      <c r="F952" t="inlineStr"/>
      <c r="G952" s="126" t="inlineStr"/>
      <c r="H952" s="125" t="n">
        <v>46133</v>
      </c>
      <c r="I952" t="inlineStr"/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N952" t="inlineStr"/>
      <c r="O952" t="inlineStr">
        <is>
          <t>2285</t>
        </is>
      </c>
      <c r="P952" t="inlineStr"/>
      <c r="Q952" s="112" t="n">
        <v>0</v>
      </c>
      <c r="R952" s="112" t="n">
        <v>5.99</v>
      </c>
      <c r="S952" s="112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D953" t="inlineStr"/>
      <c r="E953" t="inlineStr">
        <is>
          <t>OC</t>
        </is>
      </c>
      <c r="F953" t="inlineStr"/>
      <c r="G953" s="126" t="inlineStr"/>
      <c r="H953" s="125" t="n">
        <v>46133</v>
      </c>
      <c r="I953" t="inlineStr"/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N953" t="inlineStr"/>
      <c r="O953" t="inlineStr">
        <is>
          <t>2285</t>
        </is>
      </c>
      <c r="P953" t="inlineStr"/>
      <c r="Q953" s="112" t="n">
        <v>0</v>
      </c>
      <c r="R953" s="112" t="n">
        <v>29.95</v>
      </c>
      <c r="S953" s="112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D954" t="inlineStr"/>
      <c r="E954" t="inlineStr">
        <is>
          <t>OC</t>
        </is>
      </c>
      <c r="F954" t="inlineStr"/>
      <c r="G954" s="126" t="inlineStr"/>
      <c r="H954" s="125" t="n">
        <v>46133</v>
      </c>
      <c r="I954" t="inlineStr"/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N954" t="inlineStr"/>
      <c r="O954" t="inlineStr">
        <is>
          <t>2285</t>
        </is>
      </c>
      <c r="P954" t="inlineStr"/>
      <c r="Q954" s="112" t="n">
        <v>0</v>
      </c>
      <c r="R954" s="112" t="n">
        <v>29.4</v>
      </c>
      <c r="S954" s="112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D955" t="inlineStr"/>
      <c r="E955" t="inlineStr">
        <is>
          <t>OC</t>
        </is>
      </c>
      <c r="F955" t="inlineStr"/>
      <c r="G955" s="126" t="inlineStr"/>
      <c r="H955" s="125" t="n">
        <v>46126</v>
      </c>
      <c r="I955" t="inlineStr"/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N955" t="inlineStr"/>
      <c r="O955" t="inlineStr">
        <is>
          <t>2282</t>
        </is>
      </c>
      <c r="P955" t="inlineStr"/>
      <c r="Q955" s="112" t="n">
        <v>0</v>
      </c>
      <c r="R955" s="112" t="n">
        <v>95.79000000000001</v>
      </c>
      <c r="S955" s="112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D956" t="inlineStr"/>
      <c r="E956" t="inlineStr">
        <is>
          <t>OC</t>
        </is>
      </c>
      <c r="F956" t="inlineStr"/>
      <c r="G956" s="126" t="inlineStr"/>
      <c r="H956" s="125" t="n">
        <v>46127</v>
      </c>
      <c r="I956" t="inlineStr"/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N956" t="inlineStr"/>
      <c r="O956" t="inlineStr"/>
      <c r="P956" t="inlineStr"/>
      <c r="Q956" s="112" t="n">
        <v>0</v>
      </c>
      <c r="R956" s="112" t="n">
        <v>141.75</v>
      </c>
      <c r="S956" s="112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D957" t="inlineStr"/>
      <c r="E957" t="inlineStr">
        <is>
          <t>OC</t>
        </is>
      </c>
      <c r="F957" t="inlineStr"/>
      <c r="G957" s="126" t="inlineStr"/>
      <c r="H957" s="125" t="n">
        <v>46126</v>
      </c>
      <c r="I957" t="inlineStr"/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N957" t="inlineStr"/>
      <c r="O957" t="inlineStr">
        <is>
          <t>2282</t>
        </is>
      </c>
      <c r="P957" t="inlineStr"/>
      <c r="Q957" s="112" t="n">
        <v>0</v>
      </c>
      <c r="R957" s="112" t="n">
        <v>15.75</v>
      </c>
      <c r="S957" s="112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D958" t="inlineStr"/>
      <c r="E958" t="inlineStr">
        <is>
          <t>OC</t>
        </is>
      </c>
      <c r="F958" t="inlineStr"/>
      <c r="G958" s="126" t="inlineStr"/>
      <c r="H958" s="125" t="n">
        <v>46126</v>
      </c>
      <c r="I958" t="inlineStr"/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N958" t="inlineStr"/>
      <c r="O958" t="inlineStr">
        <is>
          <t>2282</t>
        </is>
      </c>
      <c r="P958" t="inlineStr"/>
      <c r="Q958" s="112" t="n">
        <v>0</v>
      </c>
      <c r="R958" s="112" t="n">
        <v>-3.34</v>
      </c>
      <c r="S958" s="112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D959" t="inlineStr"/>
      <c r="E959" t="inlineStr">
        <is>
          <t>OC</t>
        </is>
      </c>
      <c r="F959" t="inlineStr"/>
      <c r="G959" s="126" t="inlineStr"/>
      <c r="H959" s="125" t="n">
        <v>46127</v>
      </c>
      <c r="I959" t="inlineStr"/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N959" t="inlineStr"/>
      <c r="O959" t="inlineStr"/>
      <c r="P959" t="inlineStr"/>
      <c r="Q959" s="112" t="n">
        <v>0</v>
      </c>
      <c r="R959" s="112" t="n">
        <v>47.25</v>
      </c>
      <c r="S959" s="112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D960" t="inlineStr"/>
      <c r="E960" t="inlineStr">
        <is>
          <t>OC</t>
        </is>
      </c>
      <c r="F960" t="inlineStr"/>
      <c r="G960" s="126" t="inlineStr"/>
      <c r="H960" s="125" t="n">
        <v>46126</v>
      </c>
      <c r="I960" t="inlineStr"/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N960" t="inlineStr"/>
      <c r="O960" t="inlineStr"/>
      <c r="P960" t="inlineStr"/>
      <c r="Q960" s="112" t="n">
        <v>0</v>
      </c>
      <c r="R960" s="112" t="n">
        <v>24.25</v>
      </c>
      <c r="S960" s="112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D961" t="inlineStr"/>
      <c r="E961" t="inlineStr">
        <is>
          <t>OC</t>
        </is>
      </c>
      <c r="F961" t="inlineStr"/>
      <c r="G961" s="126" t="inlineStr"/>
      <c r="H961" s="125" t="n">
        <v>46128</v>
      </c>
      <c r="I961" t="inlineStr"/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N961" t="inlineStr"/>
      <c r="O961" t="inlineStr"/>
      <c r="P961" t="inlineStr"/>
      <c r="Q961" s="112" t="n">
        <v>0</v>
      </c>
      <c r="R961" s="112" t="n">
        <v>94.5</v>
      </c>
      <c r="S961" s="112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D962" t="inlineStr"/>
      <c r="E962" t="inlineStr">
        <is>
          <t>OC</t>
        </is>
      </c>
      <c r="F962" t="inlineStr"/>
      <c r="G962" s="126" t="inlineStr"/>
      <c r="H962" s="125" t="n">
        <v>46132</v>
      </c>
      <c r="I962" t="inlineStr"/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N962" t="inlineStr"/>
      <c r="O962" t="inlineStr">
        <is>
          <t>12681</t>
        </is>
      </c>
      <c r="P962" t="inlineStr">
        <is>
          <t>FEDERAL EXPRESS CORPORATION</t>
        </is>
      </c>
      <c r="Q962" s="112" t="n">
        <v>0</v>
      </c>
      <c r="R962" s="112" t="n">
        <v>170.13</v>
      </c>
      <c r="S962" s="112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D963" t="inlineStr"/>
      <c r="E963" t="inlineStr">
        <is>
          <t>OC</t>
        </is>
      </c>
      <c r="F963" t="inlineStr"/>
      <c r="G963" s="126" t="inlineStr"/>
      <c r="H963" s="125" t="n">
        <v>46132</v>
      </c>
      <c r="I963" t="inlineStr"/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N963" t="inlineStr"/>
      <c r="O963" t="inlineStr">
        <is>
          <t>12681</t>
        </is>
      </c>
      <c r="P963" t="inlineStr">
        <is>
          <t>FEDERAL EXPRESS CORPORATION</t>
        </is>
      </c>
      <c r="Q963" s="112" t="n">
        <v>0</v>
      </c>
      <c r="R963" s="112" t="n">
        <v>32.94</v>
      </c>
      <c r="S963" s="112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D964" t="inlineStr"/>
      <c r="E964" t="inlineStr">
        <is>
          <t>OC</t>
        </is>
      </c>
      <c r="F964" t="inlineStr"/>
      <c r="G964" s="126" t="inlineStr"/>
      <c r="H964" s="125" t="n">
        <v>46133</v>
      </c>
      <c r="I964" t="inlineStr"/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N964" t="inlineStr"/>
      <c r="O964" t="inlineStr">
        <is>
          <t>20710</t>
        </is>
      </c>
      <c r="P964" t="inlineStr">
        <is>
          <t>NATIONAL ENERGY CONTROL SERVICES, INC.</t>
        </is>
      </c>
      <c r="Q964" s="112" t="n">
        <v>0</v>
      </c>
      <c r="R964" s="112" t="n">
        <v>103.25</v>
      </c>
      <c r="S964" s="112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D965" t="inlineStr"/>
      <c r="E965" t="inlineStr">
        <is>
          <t>OC</t>
        </is>
      </c>
      <c r="F965" t="inlineStr"/>
      <c r="G965" s="126" t="inlineStr"/>
      <c r="H965" s="125" t="n">
        <v>46134</v>
      </c>
      <c r="I965" t="inlineStr"/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N965" t="inlineStr"/>
      <c r="O965" t="inlineStr">
        <is>
          <t>10630</t>
        </is>
      </c>
      <c r="P965" t="inlineStr">
        <is>
          <t>DISA GLOBAL SOLUTIONS INC</t>
        </is>
      </c>
      <c r="Q965" s="112" t="n">
        <v>0</v>
      </c>
      <c r="R965" s="112" t="n">
        <v>519.75</v>
      </c>
      <c r="S965" s="112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D966" t="inlineStr"/>
      <c r="E966" t="inlineStr">
        <is>
          <t>OC</t>
        </is>
      </c>
      <c r="F966" t="inlineStr"/>
      <c r="G966" s="126" t="inlineStr"/>
      <c r="H966" s="125" t="n">
        <v>46139</v>
      </c>
      <c r="I966" t="inlineStr"/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N966" t="inlineStr"/>
      <c r="O966" t="inlineStr">
        <is>
          <t>12681</t>
        </is>
      </c>
      <c r="P966" t="inlineStr">
        <is>
          <t>FEDERAL EXPRESS CORPORATION</t>
        </is>
      </c>
      <c r="Q966" s="112" t="n">
        <v>0</v>
      </c>
      <c r="R966" s="112" t="n">
        <v>152.72</v>
      </c>
      <c r="S966" s="112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D967" t="inlineStr"/>
      <c r="E967" t="inlineStr">
        <is>
          <t>OC</t>
        </is>
      </c>
      <c r="F967" t="inlineStr"/>
      <c r="G967" s="126" t="inlineStr"/>
      <c r="H967" s="125" t="n">
        <v>46140</v>
      </c>
      <c r="I967" t="inlineStr"/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N967" t="inlineStr"/>
      <c r="O967" t="inlineStr">
        <is>
          <t>2293</t>
        </is>
      </c>
      <c r="P967" t="inlineStr"/>
      <c r="Q967" s="112" t="n">
        <v>0</v>
      </c>
      <c r="R967" s="112" t="n">
        <v>-4.45</v>
      </c>
      <c r="S967" s="112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D968" t="inlineStr"/>
      <c r="E968" t="inlineStr">
        <is>
          <t>OC</t>
        </is>
      </c>
      <c r="F968" t="inlineStr"/>
      <c r="G968" s="126" t="inlineStr"/>
      <c r="H968" s="125" t="n">
        <v>46140</v>
      </c>
      <c r="I968" t="inlineStr"/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N968" t="inlineStr"/>
      <c r="O968" t="inlineStr">
        <is>
          <t>2293</t>
        </is>
      </c>
      <c r="P968" t="inlineStr"/>
      <c r="Q968" s="112" t="n">
        <v>0</v>
      </c>
      <c r="R968" s="112" t="n">
        <v>12.53</v>
      </c>
      <c r="S968" s="112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D969" t="inlineStr"/>
      <c r="E969" t="inlineStr">
        <is>
          <t>OC</t>
        </is>
      </c>
      <c r="F969" t="inlineStr"/>
      <c r="G969" s="126" t="inlineStr"/>
      <c r="H969" s="125" t="n">
        <v>46140</v>
      </c>
      <c r="I969" t="inlineStr"/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N969" t="inlineStr"/>
      <c r="O969" t="inlineStr">
        <is>
          <t>2293</t>
        </is>
      </c>
      <c r="P969" t="inlineStr"/>
      <c r="Q969" s="112" t="n">
        <v>0</v>
      </c>
      <c r="R969" s="112" t="n">
        <v>186.74</v>
      </c>
      <c r="S969" s="112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D970" t="inlineStr"/>
      <c r="E970" t="inlineStr">
        <is>
          <t>OC</t>
        </is>
      </c>
      <c r="F970" t="inlineStr"/>
      <c r="G970" s="126" t="inlineStr"/>
      <c r="H970" s="125" t="n">
        <v>46140</v>
      </c>
      <c r="I970" t="inlineStr"/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N970" t="inlineStr"/>
      <c r="O970" t="inlineStr">
        <is>
          <t>2293</t>
        </is>
      </c>
      <c r="P970" t="inlineStr"/>
      <c r="Q970" s="112" t="n">
        <v>0</v>
      </c>
      <c r="R970" s="112" t="n">
        <v>14.51</v>
      </c>
      <c r="S970" s="112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D971" t="inlineStr"/>
      <c r="E971" t="inlineStr">
        <is>
          <t>OC</t>
        </is>
      </c>
      <c r="F971" t="inlineStr"/>
      <c r="G971" s="126" t="inlineStr"/>
      <c r="H971" s="125" t="n">
        <v>46140</v>
      </c>
      <c r="I971" t="inlineStr"/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N971" t="inlineStr"/>
      <c r="O971" t="inlineStr">
        <is>
          <t>2293</t>
        </is>
      </c>
      <c r="P971" t="inlineStr"/>
      <c r="Q971" s="112" t="n">
        <v>0</v>
      </c>
      <c r="R971" s="112" t="n">
        <v>9.74</v>
      </c>
      <c r="S971" s="112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D972" t="inlineStr"/>
      <c r="E972" t="inlineStr">
        <is>
          <t>OC</t>
        </is>
      </c>
      <c r="F972" t="inlineStr"/>
      <c r="G972" s="126" t="inlineStr"/>
      <c r="H972" s="125" t="n">
        <v>46140</v>
      </c>
      <c r="I972" t="inlineStr"/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N972" t="inlineStr"/>
      <c r="O972" t="inlineStr">
        <is>
          <t>2293</t>
        </is>
      </c>
      <c r="P972" t="inlineStr"/>
      <c r="Q972" s="112" t="n">
        <v>0</v>
      </c>
      <c r="R972" s="112" t="n">
        <v>11.39</v>
      </c>
      <c r="S972" s="112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D973" t="inlineStr"/>
      <c r="E973" t="inlineStr">
        <is>
          <t>OC</t>
        </is>
      </c>
      <c r="F973" t="inlineStr"/>
      <c r="G973" s="126" t="inlineStr"/>
      <c r="H973" s="125" t="n">
        <v>46140</v>
      </c>
      <c r="I973" t="inlineStr"/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N973" t="inlineStr"/>
      <c r="O973" t="inlineStr">
        <is>
          <t>2293</t>
        </is>
      </c>
      <c r="P973" t="inlineStr"/>
      <c r="Q973" s="112" t="n">
        <v>0</v>
      </c>
      <c r="R973" s="112" t="n">
        <v>20.03</v>
      </c>
      <c r="S973" s="112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D974" t="inlineStr"/>
      <c r="E974" t="inlineStr">
        <is>
          <t>OC</t>
        </is>
      </c>
      <c r="F974" t="inlineStr"/>
      <c r="G974" s="126" t="inlineStr"/>
      <c r="H974" s="125" t="n">
        <v>46140</v>
      </c>
      <c r="I974" t="inlineStr"/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N974" t="inlineStr"/>
      <c r="O974" t="inlineStr">
        <is>
          <t>2293</t>
        </is>
      </c>
      <c r="P974" t="inlineStr"/>
      <c r="Q974" s="112" t="n">
        <v>0</v>
      </c>
      <c r="R974" s="112" t="n">
        <v>232.17</v>
      </c>
      <c r="S974" s="112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D975" t="inlineStr"/>
      <c r="E975" t="inlineStr">
        <is>
          <t>OC</t>
        </is>
      </c>
      <c r="F975" t="inlineStr"/>
      <c r="G975" s="126" t="inlineStr"/>
      <c r="H975" s="125" t="n">
        <v>46140</v>
      </c>
      <c r="I975" t="inlineStr"/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N975" t="inlineStr"/>
      <c r="O975" t="inlineStr">
        <is>
          <t>2293</t>
        </is>
      </c>
      <c r="P975" t="inlineStr"/>
      <c r="Q975" s="112" t="n">
        <v>0</v>
      </c>
      <c r="R975" s="112" t="n">
        <v>100</v>
      </c>
      <c r="S975" s="112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D976" t="inlineStr"/>
      <c r="E976" t="inlineStr">
        <is>
          <t>OC</t>
        </is>
      </c>
      <c r="F976" t="inlineStr"/>
      <c r="G976" s="126" t="inlineStr"/>
      <c r="H976" s="125" t="n">
        <v>46140</v>
      </c>
      <c r="I976" t="inlineStr"/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N976" t="inlineStr"/>
      <c r="O976" t="inlineStr">
        <is>
          <t>2293</t>
        </is>
      </c>
      <c r="P976" t="inlineStr"/>
      <c r="Q976" s="112" t="n">
        <v>0</v>
      </c>
      <c r="R976" s="112" t="n">
        <v>111.27</v>
      </c>
      <c r="S976" s="112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D977" t="inlineStr"/>
      <c r="E977" t="inlineStr">
        <is>
          <t>OC</t>
        </is>
      </c>
      <c r="F977" t="inlineStr"/>
      <c r="G977" s="126" t="inlineStr"/>
      <c r="H977" s="125" t="n">
        <v>46140</v>
      </c>
      <c r="I977" t="inlineStr"/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N977" t="inlineStr"/>
      <c r="O977" t="inlineStr">
        <is>
          <t>2294</t>
        </is>
      </c>
      <c r="P977" t="inlineStr"/>
      <c r="Q977" s="112" t="n">
        <v>0</v>
      </c>
      <c r="R977" s="112" t="n">
        <v>140.21</v>
      </c>
      <c r="S977" s="112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D978" t="inlineStr"/>
      <c r="E978" t="inlineStr">
        <is>
          <t>OC</t>
        </is>
      </c>
      <c r="F978" t="inlineStr"/>
      <c r="G978" s="126" t="inlineStr"/>
      <c r="H978" s="125" t="n">
        <v>46140</v>
      </c>
      <c r="I978" t="inlineStr"/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N978" t="inlineStr"/>
      <c r="O978" t="inlineStr">
        <is>
          <t>2294</t>
        </is>
      </c>
      <c r="P978" t="inlineStr"/>
      <c r="Q978" s="112" t="n">
        <v>0</v>
      </c>
      <c r="R978" s="112" t="n">
        <v>11.38</v>
      </c>
      <c r="S978" s="112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D979" t="inlineStr"/>
      <c r="E979" t="inlineStr">
        <is>
          <t>OC</t>
        </is>
      </c>
      <c r="F979" t="inlineStr"/>
      <c r="G979" s="126" t="inlineStr"/>
      <c r="H979" s="125" t="n">
        <v>46146</v>
      </c>
      <c r="I979" t="inlineStr"/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N979" t="inlineStr"/>
      <c r="O979" t="inlineStr">
        <is>
          <t>12681</t>
        </is>
      </c>
      <c r="P979" t="inlineStr">
        <is>
          <t>FEDERAL EXPRESS CORPORATION</t>
        </is>
      </c>
      <c r="Q979" s="112" t="n">
        <v>0</v>
      </c>
      <c r="R979" s="112" t="n">
        <v>37.42</v>
      </c>
      <c r="S979" s="112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D980" t="inlineStr"/>
      <c r="E980" t="inlineStr">
        <is>
          <t>OC</t>
        </is>
      </c>
      <c r="F980" t="inlineStr"/>
      <c r="G980" s="126" t="inlineStr"/>
      <c r="H980" s="125" t="n">
        <v>46156</v>
      </c>
      <c r="I980" t="inlineStr"/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N980" t="inlineStr"/>
      <c r="O980" t="inlineStr">
        <is>
          <t>21395</t>
        </is>
      </c>
      <c r="P980" t="inlineStr">
        <is>
          <t>ALLIED FIRE PROTECTION, LLC</t>
        </is>
      </c>
      <c r="Q980" s="112" t="n">
        <v>0</v>
      </c>
      <c r="R980" s="112" t="n">
        <v>671.15</v>
      </c>
      <c r="S980" s="112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D981" t="inlineStr"/>
      <c r="E981" t="inlineStr">
        <is>
          <t>OC</t>
        </is>
      </c>
      <c r="F981" t="inlineStr"/>
      <c r="G981" s="126" t="inlineStr"/>
      <c r="H981" s="125" t="n">
        <v>46153</v>
      </c>
      <c r="I981" t="inlineStr"/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N981" t="inlineStr"/>
      <c r="O981" t="inlineStr">
        <is>
          <t>12681</t>
        </is>
      </c>
      <c r="P981" t="inlineStr">
        <is>
          <t>FEDERAL EXPRESS CORPORATION</t>
        </is>
      </c>
      <c r="Q981" s="112" t="n">
        <v>0</v>
      </c>
      <c r="R981" s="112" t="n">
        <v>177.17</v>
      </c>
      <c r="S981" s="112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D982" t="inlineStr"/>
      <c r="E982" t="inlineStr">
        <is>
          <t>OC</t>
        </is>
      </c>
      <c r="F982" t="inlineStr"/>
      <c r="G982" s="126" t="inlineStr"/>
      <c r="H982" s="125" t="n">
        <v>46160</v>
      </c>
      <c r="I982" t="inlineStr"/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N982" t="inlineStr"/>
      <c r="O982" t="inlineStr">
        <is>
          <t>12681</t>
        </is>
      </c>
      <c r="P982" t="inlineStr">
        <is>
          <t>FEDERAL EXPRESS CORPORATION</t>
        </is>
      </c>
      <c r="Q982" s="112" t="n">
        <v>0</v>
      </c>
      <c r="R982" s="112" t="n">
        <v>108.14</v>
      </c>
      <c r="S982" s="112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D983" t="inlineStr"/>
      <c r="E983" t="inlineStr">
        <is>
          <t>OC</t>
        </is>
      </c>
      <c r="F983" t="inlineStr"/>
      <c r="G983" s="126" t="inlineStr"/>
      <c r="H983" s="125" t="n">
        <v>46160</v>
      </c>
      <c r="I983" t="inlineStr"/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N983" t="inlineStr"/>
      <c r="O983" t="inlineStr">
        <is>
          <t>12681</t>
        </is>
      </c>
      <c r="P983" t="inlineStr">
        <is>
          <t>FEDERAL EXPRESS CORPORATION</t>
        </is>
      </c>
      <c r="Q983" s="112" t="n">
        <v>0</v>
      </c>
      <c r="R983" s="112" t="n">
        <v>69.94</v>
      </c>
      <c r="S983" s="112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D984" t="inlineStr"/>
      <c r="E984" t="inlineStr">
        <is>
          <t>LA</t>
        </is>
      </c>
      <c r="F984" t="inlineStr"/>
      <c r="G984" s="126" t="inlineStr"/>
      <c r="H984" s="125" t="n">
        <v>46154</v>
      </c>
      <c r="I984" t="inlineStr"/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N984" t="inlineStr"/>
      <c r="O984" t="inlineStr"/>
      <c r="P984" t="inlineStr"/>
      <c r="Q984" s="112" t="n">
        <v>0</v>
      </c>
      <c r="R984" s="112" t="n">
        <v>255.37</v>
      </c>
      <c r="S984" s="112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D985" t="inlineStr"/>
      <c r="E985" t="inlineStr">
        <is>
          <t>LA</t>
        </is>
      </c>
      <c r="F985" t="inlineStr"/>
      <c r="G985" s="126" t="inlineStr"/>
      <c r="H985" s="125" t="n">
        <v>46154</v>
      </c>
      <c r="I985" t="inlineStr"/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N985" t="inlineStr"/>
      <c r="O985" t="inlineStr"/>
      <c r="P985" t="inlineStr"/>
      <c r="Q985" s="112" t="n">
        <v>0</v>
      </c>
      <c r="R985" s="112" t="n">
        <v>255.37</v>
      </c>
      <c r="S985" s="112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D986" t="inlineStr"/>
      <c r="E986" t="inlineStr">
        <is>
          <t>EQ</t>
        </is>
      </c>
      <c r="F986" t="inlineStr"/>
      <c r="G986" s="126" t="inlineStr"/>
      <c r="H986" s="125" t="n">
        <v>46096</v>
      </c>
      <c r="I986" t="inlineStr"/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N986" t="inlineStr"/>
      <c r="O986" t="inlineStr">
        <is>
          <t>TR419</t>
        </is>
      </c>
      <c r="P986" t="inlineStr"/>
      <c r="Q986" s="112" t="n">
        <v>0</v>
      </c>
      <c r="R986" s="112" t="n">
        <v>65</v>
      </c>
      <c r="S986" s="112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D987" t="inlineStr"/>
      <c r="E987" t="inlineStr">
        <is>
          <t>EQ</t>
        </is>
      </c>
      <c r="F987" t="inlineStr"/>
      <c r="G987" s="126" t="inlineStr"/>
      <c r="H987" s="125" t="n">
        <v>46096</v>
      </c>
      <c r="I987" t="inlineStr"/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N987" t="inlineStr"/>
      <c r="O987" t="inlineStr">
        <is>
          <t>TR419</t>
        </is>
      </c>
      <c r="P987" t="inlineStr"/>
      <c r="Q987" s="112" t="n">
        <v>0</v>
      </c>
      <c r="R987" s="112" t="n">
        <v>65</v>
      </c>
      <c r="S987" s="112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D988" t="inlineStr"/>
      <c r="E988" t="inlineStr">
        <is>
          <t>EQ</t>
        </is>
      </c>
      <c r="F988" t="inlineStr"/>
      <c r="G988" s="126" t="inlineStr"/>
      <c r="H988" s="125" t="n">
        <v>46096</v>
      </c>
      <c r="I988" t="inlineStr"/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N988" t="inlineStr"/>
      <c r="O988" t="inlineStr">
        <is>
          <t>TR419</t>
        </is>
      </c>
      <c r="P988" t="inlineStr"/>
      <c r="Q988" s="112" t="n">
        <v>0</v>
      </c>
      <c r="R988" s="112" t="n">
        <v>65</v>
      </c>
      <c r="S988" s="112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D989" t="inlineStr"/>
      <c r="E989" t="inlineStr">
        <is>
          <t>EQ</t>
        </is>
      </c>
      <c r="F989" t="inlineStr"/>
      <c r="G989" s="126" t="inlineStr"/>
      <c r="H989" s="125" t="n">
        <v>46096</v>
      </c>
      <c r="I989" t="inlineStr"/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N989" t="inlineStr"/>
      <c r="O989" t="inlineStr">
        <is>
          <t>TR419</t>
        </is>
      </c>
      <c r="P989" t="inlineStr"/>
      <c r="Q989" s="112" t="n">
        <v>0</v>
      </c>
      <c r="R989" s="112" t="n">
        <v>65</v>
      </c>
      <c r="S989" s="112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D990" t="inlineStr"/>
      <c r="E990" t="inlineStr">
        <is>
          <t>EQ</t>
        </is>
      </c>
      <c r="F990" t="inlineStr"/>
      <c r="G990" s="126" t="inlineStr"/>
      <c r="H990" s="125" t="n">
        <v>46103</v>
      </c>
      <c r="I990" t="inlineStr"/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N990" t="inlineStr"/>
      <c r="O990" t="inlineStr">
        <is>
          <t>TR419</t>
        </is>
      </c>
      <c r="P990" t="inlineStr"/>
      <c r="Q990" s="112" t="n">
        <v>0</v>
      </c>
      <c r="R990" s="112" t="n">
        <v>65</v>
      </c>
      <c r="S990" s="112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D991" t="inlineStr"/>
      <c r="E991" t="inlineStr">
        <is>
          <t>EQ</t>
        </is>
      </c>
      <c r="F991" t="inlineStr"/>
      <c r="G991" s="126" t="inlineStr"/>
      <c r="H991" s="125" t="n">
        <v>46103</v>
      </c>
      <c r="I991" t="inlineStr"/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N991" t="inlineStr"/>
      <c r="O991" t="inlineStr">
        <is>
          <t>TR419</t>
        </is>
      </c>
      <c r="P991" t="inlineStr"/>
      <c r="Q991" s="112" t="n">
        <v>0</v>
      </c>
      <c r="R991" s="112" t="n">
        <v>65</v>
      </c>
      <c r="S991" s="112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D992" t="inlineStr"/>
      <c r="E992" t="inlineStr">
        <is>
          <t>EQ</t>
        </is>
      </c>
      <c r="F992" t="inlineStr"/>
      <c r="G992" s="126" t="inlineStr"/>
      <c r="H992" s="125" t="n">
        <v>46103</v>
      </c>
      <c r="I992" t="inlineStr"/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N992" t="inlineStr"/>
      <c r="O992" t="inlineStr">
        <is>
          <t>TR419</t>
        </is>
      </c>
      <c r="P992" t="inlineStr"/>
      <c r="Q992" s="112" t="n">
        <v>0</v>
      </c>
      <c r="R992" s="112" t="n">
        <v>65</v>
      </c>
      <c r="S992" s="112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D993" t="inlineStr"/>
      <c r="E993" t="inlineStr">
        <is>
          <t>EQ</t>
        </is>
      </c>
      <c r="F993" t="inlineStr"/>
      <c r="G993" s="126" t="inlineStr"/>
      <c r="H993" s="125" t="n">
        <v>46103</v>
      </c>
      <c r="I993" t="inlineStr"/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N993" t="inlineStr"/>
      <c r="O993" t="inlineStr">
        <is>
          <t>TR419</t>
        </is>
      </c>
      <c r="P993" t="inlineStr"/>
      <c r="Q993" s="112" t="n">
        <v>0</v>
      </c>
      <c r="R993" s="112" t="n">
        <v>65</v>
      </c>
      <c r="S993" s="112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D994" t="inlineStr"/>
      <c r="E994" t="inlineStr">
        <is>
          <t>EQ</t>
        </is>
      </c>
      <c r="F994" t="inlineStr"/>
      <c r="G994" s="126" t="inlineStr"/>
      <c r="H994" s="125" t="n">
        <v>46103</v>
      </c>
      <c r="I994" t="inlineStr"/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N994" t="inlineStr"/>
      <c r="O994" t="inlineStr">
        <is>
          <t>TR419</t>
        </is>
      </c>
      <c r="P994" t="inlineStr"/>
      <c r="Q994" s="112" t="n">
        <v>0</v>
      </c>
      <c r="R994" s="112" t="n">
        <v>65</v>
      </c>
      <c r="S994" s="112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D995" t="inlineStr"/>
      <c r="E995" t="inlineStr">
        <is>
          <t>EQ</t>
        </is>
      </c>
      <c r="F995" t="inlineStr"/>
      <c r="G995" s="126" t="inlineStr"/>
      <c r="H995" s="125" t="n">
        <v>46103</v>
      </c>
      <c r="I995" t="inlineStr"/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N995" t="inlineStr"/>
      <c r="O995" t="inlineStr">
        <is>
          <t>TR419</t>
        </is>
      </c>
      <c r="P995" t="inlineStr"/>
      <c r="Q995" s="112" t="n">
        <v>0</v>
      </c>
      <c r="R995" s="112" t="n">
        <v>65</v>
      </c>
      <c r="S995" s="112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D996" t="inlineStr"/>
      <c r="E996" t="inlineStr">
        <is>
          <t>EQ</t>
        </is>
      </c>
      <c r="F996" t="inlineStr"/>
      <c r="G996" s="126" t="inlineStr"/>
      <c r="H996" s="125" t="n">
        <v>46110</v>
      </c>
      <c r="I996" t="inlineStr"/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N996" t="inlineStr"/>
      <c r="O996" t="inlineStr">
        <is>
          <t>TR419</t>
        </is>
      </c>
      <c r="P996" t="inlineStr"/>
      <c r="Q996" s="112" t="n">
        <v>0</v>
      </c>
      <c r="R996" s="112" t="n">
        <v>65</v>
      </c>
      <c r="S996" s="112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D997" t="inlineStr"/>
      <c r="E997" t="inlineStr">
        <is>
          <t>EQ</t>
        </is>
      </c>
      <c r="F997" t="inlineStr"/>
      <c r="G997" s="42" t="inlineStr"/>
      <c r="H997" s="125" t="n">
        <v>46110</v>
      </c>
      <c r="I997" t="inlineStr"/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N997" t="inlineStr"/>
      <c r="O997" t="inlineStr">
        <is>
          <t>TR419</t>
        </is>
      </c>
      <c r="P997" t="inlineStr"/>
      <c r="Q997" s="112" t="n">
        <v>0</v>
      </c>
      <c r="R997" s="112" t="n">
        <v>65</v>
      </c>
      <c r="S997" s="112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D998" t="inlineStr"/>
      <c r="E998" t="inlineStr">
        <is>
          <t>EQ</t>
        </is>
      </c>
      <c r="F998" t="inlineStr"/>
      <c r="G998" s="42" t="inlineStr"/>
      <c r="H998" s="125" t="n">
        <v>46110</v>
      </c>
      <c r="I998" t="inlineStr"/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N998" t="inlineStr"/>
      <c r="O998" t="inlineStr">
        <is>
          <t>TR419</t>
        </is>
      </c>
      <c r="P998" t="inlineStr"/>
      <c r="Q998" s="112" t="n">
        <v>0</v>
      </c>
      <c r="R998" s="112" t="n">
        <v>65</v>
      </c>
      <c r="S998" s="112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D999" t="inlineStr"/>
      <c r="E999" t="inlineStr">
        <is>
          <t>EQ</t>
        </is>
      </c>
      <c r="F999" t="inlineStr"/>
      <c r="G999" s="42" t="inlineStr"/>
      <c r="H999" s="125" t="n">
        <v>46110</v>
      </c>
      <c r="I999" t="inlineStr"/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N999" t="inlineStr"/>
      <c r="O999" t="inlineStr">
        <is>
          <t>TR419</t>
        </is>
      </c>
      <c r="P999" t="inlineStr"/>
      <c r="Q999" s="112" t="n">
        <v>0</v>
      </c>
      <c r="R999" s="112" t="n">
        <v>65</v>
      </c>
      <c r="S999" s="112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D1000" t="inlineStr"/>
      <c r="E1000" t="inlineStr">
        <is>
          <t>EQ</t>
        </is>
      </c>
      <c r="F1000" t="inlineStr"/>
      <c r="G1000" s="42" t="inlineStr"/>
      <c r="H1000" s="125" t="n">
        <v>46110</v>
      </c>
      <c r="I1000" t="inlineStr"/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N1000" t="inlineStr"/>
      <c r="O1000" t="inlineStr">
        <is>
          <t>TR419</t>
        </is>
      </c>
      <c r="P1000" t="inlineStr"/>
      <c r="Q1000" s="112" t="n">
        <v>0</v>
      </c>
      <c r="R1000" s="112" t="n">
        <v>65</v>
      </c>
      <c r="S1000" s="112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D1001" t="inlineStr"/>
      <c r="E1001" t="inlineStr">
        <is>
          <t>EQ</t>
        </is>
      </c>
      <c r="F1001" t="inlineStr"/>
      <c r="G1001" s="42" t="inlineStr"/>
      <c r="H1001" s="125" t="n">
        <v>46110</v>
      </c>
      <c r="I1001" t="inlineStr"/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N1001" t="inlineStr"/>
      <c r="O1001" t="inlineStr">
        <is>
          <t>TR419</t>
        </is>
      </c>
      <c r="P1001" t="inlineStr"/>
      <c r="Q1001" s="112" t="n">
        <v>0</v>
      </c>
      <c r="R1001" s="112" t="n">
        <v>65</v>
      </c>
      <c r="S1001" s="112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D1002" t="inlineStr"/>
      <c r="E1002" t="inlineStr">
        <is>
          <t>EQ</t>
        </is>
      </c>
      <c r="F1002" t="inlineStr"/>
      <c r="G1002" s="42" t="inlineStr"/>
      <c r="H1002" s="125" t="n">
        <v>46112</v>
      </c>
      <c r="I1002" t="inlineStr"/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N1002" t="inlineStr"/>
      <c r="O1002" t="inlineStr">
        <is>
          <t>TR419</t>
        </is>
      </c>
      <c r="P1002" t="inlineStr"/>
      <c r="Q1002" s="112" t="n">
        <v>0</v>
      </c>
      <c r="R1002" s="112" t="n">
        <v>65</v>
      </c>
      <c r="S1002" s="112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D1003" t="inlineStr"/>
      <c r="E1003" t="inlineStr">
        <is>
          <t>EQ</t>
        </is>
      </c>
      <c r="F1003" t="inlineStr"/>
      <c r="G1003" s="42" t="inlineStr"/>
      <c r="H1003" s="125" t="n">
        <v>46112</v>
      </c>
      <c r="I1003" t="inlineStr"/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N1003" t="inlineStr"/>
      <c r="O1003" t="inlineStr">
        <is>
          <t>TR419</t>
        </is>
      </c>
      <c r="P1003" t="inlineStr"/>
      <c r="Q1003" s="112" t="n">
        <v>0</v>
      </c>
      <c r="R1003" s="112" t="n">
        <v>65</v>
      </c>
      <c r="S1003" s="112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D1004" t="inlineStr"/>
      <c r="E1004" t="inlineStr">
        <is>
          <t>EQ</t>
        </is>
      </c>
      <c r="F1004" t="inlineStr"/>
      <c r="G1004" s="42" t="inlineStr"/>
      <c r="H1004" s="125" t="n">
        <v>46117</v>
      </c>
      <c r="I1004" t="inlineStr"/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N1004" t="inlineStr"/>
      <c r="O1004" t="inlineStr">
        <is>
          <t>TR419</t>
        </is>
      </c>
      <c r="P1004" t="inlineStr"/>
      <c r="Q1004" s="112" t="n">
        <v>0</v>
      </c>
      <c r="R1004" s="112" t="n">
        <v>65</v>
      </c>
      <c r="S1004" s="112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D1005" t="inlineStr"/>
      <c r="E1005" t="inlineStr">
        <is>
          <t>EQ</t>
        </is>
      </c>
      <c r="F1005" t="inlineStr"/>
      <c r="G1005" s="42" t="inlineStr"/>
      <c r="H1005" s="125" t="n">
        <v>46117</v>
      </c>
      <c r="I1005" t="inlineStr"/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N1005" t="inlineStr"/>
      <c r="O1005" t="inlineStr">
        <is>
          <t>TR419</t>
        </is>
      </c>
      <c r="P1005" t="inlineStr"/>
      <c r="Q1005" s="112" t="n">
        <v>0</v>
      </c>
      <c r="R1005" s="112" t="n">
        <v>65</v>
      </c>
      <c r="S1005" s="112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D1006" t="inlineStr"/>
      <c r="E1006" t="inlineStr">
        <is>
          <t>EQ</t>
        </is>
      </c>
      <c r="F1006" t="inlineStr"/>
      <c r="G1006" s="42" t="inlineStr"/>
      <c r="H1006" s="125" t="n">
        <v>46117</v>
      </c>
      <c r="I1006" t="inlineStr"/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N1006" t="inlineStr"/>
      <c r="O1006" t="inlineStr">
        <is>
          <t>TR419</t>
        </is>
      </c>
      <c r="P1006" t="inlineStr"/>
      <c r="Q1006" s="112" t="n">
        <v>0</v>
      </c>
      <c r="R1006" s="112" t="n">
        <v>65</v>
      </c>
      <c r="S1006" s="112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D1007" t="inlineStr"/>
      <c r="E1007" t="inlineStr">
        <is>
          <t>EQ</t>
        </is>
      </c>
      <c r="F1007" t="inlineStr"/>
      <c r="G1007" s="42" t="inlineStr"/>
      <c r="H1007" s="125" t="n">
        <v>46117</v>
      </c>
      <c r="I1007" t="inlineStr"/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N1007" t="inlineStr"/>
      <c r="O1007" t="inlineStr">
        <is>
          <t>TR419</t>
        </is>
      </c>
      <c r="P1007" t="inlineStr"/>
      <c r="Q1007" s="112" t="n">
        <v>0</v>
      </c>
      <c r="R1007" s="112" t="n">
        <v>65</v>
      </c>
      <c r="S1007" s="112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D1008" t="inlineStr"/>
      <c r="E1008" t="inlineStr">
        <is>
          <t>EQ</t>
        </is>
      </c>
      <c r="F1008" t="inlineStr"/>
      <c r="G1008" s="42" t="inlineStr"/>
      <c r="H1008" s="125" t="n">
        <v>46124</v>
      </c>
      <c r="I1008" t="inlineStr"/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N1008" t="inlineStr"/>
      <c r="O1008" t="inlineStr">
        <is>
          <t>TR419</t>
        </is>
      </c>
      <c r="P1008" t="inlineStr"/>
      <c r="Q1008" s="112" t="n">
        <v>0</v>
      </c>
      <c r="R1008" s="112" t="n">
        <v>65</v>
      </c>
      <c r="S1008" s="112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D1009" t="inlineStr"/>
      <c r="E1009" t="inlineStr">
        <is>
          <t>EQ</t>
        </is>
      </c>
      <c r="F1009" t="inlineStr"/>
      <c r="G1009" s="42" t="inlineStr"/>
      <c r="H1009" s="125" t="n">
        <v>46124</v>
      </c>
      <c r="I1009" t="inlineStr"/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N1009" t="inlineStr"/>
      <c r="O1009" t="inlineStr">
        <is>
          <t>TR419</t>
        </is>
      </c>
      <c r="P1009" t="inlineStr"/>
      <c r="Q1009" s="112" t="n">
        <v>0</v>
      </c>
      <c r="R1009" s="112" t="n">
        <v>65</v>
      </c>
      <c r="S1009" s="112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D1010" t="inlineStr"/>
      <c r="E1010" t="inlineStr">
        <is>
          <t>EQ</t>
        </is>
      </c>
      <c r="F1010" t="inlineStr"/>
      <c r="G1010" s="42" t="inlineStr"/>
      <c r="H1010" s="125" t="n">
        <v>46124</v>
      </c>
      <c r="I1010" t="inlineStr"/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N1010" t="inlineStr"/>
      <c r="O1010" t="inlineStr">
        <is>
          <t>TR419</t>
        </is>
      </c>
      <c r="P1010" t="inlineStr"/>
      <c r="Q1010" s="112" t="n">
        <v>0</v>
      </c>
      <c r="R1010" s="112" t="n">
        <v>65</v>
      </c>
      <c r="S1010" s="112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D1011" t="inlineStr"/>
      <c r="E1011" t="inlineStr">
        <is>
          <t>EQ</t>
        </is>
      </c>
      <c r="F1011" t="inlineStr"/>
      <c r="G1011" s="42" t="inlineStr"/>
      <c r="H1011" s="125" t="n">
        <v>46124</v>
      </c>
      <c r="I1011" t="inlineStr"/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N1011" t="inlineStr"/>
      <c r="O1011" t="inlineStr">
        <is>
          <t>TR419</t>
        </is>
      </c>
      <c r="P1011" t="inlineStr"/>
      <c r="Q1011" s="112" t="n">
        <v>0</v>
      </c>
      <c r="R1011" s="112" t="n">
        <v>65</v>
      </c>
      <c r="S1011" s="112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D1012" t="inlineStr"/>
      <c r="E1012" t="inlineStr">
        <is>
          <t>EQ</t>
        </is>
      </c>
      <c r="F1012" t="inlineStr"/>
      <c r="G1012" s="42" t="inlineStr"/>
      <c r="H1012" s="125" t="n">
        <v>46124</v>
      </c>
      <c r="I1012" t="inlineStr"/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N1012" t="inlineStr"/>
      <c r="O1012" t="inlineStr">
        <is>
          <t>TR419</t>
        </is>
      </c>
      <c r="P1012" t="inlineStr"/>
      <c r="Q1012" s="112" t="n">
        <v>0</v>
      </c>
      <c r="R1012" s="112" t="n">
        <v>65</v>
      </c>
      <c r="S1012" s="112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D1013" t="inlineStr"/>
      <c r="E1013" t="inlineStr">
        <is>
          <t>EQ</t>
        </is>
      </c>
      <c r="F1013" t="inlineStr"/>
      <c r="G1013" s="42" t="inlineStr"/>
      <c r="H1013" s="125" t="n">
        <v>46124</v>
      </c>
      <c r="I1013" t="inlineStr"/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N1013" t="inlineStr"/>
      <c r="O1013" t="inlineStr">
        <is>
          <t>TR419</t>
        </is>
      </c>
      <c r="P1013" t="inlineStr"/>
      <c r="Q1013" s="112" t="n">
        <v>0</v>
      </c>
      <c r="R1013" s="112" t="n">
        <v>65</v>
      </c>
      <c r="S1013" s="112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D1014" t="inlineStr"/>
      <c r="E1014" t="inlineStr">
        <is>
          <t>EQ</t>
        </is>
      </c>
      <c r="F1014" t="inlineStr"/>
      <c r="G1014" s="42" t="inlineStr"/>
      <c r="H1014" s="125" t="n">
        <v>46124</v>
      </c>
      <c r="I1014" t="inlineStr"/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N1014" t="inlineStr"/>
      <c r="O1014" t="inlineStr">
        <is>
          <t>RT1344</t>
        </is>
      </c>
      <c r="P1014" t="inlineStr"/>
      <c r="Q1014" s="112" t="n">
        <v>0</v>
      </c>
      <c r="R1014" s="112" t="n">
        <v>79.14</v>
      </c>
      <c r="S1014" s="112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D1015" t="inlineStr"/>
      <c r="E1015" t="inlineStr">
        <is>
          <t>EQ</t>
        </is>
      </c>
      <c r="F1015" t="inlineStr"/>
      <c r="G1015" s="42" t="inlineStr"/>
      <c r="H1015" s="125" t="n">
        <v>46124</v>
      </c>
      <c r="I1015" t="inlineStr"/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N1015" t="inlineStr"/>
      <c r="O1015" t="inlineStr">
        <is>
          <t>RT1344</t>
        </is>
      </c>
      <c r="P1015" t="inlineStr"/>
      <c r="Q1015" s="112" t="n">
        <v>0</v>
      </c>
      <c r="R1015" s="112" t="n">
        <v>79.14</v>
      </c>
      <c r="S1015" s="112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D1016" t="inlineStr"/>
      <c r="E1016" t="inlineStr">
        <is>
          <t>EQ</t>
        </is>
      </c>
      <c r="F1016" t="inlineStr"/>
      <c r="G1016" s="42" t="inlineStr"/>
      <c r="H1016" s="125" t="n">
        <v>46124</v>
      </c>
      <c r="I1016" t="inlineStr"/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N1016" t="inlineStr"/>
      <c r="O1016" t="inlineStr">
        <is>
          <t>RT1344</t>
        </is>
      </c>
      <c r="P1016" t="inlineStr"/>
      <c r="Q1016" s="112" t="n">
        <v>0</v>
      </c>
      <c r="R1016" s="112" t="n">
        <v>79.14</v>
      </c>
      <c r="S1016" s="112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D1017" t="inlineStr"/>
      <c r="E1017" t="inlineStr">
        <is>
          <t>EQ</t>
        </is>
      </c>
      <c r="F1017" t="inlineStr"/>
      <c r="G1017" s="42" t="inlineStr"/>
      <c r="H1017" s="125" t="n">
        <v>46124</v>
      </c>
      <c r="I1017" t="inlineStr"/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N1017" t="inlineStr"/>
      <c r="O1017" t="inlineStr">
        <is>
          <t>RT1344</t>
        </is>
      </c>
      <c r="P1017" t="inlineStr"/>
      <c r="Q1017" s="112" t="n">
        <v>0</v>
      </c>
      <c r="R1017" s="112" t="n">
        <v>79.14</v>
      </c>
      <c r="S1017" s="112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D1018" t="inlineStr"/>
      <c r="E1018" t="inlineStr">
        <is>
          <t>EQ</t>
        </is>
      </c>
      <c r="F1018" t="inlineStr"/>
      <c r="G1018" s="42" t="inlineStr"/>
      <c r="H1018" s="125" t="n">
        <v>46124</v>
      </c>
      <c r="I1018" t="inlineStr"/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N1018" t="inlineStr"/>
      <c r="O1018" t="inlineStr">
        <is>
          <t>RT1344</t>
        </is>
      </c>
      <c r="P1018" t="inlineStr"/>
      <c r="Q1018" s="112" t="n">
        <v>0</v>
      </c>
      <c r="R1018" s="112" t="n">
        <v>79.14</v>
      </c>
      <c r="S1018" s="112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D1019" t="inlineStr"/>
      <c r="E1019" t="inlineStr">
        <is>
          <t>EQ</t>
        </is>
      </c>
      <c r="F1019" t="inlineStr"/>
      <c r="G1019" s="42" t="inlineStr"/>
      <c r="H1019" s="125" t="n">
        <v>46124</v>
      </c>
      <c r="I1019" t="inlineStr"/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N1019" t="inlineStr"/>
      <c r="O1019" t="inlineStr">
        <is>
          <t>RT1344</t>
        </is>
      </c>
      <c r="P1019" t="inlineStr"/>
      <c r="Q1019" s="112" t="n">
        <v>0</v>
      </c>
      <c r="R1019" s="112" t="n">
        <v>79.14</v>
      </c>
      <c r="S1019" s="112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D1020" t="inlineStr"/>
      <c r="E1020" t="inlineStr">
        <is>
          <t>EQ</t>
        </is>
      </c>
      <c r="F1020" t="inlineStr"/>
      <c r="G1020" s="42" t="inlineStr"/>
      <c r="H1020" s="125" t="n">
        <v>46124</v>
      </c>
      <c r="I1020" t="inlineStr"/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N1020" t="inlineStr"/>
      <c r="O1020" t="inlineStr">
        <is>
          <t>TR260</t>
        </is>
      </c>
      <c r="P1020" t="inlineStr"/>
      <c r="Q1020" s="112" t="n">
        <v>0</v>
      </c>
      <c r="R1020" s="112" t="n">
        <v>75</v>
      </c>
      <c r="S1020" s="112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D1021" t="inlineStr"/>
      <c r="E1021" t="inlineStr">
        <is>
          <t>EQ</t>
        </is>
      </c>
      <c r="F1021" t="inlineStr"/>
      <c r="G1021" s="42" t="inlineStr"/>
      <c r="H1021" s="125" t="n">
        <v>46124</v>
      </c>
      <c r="I1021" t="inlineStr"/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N1021" t="inlineStr"/>
      <c r="O1021" t="inlineStr">
        <is>
          <t>TR260</t>
        </is>
      </c>
      <c r="P1021" t="inlineStr"/>
      <c r="Q1021" s="112" t="n">
        <v>0</v>
      </c>
      <c r="R1021" s="112" t="n">
        <v>75</v>
      </c>
      <c r="S1021" s="112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D1022" t="inlineStr"/>
      <c r="E1022" t="inlineStr">
        <is>
          <t>EQ</t>
        </is>
      </c>
      <c r="F1022" t="inlineStr"/>
      <c r="G1022" s="42" t="inlineStr"/>
      <c r="H1022" s="125" t="n">
        <v>46124</v>
      </c>
      <c r="I1022" t="inlineStr"/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N1022" t="inlineStr"/>
      <c r="O1022" t="inlineStr">
        <is>
          <t>TR260</t>
        </is>
      </c>
      <c r="P1022" t="inlineStr"/>
      <c r="Q1022" s="112" t="n">
        <v>0</v>
      </c>
      <c r="R1022" s="112" t="n">
        <v>75</v>
      </c>
      <c r="S1022" s="112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D1023" t="inlineStr"/>
      <c r="E1023" t="inlineStr">
        <is>
          <t>EQ</t>
        </is>
      </c>
      <c r="F1023" t="inlineStr"/>
      <c r="G1023" s="42" t="inlineStr"/>
      <c r="H1023" s="125" t="n">
        <v>46131</v>
      </c>
      <c r="I1023" t="inlineStr"/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N1023" t="inlineStr"/>
      <c r="O1023" t="inlineStr">
        <is>
          <t>TR419</t>
        </is>
      </c>
      <c r="P1023" t="inlineStr"/>
      <c r="Q1023" s="112" t="n">
        <v>0</v>
      </c>
      <c r="R1023" s="112" t="n">
        <v>65</v>
      </c>
      <c r="S1023" s="112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D1024" t="inlineStr"/>
      <c r="E1024" t="inlineStr">
        <is>
          <t>EQ</t>
        </is>
      </c>
      <c r="F1024" t="inlineStr"/>
      <c r="G1024" s="42" t="inlineStr"/>
      <c r="H1024" s="125" t="n">
        <v>46131</v>
      </c>
      <c r="I1024" t="inlineStr"/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N1024" t="inlineStr"/>
      <c r="O1024" t="inlineStr">
        <is>
          <t>TR419</t>
        </is>
      </c>
      <c r="P1024" t="inlineStr"/>
      <c r="Q1024" s="112" t="n">
        <v>0</v>
      </c>
      <c r="R1024" s="112" t="n">
        <v>65</v>
      </c>
      <c r="S1024" s="112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D1025" t="inlineStr"/>
      <c r="E1025" t="inlineStr">
        <is>
          <t>EQ</t>
        </is>
      </c>
      <c r="F1025" t="inlineStr"/>
      <c r="G1025" s="42" t="inlineStr"/>
      <c r="H1025" s="125" t="n">
        <v>46131</v>
      </c>
      <c r="I1025" t="inlineStr"/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N1025" t="inlineStr"/>
      <c r="O1025" t="inlineStr">
        <is>
          <t>TR419</t>
        </is>
      </c>
      <c r="P1025" t="inlineStr"/>
      <c r="Q1025" s="112" t="n">
        <v>0</v>
      </c>
      <c r="R1025" s="112" t="n">
        <v>65</v>
      </c>
      <c r="S1025" s="112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D1026" t="inlineStr"/>
      <c r="E1026" t="inlineStr">
        <is>
          <t>EQ</t>
        </is>
      </c>
      <c r="F1026" t="inlineStr"/>
      <c r="G1026" s="42" t="inlineStr"/>
      <c r="H1026" s="125" t="n">
        <v>46131</v>
      </c>
      <c r="I1026" t="inlineStr"/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N1026" t="inlineStr"/>
      <c r="O1026" t="inlineStr">
        <is>
          <t>TR419</t>
        </is>
      </c>
      <c r="P1026" t="inlineStr"/>
      <c r="Q1026" s="112" t="n">
        <v>0</v>
      </c>
      <c r="R1026" s="112" t="n">
        <v>65</v>
      </c>
      <c r="S1026" s="112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D1027" t="inlineStr"/>
      <c r="E1027" t="inlineStr">
        <is>
          <t>EQ</t>
        </is>
      </c>
      <c r="F1027" t="inlineStr"/>
      <c r="G1027" s="42" t="inlineStr"/>
      <c r="H1027" s="125" t="n">
        <v>46131</v>
      </c>
      <c r="I1027" t="inlineStr"/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N1027" t="inlineStr"/>
      <c r="O1027" t="inlineStr">
        <is>
          <t>TR419</t>
        </is>
      </c>
      <c r="P1027" t="inlineStr"/>
      <c r="Q1027" s="112" t="n">
        <v>0</v>
      </c>
      <c r="R1027" s="112" t="n">
        <v>65</v>
      </c>
      <c r="S1027" s="112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D1028" t="inlineStr"/>
      <c r="E1028" t="inlineStr">
        <is>
          <t>EQ</t>
        </is>
      </c>
      <c r="F1028" t="inlineStr"/>
      <c r="G1028" s="42" t="inlineStr"/>
      <c r="H1028" s="125" t="n">
        <v>46131</v>
      </c>
      <c r="I1028" t="inlineStr"/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N1028" t="inlineStr"/>
      <c r="O1028" t="inlineStr">
        <is>
          <t>TR419</t>
        </is>
      </c>
      <c r="P1028" t="inlineStr"/>
      <c r="Q1028" s="112" t="n">
        <v>0</v>
      </c>
      <c r="R1028" s="112" t="n">
        <v>65</v>
      </c>
      <c r="S1028" s="112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D1029" t="inlineStr"/>
      <c r="E1029" t="inlineStr">
        <is>
          <t>EQ</t>
        </is>
      </c>
      <c r="F1029" t="inlineStr"/>
      <c r="G1029" s="42" t="inlineStr"/>
      <c r="H1029" s="125" t="n">
        <v>46131</v>
      </c>
      <c r="I1029" t="inlineStr"/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N1029" t="inlineStr"/>
      <c r="O1029" t="inlineStr">
        <is>
          <t>RT1344</t>
        </is>
      </c>
      <c r="P1029" t="inlineStr"/>
      <c r="Q1029" s="112" t="n">
        <v>0</v>
      </c>
      <c r="R1029" s="112" t="n">
        <v>79.14</v>
      </c>
      <c r="S1029" s="112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D1030" t="inlineStr"/>
      <c r="E1030" t="inlineStr">
        <is>
          <t>EQ</t>
        </is>
      </c>
      <c r="F1030" t="inlineStr"/>
      <c r="G1030" s="42" t="inlineStr"/>
      <c r="H1030" s="125" t="n">
        <v>46131</v>
      </c>
      <c r="I1030" t="inlineStr"/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N1030" t="inlineStr"/>
      <c r="O1030" t="inlineStr">
        <is>
          <t>RT1344</t>
        </is>
      </c>
      <c r="P1030" t="inlineStr"/>
      <c r="Q1030" s="112" t="n">
        <v>0</v>
      </c>
      <c r="R1030" s="112" t="n">
        <v>79.14</v>
      </c>
      <c r="S1030" s="112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D1031" t="inlineStr"/>
      <c r="E1031" t="inlineStr">
        <is>
          <t>EQ</t>
        </is>
      </c>
      <c r="F1031" t="inlineStr"/>
      <c r="G1031" s="42" t="inlineStr"/>
      <c r="H1031" s="125" t="n">
        <v>46131</v>
      </c>
      <c r="I1031" t="inlineStr"/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N1031" t="inlineStr"/>
      <c r="O1031" t="inlineStr">
        <is>
          <t>RT1344</t>
        </is>
      </c>
      <c r="P1031" t="inlineStr"/>
      <c r="Q1031" s="112" t="n">
        <v>0</v>
      </c>
      <c r="R1031" s="112" t="n">
        <v>79.14</v>
      </c>
      <c r="S1031" s="112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D1032" t="inlineStr"/>
      <c r="E1032" t="inlineStr">
        <is>
          <t>EQ</t>
        </is>
      </c>
      <c r="F1032" t="inlineStr"/>
      <c r="G1032" s="42" t="inlineStr"/>
      <c r="H1032" s="125" t="n">
        <v>46131</v>
      </c>
      <c r="I1032" t="inlineStr"/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N1032" t="inlineStr"/>
      <c r="O1032" t="inlineStr">
        <is>
          <t>RT1344</t>
        </is>
      </c>
      <c r="P1032" t="inlineStr"/>
      <c r="Q1032" s="112" t="n">
        <v>0</v>
      </c>
      <c r="R1032" s="112" t="n">
        <v>79.14</v>
      </c>
      <c r="S1032" s="112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D1033" t="inlineStr"/>
      <c r="E1033" t="inlineStr">
        <is>
          <t>EQ</t>
        </is>
      </c>
      <c r="F1033" t="inlineStr"/>
      <c r="G1033" s="42" t="inlineStr"/>
      <c r="H1033" s="125" t="n">
        <v>46131</v>
      </c>
      <c r="I1033" t="inlineStr"/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N1033" t="inlineStr"/>
      <c r="O1033" t="inlineStr">
        <is>
          <t>RT1344</t>
        </is>
      </c>
      <c r="P1033" t="inlineStr"/>
      <c r="Q1033" s="112" t="n">
        <v>0</v>
      </c>
      <c r="R1033" s="112" t="n">
        <v>79.14</v>
      </c>
      <c r="S1033" s="112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D1034" t="inlineStr"/>
      <c r="E1034" t="inlineStr">
        <is>
          <t>EQ</t>
        </is>
      </c>
      <c r="F1034" t="inlineStr"/>
      <c r="G1034" s="42" t="inlineStr"/>
      <c r="H1034" s="125" t="n">
        <v>46131</v>
      </c>
      <c r="I1034" t="inlineStr"/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N1034" t="inlineStr"/>
      <c r="O1034" t="inlineStr">
        <is>
          <t>RT1344</t>
        </is>
      </c>
      <c r="P1034" t="inlineStr"/>
      <c r="Q1034" s="112" t="n">
        <v>0</v>
      </c>
      <c r="R1034" s="112" t="n">
        <v>79.14</v>
      </c>
      <c r="S1034" s="112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D1035" t="inlineStr"/>
      <c r="E1035" t="inlineStr">
        <is>
          <t>EQ</t>
        </is>
      </c>
      <c r="F1035" t="inlineStr"/>
      <c r="G1035" s="42" t="inlineStr"/>
      <c r="H1035" s="125" t="n">
        <v>46131</v>
      </c>
      <c r="I1035" t="inlineStr"/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N1035" t="inlineStr"/>
      <c r="O1035" t="inlineStr">
        <is>
          <t>TR260</t>
        </is>
      </c>
      <c r="P1035" t="inlineStr"/>
      <c r="Q1035" s="112" t="n">
        <v>0</v>
      </c>
      <c r="R1035" s="112" t="n">
        <v>75</v>
      </c>
      <c r="S1035" s="112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D1036" t="inlineStr"/>
      <c r="E1036" t="inlineStr">
        <is>
          <t>EQ</t>
        </is>
      </c>
      <c r="F1036" t="inlineStr"/>
      <c r="G1036" s="42" t="inlineStr"/>
      <c r="H1036" s="125" t="n">
        <v>46131</v>
      </c>
      <c r="I1036" t="inlineStr"/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N1036" t="inlineStr"/>
      <c r="O1036" t="inlineStr">
        <is>
          <t>TR260</t>
        </is>
      </c>
      <c r="P1036" t="inlineStr"/>
      <c r="Q1036" s="112" t="n">
        <v>0</v>
      </c>
      <c r="R1036" s="112" t="n">
        <v>75</v>
      </c>
      <c r="S1036" s="112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D1037" t="inlineStr"/>
      <c r="E1037" t="inlineStr">
        <is>
          <t>EQ</t>
        </is>
      </c>
      <c r="F1037" t="inlineStr"/>
      <c r="G1037" s="42" t="inlineStr"/>
      <c r="H1037" s="125" t="n">
        <v>46131</v>
      </c>
      <c r="I1037" t="inlineStr"/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N1037" t="inlineStr"/>
      <c r="O1037" t="inlineStr">
        <is>
          <t>TR260</t>
        </is>
      </c>
      <c r="P1037" t="inlineStr"/>
      <c r="Q1037" s="112" t="n">
        <v>0</v>
      </c>
      <c r="R1037" s="112" t="n">
        <v>75</v>
      </c>
      <c r="S1037" s="112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D1038" t="inlineStr"/>
      <c r="E1038" t="inlineStr">
        <is>
          <t>EQ</t>
        </is>
      </c>
      <c r="F1038" t="inlineStr"/>
      <c r="G1038" s="42" t="inlineStr"/>
      <c r="H1038" s="125" t="n">
        <v>46131</v>
      </c>
      <c r="I1038" t="inlineStr"/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N1038" t="inlineStr"/>
      <c r="O1038" t="inlineStr">
        <is>
          <t>TR260</t>
        </is>
      </c>
      <c r="P1038" t="inlineStr"/>
      <c r="Q1038" s="112" t="n">
        <v>0</v>
      </c>
      <c r="R1038" s="112" t="n">
        <v>75</v>
      </c>
      <c r="S1038" s="112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D1039" t="inlineStr"/>
      <c r="E1039" t="inlineStr">
        <is>
          <t>EQ</t>
        </is>
      </c>
      <c r="F1039" t="inlineStr"/>
      <c r="G1039" s="42" t="inlineStr"/>
      <c r="H1039" s="125" t="n">
        <v>46131</v>
      </c>
      <c r="I1039" t="inlineStr"/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N1039" t="inlineStr"/>
      <c r="O1039" t="inlineStr">
        <is>
          <t>TR260</t>
        </is>
      </c>
      <c r="P1039" t="inlineStr"/>
      <c r="Q1039" s="112" t="n">
        <v>0</v>
      </c>
      <c r="R1039" s="112" t="n">
        <v>75</v>
      </c>
      <c r="S1039" s="112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D1040" t="inlineStr"/>
      <c r="E1040" t="inlineStr">
        <is>
          <t>EQ</t>
        </is>
      </c>
      <c r="F1040" t="inlineStr"/>
      <c r="G1040" s="42" t="inlineStr"/>
      <c r="H1040" s="125" t="n">
        <v>46131</v>
      </c>
      <c r="I1040" t="inlineStr"/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N1040" t="inlineStr"/>
      <c r="O1040" t="inlineStr">
        <is>
          <t>TR260</t>
        </is>
      </c>
      <c r="P1040" t="inlineStr"/>
      <c r="Q1040" s="112" t="n">
        <v>0</v>
      </c>
      <c r="R1040" s="112" t="n">
        <v>75</v>
      </c>
      <c r="S1040" s="112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D1041" t="inlineStr"/>
      <c r="E1041" t="inlineStr">
        <is>
          <t>EQ</t>
        </is>
      </c>
      <c r="F1041" t="inlineStr"/>
      <c r="G1041" s="42" t="inlineStr"/>
      <c r="H1041" s="125" t="n">
        <v>46131</v>
      </c>
      <c r="I1041" t="inlineStr"/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N1041" t="inlineStr"/>
      <c r="O1041" t="inlineStr">
        <is>
          <t>TR154</t>
        </is>
      </c>
      <c r="P1041" t="inlineStr"/>
      <c r="Q1041" s="112" t="n">
        <v>0</v>
      </c>
      <c r="R1041" s="112" t="n">
        <v>15</v>
      </c>
      <c r="S1041" s="112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D1042" t="inlineStr"/>
      <c r="E1042" t="inlineStr">
        <is>
          <t>EQ</t>
        </is>
      </c>
      <c r="F1042" t="inlineStr"/>
      <c r="G1042" s="42" t="inlineStr"/>
      <c r="H1042" s="125" t="n">
        <v>46131</v>
      </c>
      <c r="I1042" t="inlineStr"/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N1042" t="inlineStr"/>
      <c r="O1042" t="inlineStr">
        <is>
          <t>TR154</t>
        </is>
      </c>
      <c r="P1042" t="inlineStr"/>
      <c r="Q1042" s="112" t="n">
        <v>0</v>
      </c>
      <c r="R1042" s="112" t="n">
        <v>15</v>
      </c>
      <c r="S1042" s="112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D1043" t="inlineStr"/>
      <c r="E1043" t="inlineStr">
        <is>
          <t>EQ</t>
        </is>
      </c>
      <c r="F1043" t="inlineStr"/>
      <c r="G1043" s="42" t="inlineStr"/>
      <c r="H1043" s="125" t="n">
        <v>46131</v>
      </c>
      <c r="I1043" t="inlineStr"/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N1043" t="inlineStr"/>
      <c r="O1043" t="inlineStr">
        <is>
          <t>TR154</t>
        </is>
      </c>
      <c r="P1043" t="inlineStr"/>
      <c r="Q1043" s="112" t="n">
        <v>0</v>
      </c>
      <c r="R1043" s="112" t="n">
        <v>15</v>
      </c>
      <c r="S1043" s="112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D1044" t="inlineStr"/>
      <c r="E1044" t="inlineStr">
        <is>
          <t>EQ</t>
        </is>
      </c>
      <c r="F1044" t="inlineStr"/>
      <c r="G1044" s="42" t="inlineStr"/>
      <c r="H1044" s="125" t="n">
        <v>46131</v>
      </c>
      <c r="I1044" t="inlineStr"/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N1044" t="inlineStr"/>
      <c r="O1044" t="inlineStr">
        <is>
          <t>TR154</t>
        </is>
      </c>
      <c r="P1044" t="inlineStr"/>
      <c r="Q1044" s="112" t="n">
        <v>0</v>
      </c>
      <c r="R1044" s="112" t="n">
        <v>15</v>
      </c>
      <c r="S1044" s="112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D1045" t="inlineStr"/>
      <c r="E1045" t="inlineStr">
        <is>
          <t>EQ</t>
        </is>
      </c>
      <c r="F1045" t="inlineStr"/>
      <c r="G1045" s="42" t="inlineStr"/>
      <c r="H1045" s="125" t="n">
        <v>46131</v>
      </c>
      <c r="I1045" t="inlineStr"/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N1045" t="inlineStr"/>
      <c r="O1045" t="inlineStr">
        <is>
          <t>TR154</t>
        </is>
      </c>
      <c r="P1045" t="inlineStr"/>
      <c r="Q1045" s="112" t="n">
        <v>0</v>
      </c>
      <c r="R1045" s="112" t="n">
        <v>15</v>
      </c>
      <c r="S1045" s="112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D1046" t="inlineStr"/>
      <c r="E1046" t="inlineStr">
        <is>
          <t>EQ</t>
        </is>
      </c>
      <c r="F1046" t="inlineStr"/>
      <c r="G1046" s="42" t="inlineStr"/>
      <c r="H1046" s="125" t="n">
        <v>46131</v>
      </c>
      <c r="I1046" t="inlineStr"/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N1046" t="inlineStr"/>
      <c r="O1046" t="inlineStr">
        <is>
          <t>TR154</t>
        </is>
      </c>
      <c r="P1046" t="inlineStr"/>
      <c r="Q1046" s="112" t="n">
        <v>0</v>
      </c>
      <c r="R1046" s="112" t="n">
        <v>15</v>
      </c>
      <c r="S1046" s="112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D1047" t="inlineStr"/>
      <c r="E1047" t="inlineStr">
        <is>
          <t>EQ</t>
        </is>
      </c>
      <c r="F1047" t="inlineStr"/>
      <c r="G1047" s="42" t="inlineStr"/>
      <c r="H1047" s="125" t="n">
        <v>46131</v>
      </c>
      <c r="I1047" t="inlineStr"/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N1047" t="inlineStr"/>
      <c r="O1047" t="inlineStr">
        <is>
          <t>TR280</t>
        </is>
      </c>
      <c r="P1047" t="inlineStr"/>
      <c r="Q1047" s="112" t="n">
        <v>0</v>
      </c>
      <c r="R1047" s="112" t="n">
        <v>15</v>
      </c>
      <c r="S1047" s="112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D1048" t="inlineStr"/>
      <c r="E1048" t="inlineStr">
        <is>
          <t>EQ</t>
        </is>
      </c>
      <c r="F1048" t="inlineStr"/>
      <c r="G1048" s="42" t="inlineStr"/>
      <c r="H1048" s="125" t="n">
        <v>46131</v>
      </c>
      <c r="I1048" t="inlineStr"/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N1048" t="inlineStr"/>
      <c r="O1048" t="inlineStr">
        <is>
          <t>TR280</t>
        </is>
      </c>
      <c r="P1048" t="inlineStr"/>
      <c r="Q1048" s="112" t="n">
        <v>0</v>
      </c>
      <c r="R1048" s="112" t="n">
        <v>15</v>
      </c>
      <c r="S1048" s="112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D1049" t="inlineStr"/>
      <c r="E1049" t="inlineStr">
        <is>
          <t>EQ</t>
        </is>
      </c>
      <c r="F1049" t="inlineStr"/>
      <c r="G1049" s="42" t="inlineStr"/>
      <c r="H1049" s="125" t="n">
        <v>46131</v>
      </c>
      <c r="I1049" t="inlineStr"/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N1049" t="inlineStr"/>
      <c r="O1049" t="inlineStr">
        <is>
          <t>TR280</t>
        </is>
      </c>
      <c r="P1049" t="inlineStr"/>
      <c r="Q1049" s="112" t="n">
        <v>0</v>
      </c>
      <c r="R1049" s="112" t="n">
        <v>15</v>
      </c>
      <c r="S1049" s="112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D1050" t="inlineStr"/>
      <c r="E1050" t="inlineStr">
        <is>
          <t>EQ</t>
        </is>
      </c>
      <c r="F1050" t="inlineStr"/>
      <c r="G1050" s="42" t="inlineStr"/>
      <c r="H1050" s="125" t="n">
        <v>46131</v>
      </c>
      <c r="I1050" t="inlineStr"/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N1050" t="inlineStr"/>
      <c r="O1050" t="inlineStr">
        <is>
          <t>TR280</t>
        </is>
      </c>
      <c r="P1050" t="inlineStr"/>
      <c r="Q1050" s="112" t="n">
        <v>0</v>
      </c>
      <c r="R1050" s="112" t="n">
        <v>15</v>
      </c>
      <c r="S1050" s="112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D1051" t="inlineStr"/>
      <c r="E1051" t="inlineStr">
        <is>
          <t>EQ</t>
        </is>
      </c>
      <c r="F1051" t="inlineStr"/>
      <c r="G1051" s="42" t="inlineStr"/>
      <c r="H1051" s="125" t="n">
        <v>46131</v>
      </c>
      <c r="I1051" t="inlineStr"/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N1051" t="inlineStr"/>
      <c r="O1051" t="inlineStr">
        <is>
          <t>TR280</t>
        </is>
      </c>
      <c r="P1051" t="inlineStr"/>
      <c r="Q1051" s="112" t="n">
        <v>0</v>
      </c>
      <c r="R1051" s="112" t="n">
        <v>15</v>
      </c>
      <c r="S1051" s="112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D1052" t="inlineStr"/>
      <c r="E1052" t="inlineStr">
        <is>
          <t>EQ</t>
        </is>
      </c>
      <c r="F1052" t="inlineStr"/>
      <c r="G1052" s="42" t="inlineStr"/>
      <c r="H1052" s="125" t="n">
        <v>46131</v>
      </c>
      <c r="I1052" t="inlineStr"/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N1052" t="inlineStr"/>
      <c r="O1052" t="inlineStr">
        <is>
          <t>TR280</t>
        </is>
      </c>
      <c r="P1052" t="inlineStr"/>
      <c r="Q1052" s="112" t="n">
        <v>0</v>
      </c>
      <c r="R1052" s="112" t="n">
        <v>15</v>
      </c>
      <c r="S1052" s="112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D1053" t="inlineStr"/>
      <c r="E1053" t="inlineStr">
        <is>
          <t>EQ</t>
        </is>
      </c>
      <c r="F1053" t="inlineStr"/>
      <c r="G1053" s="42" t="inlineStr"/>
      <c r="H1053" s="125" t="n">
        <v>46131</v>
      </c>
      <c r="I1053" t="inlineStr"/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N1053" t="inlineStr"/>
      <c r="O1053" t="inlineStr">
        <is>
          <t>WHV001</t>
        </is>
      </c>
      <c r="P1053" t="inlineStr"/>
      <c r="Q1053" s="112" t="n">
        <v>0</v>
      </c>
      <c r="R1053" s="112" t="n">
        <v>250</v>
      </c>
      <c r="S1053" s="112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D1054" t="inlineStr"/>
      <c r="E1054" t="inlineStr">
        <is>
          <t>EQ</t>
        </is>
      </c>
      <c r="F1054" t="inlineStr"/>
      <c r="G1054" s="42" t="inlineStr"/>
      <c r="H1054" s="125" t="n">
        <v>46131</v>
      </c>
      <c r="I1054" t="inlineStr"/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N1054" t="inlineStr"/>
      <c r="O1054" t="inlineStr">
        <is>
          <t>WHV001</t>
        </is>
      </c>
      <c r="P1054" t="inlineStr"/>
      <c r="Q1054" s="112" t="n">
        <v>0</v>
      </c>
      <c r="R1054" s="112" t="n">
        <v>250</v>
      </c>
      <c r="S1054" s="112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D1055" t="inlineStr"/>
      <c r="E1055" t="inlineStr">
        <is>
          <t>EQ</t>
        </is>
      </c>
      <c r="F1055" t="inlineStr"/>
      <c r="G1055" s="42" t="inlineStr"/>
      <c r="H1055" s="125" t="n">
        <v>46131</v>
      </c>
      <c r="I1055" t="inlineStr"/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N1055" t="inlineStr"/>
      <c r="O1055" t="inlineStr">
        <is>
          <t>WHV001</t>
        </is>
      </c>
      <c r="P1055" t="inlineStr"/>
      <c r="Q1055" s="112" t="n">
        <v>0</v>
      </c>
      <c r="R1055" s="112" t="n">
        <v>250</v>
      </c>
      <c r="S1055" s="112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D1056" t="inlineStr"/>
      <c r="E1056" t="inlineStr">
        <is>
          <t>EQ</t>
        </is>
      </c>
      <c r="F1056" t="inlineStr"/>
      <c r="G1056" s="42" t="inlineStr"/>
      <c r="H1056" s="125" t="n">
        <v>46131</v>
      </c>
      <c r="I1056" t="inlineStr"/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N1056" t="inlineStr"/>
      <c r="O1056" t="inlineStr">
        <is>
          <t>WHV001</t>
        </is>
      </c>
      <c r="P1056" t="inlineStr"/>
      <c r="Q1056" s="112" t="n">
        <v>0</v>
      </c>
      <c r="R1056" s="112" t="n">
        <v>250</v>
      </c>
      <c r="S1056" s="112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D1057" t="inlineStr"/>
      <c r="E1057" t="inlineStr">
        <is>
          <t>EQ</t>
        </is>
      </c>
      <c r="F1057" t="inlineStr"/>
      <c r="G1057" s="42" t="inlineStr"/>
      <c r="H1057" s="125" t="n">
        <v>46131</v>
      </c>
      <c r="I1057" t="inlineStr"/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N1057" t="inlineStr"/>
      <c r="O1057" t="inlineStr">
        <is>
          <t>TR473</t>
        </is>
      </c>
      <c r="P1057" t="inlineStr"/>
      <c r="Q1057" s="112" t="n">
        <v>0</v>
      </c>
      <c r="R1057" s="112" t="n">
        <v>0</v>
      </c>
      <c r="S1057" s="112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D1058" t="inlineStr"/>
      <c r="E1058" t="inlineStr">
        <is>
          <t>EQ</t>
        </is>
      </c>
      <c r="F1058" t="inlineStr"/>
      <c r="G1058" s="42" t="inlineStr"/>
      <c r="H1058" s="125" t="n">
        <v>46131</v>
      </c>
      <c r="I1058" t="inlineStr"/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N1058" t="inlineStr"/>
      <c r="O1058" t="inlineStr">
        <is>
          <t>TR473</t>
        </is>
      </c>
      <c r="P1058" t="inlineStr"/>
      <c r="Q1058" s="112" t="n">
        <v>0</v>
      </c>
      <c r="R1058" s="112" t="n">
        <v>0</v>
      </c>
      <c r="S1058" s="112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D1059" t="inlineStr"/>
      <c r="E1059" t="inlineStr">
        <is>
          <t>EQ</t>
        </is>
      </c>
      <c r="F1059" t="inlineStr"/>
      <c r="G1059" s="42" t="inlineStr"/>
      <c r="H1059" s="125" t="n">
        <v>46131</v>
      </c>
      <c r="I1059" t="inlineStr"/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N1059" t="inlineStr"/>
      <c r="O1059" t="inlineStr">
        <is>
          <t>TR473</t>
        </is>
      </c>
      <c r="P1059" t="inlineStr"/>
      <c r="Q1059" s="112" t="n">
        <v>0</v>
      </c>
      <c r="R1059" s="112" t="n">
        <v>0</v>
      </c>
      <c r="S1059" s="112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D1060" t="inlineStr"/>
      <c r="E1060" t="inlineStr">
        <is>
          <t>EQ</t>
        </is>
      </c>
      <c r="F1060" t="inlineStr"/>
      <c r="G1060" s="42" t="inlineStr"/>
      <c r="H1060" s="125" t="n">
        <v>46131</v>
      </c>
      <c r="I1060" t="inlineStr"/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N1060" t="inlineStr"/>
      <c r="O1060" t="inlineStr">
        <is>
          <t>TR473</t>
        </is>
      </c>
      <c r="P1060" t="inlineStr"/>
      <c r="Q1060" s="112" t="n">
        <v>0</v>
      </c>
      <c r="R1060" s="112" t="n">
        <v>0</v>
      </c>
      <c r="S1060" s="112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D1061" t="inlineStr"/>
      <c r="E1061" t="inlineStr">
        <is>
          <t>EQ</t>
        </is>
      </c>
      <c r="F1061" t="inlineStr"/>
      <c r="G1061" s="42" t="inlineStr"/>
      <c r="H1061" s="125" t="n">
        <v>46131</v>
      </c>
      <c r="I1061" t="inlineStr"/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N1061" t="inlineStr"/>
      <c r="O1061" t="inlineStr">
        <is>
          <t>TR461</t>
        </is>
      </c>
      <c r="P1061" t="inlineStr"/>
      <c r="Q1061" s="112" t="n">
        <v>0</v>
      </c>
      <c r="R1061" s="112" t="n">
        <v>65</v>
      </c>
      <c r="S1061" s="112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D1062" t="inlineStr"/>
      <c r="E1062" t="inlineStr">
        <is>
          <t>EQ</t>
        </is>
      </c>
      <c r="F1062" t="inlineStr"/>
      <c r="G1062" s="42" t="inlineStr"/>
      <c r="H1062" s="125" t="n">
        <v>46131</v>
      </c>
      <c r="I1062" t="inlineStr"/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N1062" t="inlineStr"/>
      <c r="O1062" t="inlineStr">
        <is>
          <t>TR461</t>
        </is>
      </c>
      <c r="P1062" t="inlineStr"/>
      <c r="Q1062" s="112" t="n">
        <v>0</v>
      </c>
      <c r="R1062" s="112" t="n">
        <v>65</v>
      </c>
      <c r="S1062" s="112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D1063" t="inlineStr"/>
      <c r="E1063" t="inlineStr">
        <is>
          <t>EQ</t>
        </is>
      </c>
      <c r="F1063" t="inlineStr"/>
      <c r="G1063" s="42" t="inlineStr"/>
      <c r="H1063" s="125" t="n">
        <v>46131</v>
      </c>
      <c r="I1063" t="inlineStr"/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N1063" t="inlineStr"/>
      <c r="O1063" t="inlineStr">
        <is>
          <t>TR461</t>
        </is>
      </c>
      <c r="P1063" t="inlineStr"/>
      <c r="Q1063" s="112" t="n">
        <v>0</v>
      </c>
      <c r="R1063" s="112" t="n">
        <v>65</v>
      </c>
      <c r="S1063" s="112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D1064" t="inlineStr"/>
      <c r="E1064" t="inlineStr">
        <is>
          <t>EQ</t>
        </is>
      </c>
      <c r="F1064" t="inlineStr"/>
      <c r="G1064" s="42" t="inlineStr"/>
      <c r="H1064" s="125" t="n">
        <v>46131</v>
      </c>
      <c r="I1064" t="inlineStr"/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N1064" t="inlineStr"/>
      <c r="O1064" t="inlineStr">
        <is>
          <t>TR462</t>
        </is>
      </c>
      <c r="P1064" t="inlineStr"/>
      <c r="Q1064" s="112" t="n">
        <v>0</v>
      </c>
      <c r="R1064" s="112" t="n">
        <v>65</v>
      </c>
      <c r="S1064" s="112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D1065" t="inlineStr"/>
      <c r="E1065" t="inlineStr">
        <is>
          <t>EQ</t>
        </is>
      </c>
      <c r="F1065" t="inlineStr"/>
      <c r="G1065" s="42" t="inlineStr"/>
      <c r="H1065" s="125" t="n">
        <v>46131</v>
      </c>
      <c r="I1065" t="inlineStr"/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N1065" t="inlineStr"/>
      <c r="O1065" t="inlineStr">
        <is>
          <t>TR462</t>
        </is>
      </c>
      <c r="P1065" t="inlineStr"/>
      <c r="Q1065" s="112" t="n">
        <v>0</v>
      </c>
      <c r="R1065" s="112" t="n">
        <v>65</v>
      </c>
      <c r="S1065" s="112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D1066" t="inlineStr"/>
      <c r="E1066" t="inlineStr">
        <is>
          <t>EQ</t>
        </is>
      </c>
      <c r="F1066" t="inlineStr"/>
      <c r="G1066" s="42" t="inlineStr"/>
      <c r="H1066" s="125" t="n">
        <v>46131</v>
      </c>
      <c r="I1066" t="inlineStr"/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N1066" t="inlineStr"/>
      <c r="O1066" t="inlineStr">
        <is>
          <t>TR462</t>
        </is>
      </c>
      <c r="P1066" t="inlineStr"/>
      <c r="Q1066" s="112" t="n">
        <v>0</v>
      </c>
      <c r="R1066" s="112" t="n">
        <v>65</v>
      </c>
      <c r="S1066" s="112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D1067" t="inlineStr"/>
      <c r="E1067" t="inlineStr">
        <is>
          <t>EQ</t>
        </is>
      </c>
      <c r="F1067" t="inlineStr"/>
      <c r="G1067" s="126" t="inlineStr"/>
      <c r="H1067" s="125" t="n">
        <v>46131</v>
      </c>
      <c r="I1067" t="inlineStr"/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N1067" t="inlineStr"/>
      <c r="O1067" t="inlineStr">
        <is>
          <t>TR463</t>
        </is>
      </c>
      <c r="P1067" t="inlineStr"/>
      <c r="Q1067" s="112" t="n">
        <v>0</v>
      </c>
      <c r="R1067" s="112" t="n">
        <v>65</v>
      </c>
      <c r="S1067" s="112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D1068" t="inlineStr"/>
      <c r="E1068" t="inlineStr">
        <is>
          <t>EQ</t>
        </is>
      </c>
      <c r="F1068" t="inlineStr"/>
      <c r="G1068" s="126" t="inlineStr"/>
      <c r="H1068" s="125" t="n">
        <v>46131</v>
      </c>
      <c r="I1068" t="inlineStr"/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N1068" t="inlineStr"/>
      <c r="O1068" t="inlineStr">
        <is>
          <t>TR463</t>
        </is>
      </c>
      <c r="P1068" t="inlineStr"/>
      <c r="Q1068" s="112" t="n">
        <v>0</v>
      </c>
      <c r="R1068" s="112" t="n">
        <v>65</v>
      </c>
      <c r="S1068" s="112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D1069" t="inlineStr"/>
      <c r="E1069" t="inlineStr">
        <is>
          <t>EQ</t>
        </is>
      </c>
      <c r="F1069" t="inlineStr"/>
      <c r="G1069" s="126" t="inlineStr"/>
      <c r="H1069" s="125" t="n">
        <v>46131</v>
      </c>
      <c r="I1069" t="inlineStr"/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N1069" t="inlineStr"/>
      <c r="O1069" t="inlineStr">
        <is>
          <t>TR463</t>
        </is>
      </c>
      <c r="P1069" t="inlineStr"/>
      <c r="Q1069" s="112" t="n">
        <v>0</v>
      </c>
      <c r="R1069" s="112" t="n">
        <v>65</v>
      </c>
      <c r="S1069" s="112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D1070" t="inlineStr"/>
      <c r="E1070" t="inlineStr">
        <is>
          <t>EQ</t>
        </is>
      </c>
      <c r="F1070" t="inlineStr"/>
      <c r="G1070" s="126" t="inlineStr"/>
      <c r="H1070" s="125" t="n">
        <v>46131</v>
      </c>
      <c r="I1070" t="inlineStr"/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N1070" t="inlineStr"/>
      <c r="O1070" t="inlineStr">
        <is>
          <t>TR464</t>
        </is>
      </c>
      <c r="P1070" t="inlineStr"/>
      <c r="Q1070" s="112" t="n">
        <v>0</v>
      </c>
      <c r="R1070" s="112" t="n">
        <v>65</v>
      </c>
      <c r="S1070" s="112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D1071" t="inlineStr"/>
      <c r="E1071" t="inlineStr">
        <is>
          <t>EQ</t>
        </is>
      </c>
      <c r="F1071" t="inlineStr"/>
      <c r="G1071" s="126" t="inlineStr"/>
      <c r="H1071" s="125" t="n">
        <v>46131</v>
      </c>
      <c r="I1071" t="inlineStr"/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N1071" t="inlineStr"/>
      <c r="O1071" t="inlineStr">
        <is>
          <t>TR464</t>
        </is>
      </c>
      <c r="P1071" t="inlineStr"/>
      <c r="Q1071" s="112" t="n">
        <v>0</v>
      </c>
      <c r="R1071" s="112" t="n">
        <v>65</v>
      </c>
      <c r="S1071" s="112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D1072" t="inlineStr"/>
      <c r="E1072" t="inlineStr">
        <is>
          <t>EQ</t>
        </is>
      </c>
      <c r="F1072" t="inlineStr"/>
      <c r="G1072" s="126" t="inlineStr"/>
      <c r="H1072" s="125" t="n">
        <v>46131</v>
      </c>
      <c r="I1072" t="inlineStr"/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N1072" t="inlineStr"/>
      <c r="O1072" t="inlineStr">
        <is>
          <t>TR464</t>
        </is>
      </c>
      <c r="P1072" t="inlineStr"/>
      <c r="Q1072" s="112" t="n">
        <v>0</v>
      </c>
      <c r="R1072" s="112" t="n">
        <v>65</v>
      </c>
      <c r="S1072" s="112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D1073" t="inlineStr"/>
      <c r="E1073" t="inlineStr">
        <is>
          <t>EQ</t>
        </is>
      </c>
      <c r="F1073" t="inlineStr"/>
      <c r="G1073" s="126" t="inlineStr"/>
      <c r="H1073" s="125" t="n">
        <v>46131</v>
      </c>
      <c r="I1073" t="inlineStr"/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N1073" t="inlineStr"/>
      <c r="O1073" t="inlineStr">
        <is>
          <t>WTL002</t>
        </is>
      </c>
      <c r="P1073" t="inlineStr"/>
      <c r="Q1073" s="112" t="n">
        <v>0</v>
      </c>
      <c r="R1073" s="112" t="n">
        <v>55</v>
      </c>
      <c r="S1073" s="112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D1074" t="inlineStr"/>
      <c r="E1074" t="inlineStr">
        <is>
          <t>EQ</t>
        </is>
      </c>
      <c r="F1074" t="inlineStr"/>
      <c r="G1074" s="126" t="inlineStr"/>
      <c r="H1074" s="125" t="n">
        <v>46131</v>
      </c>
      <c r="I1074" t="inlineStr"/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N1074" t="inlineStr"/>
      <c r="O1074" t="inlineStr">
        <is>
          <t>WTL002</t>
        </is>
      </c>
      <c r="P1074" t="inlineStr"/>
      <c r="Q1074" s="112" t="n">
        <v>0</v>
      </c>
      <c r="R1074" s="112" t="n">
        <v>55</v>
      </c>
      <c r="S1074" s="112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D1075" t="inlineStr"/>
      <c r="E1075" t="inlineStr">
        <is>
          <t>EQ</t>
        </is>
      </c>
      <c r="F1075" t="inlineStr"/>
      <c r="G1075" s="126" t="inlineStr"/>
      <c r="H1075" s="125" t="n">
        <v>46131</v>
      </c>
      <c r="I1075" t="inlineStr"/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N1075" t="inlineStr"/>
      <c r="O1075" t="inlineStr">
        <is>
          <t>WTL002</t>
        </is>
      </c>
      <c r="P1075" t="inlineStr"/>
      <c r="Q1075" s="112" t="n">
        <v>0</v>
      </c>
      <c r="R1075" s="112" t="n">
        <v>55</v>
      </c>
      <c r="S1075" s="112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D1076" t="inlineStr"/>
      <c r="E1076" t="inlineStr">
        <is>
          <t>EQ</t>
        </is>
      </c>
      <c r="F1076" t="inlineStr"/>
      <c r="G1076" s="126" t="inlineStr"/>
      <c r="H1076" s="125" t="n">
        <v>46131</v>
      </c>
      <c r="I1076" t="inlineStr"/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N1076" t="inlineStr"/>
      <c r="O1076" t="inlineStr">
        <is>
          <t>WTL002</t>
        </is>
      </c>
      <c r="P1076" t="inlineStr"/>
      <c r="Q1076" s="112" t="n">
        <v>0</v>
      </c>
      <c r="R1076" s="112" t="n">
        <v>55</v>
      </c>
      <c r="S1076" s="112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D1077" t="inlineStr"/>
      <c r="E1077" t="inlineStr">
        <is>
          <t>EQ</t>
        </is>
      </c>
      <c r="F1077" t="inlineStr"/>
      <c r="G1077" s="126" t="inlineStr"/>
      <c r="H1077" s="125" t="n">
        <v>46138</v>
      </c>
      <c r="I1077" t="inlineStr"/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N1077" t="inlineStr"/>
      <c r="O1077" t="inlineStr">
        <is>
          <t>TR419</t>
        </is>
      </c>
      <c r="P1077" t="inlineStr"/>
      <c r="Q1077" s="112" t="n">
        <v>0</v>
      </c>
      <c r="R1077" s="112" t="n">
        <v>65</v>
      </c>
      <c r="S1077" s="112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D1078" t="inlineStr"/>
      <c r="E1078" t="inlineStr">
        <is>
          <t>EQ</t>
        </is>
      </c>
      <c r="F1078" t="inlineStr"/>
      <c r="G1078" s="126" t="inlineStr"/>
      <c r="H1078" s="125" t="n">
        <v>46138</v>
      </c>
      <c r="I1078" t="inlineStr"/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N1078" t="inlineStr"/>
      <c r="O1078" t="inlineStr">
        <is>
          <t>TR419</t>
        </is>
      </c>
      <c r="P1078" t="inlineStr"/>
      <c r="Q1078" s="112" t="n">
        <v>0</v>
      </c>
      <c r="R1078" s="112" t="n">
        <v>65</v>
      </c>
      <c r="S1078" s="112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D1079" t="inlineStr"/>
      <c r="E1079" t="inlineStr">
        <is>
          <t>EQ</t>
        </is>
      </c>
      <c r="F1079" t="inlineStr"/>
      <c r="G1079" s="126" t="inlineStr"/>
      <c r="H1079" s="125" t="n">
        <v>46138</v>
      </c>
      <c r="I1079" t="inlineStr"/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N1079" t="inlineStr"/>
      <c r="O1079" t="inlineStr">
        <is>
          <t>TR419</t>
        </is>
      </c>
      <c r="P1079" t="inlineStr"/>
      <c r="Q1079" s="112" t="n">
        <v>0</v>
      </c>
      <c r="R1079" s="112" t="n">
        <v>65</v>
      </c>
      <c r="S1079" s="112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D1080" t="inlineStr"/>
      <c r="E1080" t="inlineStr">
        <is>
          <t>EQ</t>
        </is>
      </c>
      <c r="F1080" t="inlineStr"/>
      <c r="G1080" s="126" t="inlineStr"/>
      <c r="H1080" s="125" t="n">
        <v>46138</v>
      </c>
      <c r="I1080" t="inlineStr"/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N1080" t="inlineStr"/>
      <c r="O1080" t="inlineStr">
        <is>
          <t>TR419</t>
        </is>
      </c>
      <c r="P1080" t="inlineStr"/>
      <c r="Q1080" s="112" t="n">
        <v>0</v>
      </c>
      <c r="R1080" s="112" t="n">
        <v>65</v>
      </c>
      <c r="S1080" s="112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D1081" t="inlineStr"/>
      <c r="E1081" t="inlineStr">
        <is>
          <t>EQ</t>
        </is>
      </c>
      <c r="F1081" t="inlineStr"/>
      <c r="G1081" s="126" t="inlineStr"/>
      <c r="H1081" s="125" t="n">
        <v>46138</v>
      </c>
      <c r="I1081" t="inlineStr"/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N1081" t="inlineStr"/>
      <c r="O1081" t="inlineStr">
        <is>
          <t>TR419</t>
        </is>
      </c>
      <c r="P1081" t="inlineStr"/>
      <c r="Q1081" s="112" t="n">
        <v>0</v>
      </c>
      <c r="R1081" s="112" t="n">
        <v>65</v>
      </c>
      <c r="S1081" s="112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D1082" t="inlineStr"/>
      <c r="E1082" t="inlineStr">
        <is>
          <t>EQ</t>
        </is>
      </c>
      <c r="F1082" t="inlineStr"/>
      <c r="G1082" s="126" t="inlineStr"/>
      <c r="H1082" s="125" t="n">
        <v>46138</v>
      </c>
      <c r="I1082" t="inlineStr"/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N1082" t="inlineStr"/>
      <c r="O1082" t="inlineStr">
        <is>
          <t>TR419</t>
        </is>
      </c>
      <c r="P1082" t="inlineStr"/>
      <c r="Q1082" s="112" t="n">
        <v>0</v>
      </c>
      <c r="R1082" s="112" t="n">
        <v>65</v>
      </c>
      <c r="S1082" s="112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D1083" t="inlineStr"/>
      <c r="E1083" t="inlineStr">
        <is>
          <t>EQ</t>
        </is>
      </c>
      <c r="F1083" t="inlineStr"/>
      <c r="G1083" s="126" t="inlineStr"/>
      <c r="H1083" s="125" t="n">
        <v>46138</v>
      </c>
      <c r="I1083" t="inlineStr"/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N1083" t="inlineStr"/>
      <c r="O1083" t="inlineStr">
        <is>
          <t>RT1344</t>
        </is>
      </c>
      <c r="P1083" t="inlineStr"/>
      <c r="Q1083" s="112" t="n">
        <v>0</v>
      </c>
      <c r="R1083" s="112" t="n">
        <v>79.14</v>
      </c>
      <c r="S1083" s="112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D1084" t="inlineStr"/>
      <c r="E1084" t="inlineStr">
        <is>
          <t>EQ</t>
        </is>
      </c>
      <c r="F1084" t="inlineStr"/>
      <c r="G1084" s="126" t="inlineStr"/>
      <c r="H1084" s="125" t="n">
        <v>46138</v>
      </c>
      <c r="I1084" t="inlineStr"/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N1084" t="inlineStr"/>
      <c r="O1084" t="inlineStr">
        <is>
          <t>RT1344</t>
        </is>
      </c>
      <c r="P1084" t="inlineStr"/>
      <c r="Q1084" s="112" t="n">
        <v>0</v>
      </c>
      <c r="R1084" s="112" t="n">
        <v>79.14</v>
      </c>
      <c r="S1084" s="112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D1085" t="inlineStr"/>
      <c r="E1085" t="inlineStr">
        <is>
          <t>EQ</t>
        </is>
      </c>
      <c r="F1085" t="inlineStr"/>
      <c r="G1085" s="126" t="inlineStr"/>
      <c r="H1085" s="125" t="n">
        <v>46138</v>
      </c>
      <c r="I1085" t="inlineStr"/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N1085" t="inlineStr"/>
      <c r="O1085" t="inlineStr">
        <is>
          <t>RT1344</t>
        </is>
      </c>
      <c r="P1085" t="inlineStr"/>
      <c r="Q1085" s="112" t="n">
        <v>0</v>
      </c>
      <c r="R1085" s="112" t="n">
        <v>79.14</v>
      </c>
      <c r="S1085" s="112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D1086" t="inlineStr"/>
      <c r="E1086" t="inlineStr">
        <is>
          <t>EQ</t>
        </is>
      </c>
      <c r="F1086" t="inlineStr"/>
      <c r="G1086" s="42" t="inlineStr"/>
      <c r="H1086" s="125" t="n">
        <v>46138</v>
      </c>
      <c r="I1086" t="inlineStr"/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N1086" t="inlineStr"/>
      <c r="O1086" t="inlineStr">
        <is>
          <t>TR260</t>
        </is>
      </c>
      <c r="P1086" t="inlineStr"/>
      <c r="Q1086" s="112" t="n">
        <v>0</v>
      </c>
      <c r="R1086" s="112" t="n">
        <v>75</v>
      </c>
      <c r="S1086" s="112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D1087" t="inlineStr"/>
      <c r="E1087" t="inlineStr">
        <is>
          <t>EQ</t>
        </is>
      </c>
      <c r="F1087" t="inlineStr"/>
      <c r="G1087" s="42" t="inlineStr"/>
      <c r="H1087" s="125" t="n">
        <v>46138</v>
      </c>
      <c r="I1087" t="inlineStr"/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N1087" t="inlineStr"/>
      <c r="O1087" t="inlineStr">
        <is>
          <t>TR260</t>
        </is>
      </c>
      <c r="P1087" t="inlineStr"/>
      <c r="Q1087" s="112" t="n">
        <v>0</v>
      </c>
      <c r="R1087" s="112" t="n">
        <v>75</v>
      </c>
      <c r="S1087" s="112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D1088" t="inlineStr"/>
      <c r="E1088" t="inlineStr">
        <is>
          <t>EQ</t>
        </is>
      </c>
      <c r="F1088" t="inlineStr"/>
      <c r="G1088" s="42" t="inlineStr"/>
      <c r="H1088" s="125" t="n">
        <v>46138</v>
      </c>
      <c r="I1088" t="inlineStr"/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N1088" t="inlineStr"/>
      <c r="O1088" t="inlineStr">
        <is>
          <t>TR260</t>
        </is>
      </c>
      <c r="P1088" t="inlineStr"/>
      <c r="Q1088" s="112" t="n">
        <v>0</v>
      </c>
      <c r="R1088" s="112" t="n">
        <v>75</v>
      </c>
      <c r="S1088" s="112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D1089" t="inlineStr"/>
      <c r="E1089" t="inlineStr">
        <is>
          <t>EQ</t>
        </is>
      </c>
      <c r="F1089" t="inlineStr"/>
      <c r="G1089" s="42" t="inlineStr"/>
      <c r="H1089" s="125" t="n">
        <v>46138</v>
      </c>
      <c r="I1089" t="inlineStr"/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N1089" t="inlineStr"/>
      <c r="O1089" t="inlineStr">
        <is>
          <t>TR154</t>
        </is>
      </c>
      <c r="P1089" t="inlineStr"/>
      <c r="Q1089" s="112" t="n">
        <v>0</v>
      </c>
      <c r="R1089" s="112" t="n">
        <v>15</v>
      </c>
      <c r="S1089" s="112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D1090" t="inlineStr"/>
      <c r="E1090" t="inlineStr">
        <is>
          <t>EQ</t>
        </is>
      </c>
      <c r="F1090" t="inlineStr"/>
      <c r="G1090" s="42" t="inlineStr"/>
      <c r="H1090" s="125" t="n">
        <v>46138</v>
      </c>
      <c r="I1090" t="inlineStr"/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N1090" t="inlineStr"/>
      <c r="O1090" t="inlineStr">
        <is>
          <t>TR154</t>
        </is>
      </c>
      <c r="P1090" t="inlineStr"/>
      <c r="Q1090" s="112" t="n">
        <v>0</v>
      </c>
      <c r="R1090" s="112" t="n">
        <v>15</v>
      </c>
      <c r="S1090" s="112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D1091" t="inlineStr"/>
      <c r="E1091" t="inlineStr">
        <is>
          <t>EQ</t>
        </is>
      </c>
      <c r="F1091" t="inlineStr"/>
      <c r="G1091" s="42" t="inlineStr"/>
      <c r="H1091" s="125" t="n">
        <v>46138</v>
      </c>
      <c r="I1091" t="inlineStr"/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N1091" t="inlineStr"/>
      <c r="O1091" t="inlineStr">
        <is>
          <t>TR154</t>
        </is>
      </c>
      <c r="P1091" t="inlineStr"/>
      <c r="Q1091" s="112" t="n">
        <v>0</v>
      </c>
      <c r="R1091" s="112" t="n">
        <v>15</v>
      </c>
      <c r="S1091" s="112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D1092" t="inlineStr"/>
      <c r="E1092" t="inlineStr">
        <is>
          <t>EQ</t>
        </is>
      </c>
      <c r="F1092" t="inlineStr"/>
      <c r="G1092" s="42" t="inlineStr"/>
      <c r="H1092" s="125" t="n">
        <v>46138</v>
      </c>
      <c r="I1092" t="inlineStr"/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N1092" t="inlineStr"/>
      <c r="O1092" t="inlineStr">
        <is>
          <t>TR280</t>
        </is>
      </c>
      <c r="P1092" t="inlineStr"/>
      <c r="Q1092" s="112" t="n">
        <v>0</v>
      </c>
      <c r="R1092" s="112" t="n">
        <v>15</v>
      </c>
      <c r="S1092" s="112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D1093" t="inlineStr"/>
      <c r="E1093" t="inlineStr">
        <is>
          <t>EQ</t>
        </is>
      </c>
      <c r="F1093" t="inlineStr"/>
      <c r="G1093" s="42" t="inlineStr"/>
      <c r="H1093" s="125" t="n">
        <v>46138</v>
      </c>
      <c r="I1093" t="inlineStr"/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N1093" t="inlineStr"/>
      <c r="O1093" t="inlineStr">
        <is>
          <t>TR280</t>
        </is>
      </c>
      <c r="P1093" t="inlineStr"/>
      <c r="Q1093" s="112" t="n">
        <v>0</v>
      </c>
      <c r="R1093" s="112" t="n">
        <v>15</v>
      </c>
      <c r="S1093" s="112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D1094" t="inlineStr"/>
      <c r="E1094" t="inlineStr">
        <is>
          <t>EQ</t>
        </is>
      </c>
      <c r="F1094" t="inlineStr"/>
      <c r="G1094" s="42" t="inlineStr"/>
      <c r="H1094" s="125" t="n">
        <v>46138</v>
      </c>
      <c r="I1094" t="inlineStr"/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N1094" t="inlineStr"/>
      <c r="O1094" t="inlineStr">
        <is>
          <t>TR280</t>
        </is>
      </c>
      <c r="P1094" t="inlineStr"/>
      <c r="Q1094" s="112" t="n">
        <v>0</v>
      </c>
      <c r="R1094" s="112" t="n">
        <v>15</v>
      </c>
      <c r="S1094" s="112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D1095" t="inlineStr"/>
      <c r="E1095" t="inlineStr">
        <is>
          <t>EQ</t>
        </is>
      </c>
      <c r="F1095" t="inlineStr"/>
      <c r="G1095" s="42" t="inlineStr"/>
      <c r="H1095" s="125" t="n">
        <v>46138</v>
      </c>
      <c r="I1095" t="inlineStr"/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N1095" t="inlineStr"/>
      <c r="O1095" t="inlineStr">
        <is>
          <t>WHV001</t>
        </is>
      </c>
      <c r="P1095" t="inlineStr"/>
      <c r="Q1095" s="112" t="n">
        <v>0</v>
      </c>
      <c r="R1095" s="112" t="n">
        <v>250</v>
      </c>
      <c r="S1095" s="112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D1096" t="inlineStr"/>
      <c r="E1096" t="inlineStr">
        <is>
          <t>EQ</t>
        </is>
      </c>
      <c r="F1096" t="inlineStr"/>
      <c r="G1096" s="42" t="inlineStr"/>
      <c r="H1096" s="125" t="n">
        <v>46138</v>
      </c>
      <c r="I1096" t="inlineStr"/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N1096" t="inlineStr"/>
      <c r="O1096" t="inlineStr">
        <is>
          <t>WHV001</t>
        </is>
      </c>
      <c r="P1096" t="inlineStr"/>
      <c r="Q1096" s="112" t="n">
        <v>0</v>
      </c>
      <c r="R1096" s="112" t="n">
        <v>250</v>
      </c>
      <c r="S1096" s="112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D1097" t="inlineStr"/>
      <c r="E1097" t="inlineStr">
        <is>
          <t>EQ</t>
        </is>
      </c>
      <c r="F1097" t="inlineStr"/>
      <c r="G1097" s="42" t="inlineStr"/>
      <c r="H1097" s="125" t="n">
        <v>46138</v>
      </c>
      <c r="I1097" t="inlineStr"/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N1097" t="inlineStr"/>
      <c r="O1097" t="inlineStr">
        <is>
          <t>WHV001</t>
        </is>
      </c>
      <c r="P1097" t="inlineStr"/>
      <c r="Q1097" s="112" t="n">
        <v>0</v>
      </c>
      <c r="R1097" s="112" t="n">
        <v>250</v>
      </c>
      <c r="S1097" s="112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D1098" t="inlineStr"/>
      <c r="E1098" t="inlineStr">
        <is>
          <t>EQ</t>
        </is>
      </c>
      <c r="F1098" t="inlineStr"/>
      <c r="G1098" s="42" t="inlineStr"/>
      <c r="H1098" s="125" t="n">
        <v>46138</v>
      </c>
      <c r="I1098" t="inlineStr"/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N1098" t="inlineStr"/>
      <c r="O1098" t="inlineStr">
        <is>
          <t>TR473</t>
        </is>
      </c>
      <c r="P1098" t="inlineStr"/>
      <c r="Q1098" s="112" t="n">
        <v>0</v>
      </c>
      <c r="R1098" s="112" t="n">
        <v>0</v>
      </c>
      <c r="S1098" s="112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D1099" t="inlineStr"/>
      <c r="E1099" t="inlineStr">
        <is>
          <t>EQ</t>
        </is>
      </c>
      <c r="F1099" t="inlineStr"/>
      <c r="G1099" s="42" t="inlineStr"/>
      <c r="H1099" s="125" t="n">
        <v>46138</v>
      </c>
      <c r="I1099" t="inlineStr"/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N1099" t="inlineStr"/>
      <c r="O1099" t="inlineStr">
        <is>
          <t>TR473</t>
        </is>
      </c>
      <c r="P1099" t="inlineStr"/>
      <c r="Q1099" s="112" t="n">
        <v>0</v>
      </c>
      <c r="R1099" s="112" t="n">
        <v>0</v>
      </c>
      <c r="S1099" s="112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D1100" t="inlineStr"/>
      <c r="E1100" t="inlineStr">
        <is>
          <t>EQ</t>
        </is>
      </c>
      <c r="F1100" t="inlineStr"/>
      <c r="G1100" s="126" t="inlineStr"/>
      <c r="H1100" s="125" t="n">
        <v>46138</v>
      </c>
      <c r="I1100" t="inlineStr"/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N1100" t="inlineStr"/>
      <c r="O1100" t="inlineStr">
        <is>
          <t>TR473</t>
        </is>
      </c>
      <c r="P1100" t="inlineStr"/>
      <c r="Q1100" s="112" t="n">
        <v>0</v>
      </c>
      <c r="R1100" s="112" t="n">
        <v>0</v>
      </c>
      <c r="S1100" s="112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D1101" t="inlineStr"/>
      <c r="E1101" t="inlineStr">
        <is>
          <t>EQ</t>
        </is>
      </c>
      <c r="F1101" t="inlineStr"/>
      <c r="G1101" s="126" t="inlineStr"/>
      <c r="H1101" s="125" t="n">
        <v>46138</v>
      </c>
      <c r="I1101" t="inlineStr"/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N1101" t="inlineStr"/>
      <c r="O1101" t="inlineStr">
        <is>
          <t>TR461</t>
        </is>
      </c>
      <c r="P1101" t="inlineStr"/>
      <c r="Q1101" s="112" t="n">
        <v>0</v>
      </c>
      <c r="R1101" s="112" t="n">
        <v>65</v>
      </c>
      <c r="S1101" s="112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D1102" t="inlineStr"/>
      <c r="E1102" t="inlineStr">
        <is>
          <t>EQ</t>
        </is>
      </c>
      <c r="F1102" t="inlineStr"/>
      <c r="G1102" s="126" t="inlineStr"/>
      <c r="H1102" s="125" t="n">
        <v>46138</v>
      </c>
      <c r="I1102" t="inlineStr"/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N1102" t="inlineStr"/>
      <c r="O1102" t="inlineStr">
        <is>
          <t>TR461</t>
        </is>
      </c>
      <c r="P1102" t="inlineStr"/>
      <c r="Q1102" s="112" t="n">
        <v>0</v>
      </c>
      <c r="R1102" s="112" t="n">
        <v>65</v>
      </c>
      <c r="S1102" s="112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D1103" t="inlineStr"/>
      <c r="E1103" t="inlineStr">
        <is>
          <t>EQ</t>
        </is>
      </c>
      <c r="F1103" t="inlineStr"/>
      <c r="G1103" s="126" t="inlineStr"/>
      <c r="H1103" s="125" t="n">
        <v>46138</v>
      </c>
      <c r="I1103" t="inlineStr"/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N1103" t="inlineStr"/>
      <c r="O1103" t="inlineStr">
        <is>
          <t>TR461</t>
        </is>
      </c>
      <c r="P1103" t="inlineStr"/>
      <c r="Q1103" s="112" t="n">
        <v>0</v>
      </c>
      <c r="R1103" s="112" t="n">
        <v>65</v>
      </c>
      <c r="S1103" s="112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D1104" t="inlineStr"/>
      <c r="E1104" t="inlineStr">
        <is>
          <t>EQ</t>
        </is>
      </c>
      <c r="F1104" t="inlineStr"/>
      <c r="G1104" s="126" t="inlineStr"/>
      <c r="H1104" s="125" t="n">
        <v>46138</v>
      </c>
      <c r="I1104" t="inlineStr"/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N1104" t="inlineStr"/>
      <c r="O1104" t="inlineStr">
        <is>
          <t>TR462</t>
        </is>
      </c>
      <c r="P1104" t="inlineStr"/>
      <c r="Q1104" s="112" t="n">
        <v>0</v>
      </c>
      <c r="R1104" s="112" t="n">
        <v>65</v>
      </c>
      <c r="S1104" s="112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D1105" t="inlineStr"/>
      <c r="E1105" t="inlineStr">
        <is>
          <t>EQ</t>
        </is>
      </c>
      <c r="F1105" t="inlineStr"/>
      <c r="G1105" s="126" t="inlineStr"/>
      <c r="H1105" s="125" t="n">
        <v>46138</v>
      </c>
      <c r="I1105" t="inlineStr"/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N1105" t="inlineStr"/>
      <c r="O1105" t="inlineStr">
        <is>
          <t>TR462</t>
        </is>
      </c>
      <c r="P1105" t="inlineStr"/>
      <c r="Q1105" s="112" t="n">
        <v>0</v>
      </c>
      <c r="R1105" s="112" t="n">
        <v>65</v>
      </c>
      <c r="S1105" s="112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D1106" t="inlineStr"/>
      <c r="E1106" t="inlineStr">
        <is>
          <t>EQ</t>
        </is>
      </c>
      <c r="F1106" t="inlineStr"/>
      <c r="G1106" s="126" t="inlineStr"/>
      <c r="H1106" s="125" t="n">
        <v>46138</v>
      </c>
      <c r="I1106" t="inlineStr"/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N1106" t="inlineStr"/>
      <c r="O1106" t="inlineStr">
        <is>
          <t>TR462</t>
        </is>
      </c>
      <c r="P1106" t="inlineStr"/>
      <c r="Q1106" s="112" t="n">
        <v>0</v>
      </c>
      <c r="R1106" s="112" t="n">
        <v>65</v>
      </c>
      <c r="S1106" s="112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D1107" t="inlineStr"/>
      <c r="E1107" t="inlineStr">
        <is>
          <t>EQ</t>
        </is>
      </c>
      <c r="F1107" t="inlineStr"/>
      <c r="G1107" s="126" t="inlineStr"/>
      <c r="H1107" s="125" t="n">
        <v>46138</v>
      </c>
      <c r="I1107" t="inlineStr"/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N1107" t="inlineStr"/>
      <c r="O1107" t="inlineStr">
        <is>
          <t>TR463</t>
        </is>
      </c>
      <c r="P1107" t="inlineStr"/>
      <c r="Q1107" s="112" t="n">
        <v>0</v>
      </c>
      <c r="R1107" s="112" t="n">
        <v>65</v>
      </c>
      <c r="S1107" s="112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D1108" t="inlineStr"/>
      <c r="E1108" t="inlineStr">
        <is>
          <t>EQ</t>
        </is>
      </c>
      <c r="F1108" t="inlineStr"/>
      <c r="G1108" s="126" t="inlineStr"/>
      <c r="H1108" s="125" t="n">
        <v>46138</v>
      </c>
      <c r="I1108" t="inlineStr"/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N1108" t="inlineStr"/>
      <c r="O1108" t="inlineStr">
        <is>
          <t>TR463</t>
        </is>
      </c>
      <c r="P1108" t="inlineStr"/>
      <c r="Q1108" s="112" t="n">
        <v>0</v>
      </c>
      <c r="R1108" s="112" t="n">
        <v>65</v>
      </c>
      <c r="S1108" s="112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D1109" t="inlineStr"/>
      <c r="E1109" t="inlineStr">
        <is>
          <t>EQ</t>
        </is>
      </c>
      <c r="F1109" t="inlineStr"/>
      <c r="G1109" s="126" t="inlineStr"/>
      <c r="H1109" s="125" t="n">
        <v>46138</v>
      </c>
      <c r="I1109" t="inlineStr"/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N1109" t="inlineStr"/>
      <c r="O1109" t="inlineStr">
        <is>
          <t>TR463</t>
        </is>
      </c>
      <c r="P1109" t="inlineStr"/>
      <c r="Q1109" s="112" t="n">
        <v>0</v>
      </c>
      <c r="R1109" s="112" t="n">
        <v>65</v>
      </c>
      <c r="S1109" s="112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D1110" t="inlineStr"/>
      <c r="E1110" t="inlineStr">
        <is>
          <t>EQ</t>
        </is>
      </c>
      <c r="F1110" t="inlineStr"/>
      <c r="G1110" s="126" t="inlineStr"/>
      <c r="H1110" s="125" t="n">
        <v>46138</v>
      </c>
      <c r="I1110" t="inlineStr"/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N1110" t="inlineStr"/>
      <c r="O1110" t="inlineStr">
        <is>
          <t>TR464</t>
        </is>
      </c>
      <c r="P1110" t="inlineStr"/>
      <c r="Q1110" s="112" t="n">
        <v>0</v>
      </c>
      <c r="R1110" s="112" t="n">
        <v>65</v>
      </c>
      <c r="S1110" s="112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D1111" t="inlineStr"/>
      <c r="E1111" t="inlineStr">
        <is>
          <t>EQ</t>
        </is>
      </c>
      <c r="F1111" t="inlineStr"/>
      <c r="G1111" s="126" t="inlineStr"/>
      <c r="H1111" s="125" t="n">
        <v>46138</v>
      </c>
      <c r="I1111" t="inlineStr"/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N1111" t="inlineStr"/>
      <c r="O1111" t="inlineStr">
        <is>
          <t>TR464</t>
        </is>
      </c>
      <c r="P1111" t="inlineStr"/>
      <c r="Q1111" s="112" t="n">
        <v>0</v>
      </c>
      <c r="R1111" s="112" t="n">
        <v>65</v>
      </c>
      <c r="S1111" s="112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D1112" t="inlineStr"/>
      <c r="E1112" t="inlineStr">
        <is>
          <t>EQ</t>
        </is>
      </c>
      <c r="F1112" t="inlineStr"/>
      <c r="G1112" s="126" t="inlineStr"/>
      <c r="H1112" s="125" t="n">
        <v>46138</v>
      </c>
      <c r="I1112" t="inlineStr"/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N1112" t="inlineStr"/>
      <c r="O1112" t="inlineStr">
        <is>
          <t>TR464</t>
        </is>
      </c>
      <c r="P1112" t="inlineStr"/>
      <c r="Q1112" s="112" t="n">
        <v>0</v>
      </c>
      <c r="R1112" s="112" t="n">
        <v>65</v>
      </c>
      <c r="S1112" s="112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D1113" t="inlineStr"/>
      <c r="E1113" t="inlineStr">
        <is>
          <t>EQ</t>
        </is>
      </c>
      <c r="F1113" t="inlineStr"/>
      <c r="G1113" s="126" t="inlineStr"/>
      <c r="H1113" s="125" t="n">
        <v>46138</v>
      </c>
      <c r="I1113" t="inlineStr"/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N1113" t="inlineStr"/>
      <c r="O1113" t="inlineStr">
        <is>
          <t>TR456</t>
        </is>
      </c>
      <c r="P1113" t="inlineStr"/>
      <c r="Q1113" s="112" t="n">
        <v>0</v>
      </c>
      <c r="R1113" s="112" t="n">
        <v>65</v>
      </c>
      <c r="S1113" s="112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D1114" t="inlineStr"/>
      <c r="E1114" t="inlineStr">
        <is>
          <t>EQ</t>
        </is>
      </c>
      <c r="F1114" t="inlineStr"/>
      <c r="G1114" s="126" t="inlineStr"/>
      <c r="H1114" s="125" t="n">
        <v>46138</v>
      </c>
      <c r="I1114" t="inlineStr"/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N1114" t="inlineStr"/>
      <c r="O1114" t="inlineStr">
        <is>
          <t>TR456</t>
        </is>
      </c>
      <c r="P1114" t="inlineStr"/>
      <c r="Q1114" s="112" t="n">
        <v>0</v>
      </c>
      <c r="R1114" s="112" t="n">
        <v>65</v>
      </c>
      <c r="S1114" s="112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D1115" t="inlineStr"/>
      <c r="E1115" t="inlineStr">
        <is>
          <t>EQ</t>
        </is>
      </c>
      <c r="F1115" t="inlineStr"/>
      <c r="G1115" s="126" t="inlineStr"/>
      <c r="H1115" s="125" t="n">
        <v>46138</v>
      </c>
      <c r="I1115" t="inlineStr"/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N1115" t="inlineStr"/>
      <c r="O1115" t="inlineStr">
        <is>
          <t>TR456</t>
        </is>
      </c>
      <c r="P1115" t="inlineStr"/>
      <c r="Q1115" s="112" t="n">
        <v>0</v>
      </c>
      <c r="R1115" s="112" t="n">
        <v>65</v>
      </c>
      <c r="S1115" s="112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D1116" t="inlineStr"/>
      <c r="E1116" t="inlineStr">
        <is>
          <t>EQ</t>
        </is>
      </c>
      <c r="F1116" t="inlineStr"/>
      <c r="G1116" s="126" t="inlineStr"/>
      <c r="H1116" s="125" t="n">
        <v>46138</v>
      </c>
      <c r="I1116" t="inlineStr"/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N1116" t="inlineStr"/>
      <c r="O1116" t="inlineStr">
        <is>
          <t>WTL002</t>
        </is>
      </c>
      <c r="P1116" t="inlineStr"/>
      <c r="Q1116" s="112" t="n">
        <v>0</v>
      </c>
      <c r="R1116" s="112" t="n">
        <v>55</v>
      </c>
      <c r="S1116" s="112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D1117" t="inlineStr"/>
      <c r="E1117" t="inlineStr">
        <is>
          <t>EQ</t>
        </is>
      </c>
      <c r="F1117" t="inlineStr"/>
      <c r="G1117" s="126" t="inlineStr"/>
      <c r="H1117" s="125" t="n">
        <v>46138</v>
      </c>
      <c r="I1117" t="inlineStr"/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N1117" t="inlineStr"/>
      <c r="O1117" t="inlineStr">
        <is>
          <t>WTL002</t>
        </is>
      </c>
      <c r="P1117" t="inlineStr"/>
      <c r="Q1117" s="112" t="n">
        <v>0</v>
      </c>
      <c r="R1117" s="112" t="n">
        <v>55</v>
      </c>
      <c r="S1117" s="112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D1118" t="inlineStr"/>
      <c r="E1118" t="inlineStr">
        <is>
          <t>EQ</t>
        </is>
      </c>
      <c r="F1118" t="inlineStr"/>
      <c r="G1118" s="126" t="inlineStr"/>
      <c r="H1118" s="125" t="n">
        <v>46138</v>
      </c>
      <c r="I1118" t="inlineStr"/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N1118" t="inlineStr"/>
      <c r="O1118" t="inlineStr">
        <is>
          <t>WTL002</t>
        </is>
      </c>
      <c r="P1118" t="inlineStr"/>
      <c r="Q1118" s="112" t="n">
        <v>0</v>
      </c>
      <c r="R1118" s="112" t="n">
        <v>55</v>
      </c>
      <c r="S1118" s="112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D1119" t="inlineStr"/>
      <c r="E1119" t="inlineStr">
        <is>
          <t>EQ</t>
        </is>
      </c>
      <c r="F1119" t="inlineStr"/>
      <c r="G1119" s="126" t="inlineStr"/>
      <c r="H1119" s="125" t="n">
        <v>46142</v>
      </c>
      <c r="I1119" t="inlineStr"/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N1119" t="inlineStr"/>
      <c r="O1119" t="inlineStr">
        <is>
          <t>TR436</t>
        </is>
      </c>
      <c r="P1119" t="inlineStr"/>
      <c r="Q1119" s="112" t="n">
        <v>0</v>
      </c>
      <c r="R1119" s="112" t="n">
        <v>65</v>
      </c>
      <c r="S1119" s="112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D1120" t="inlineStr"/>
      <c r="E1120" t="inlineStr">
        <is>
          <t>EQ</t>
        </is>
      </c>
      <c r="F1120" t="inlineStr"/>
      <c r="G1120" s="126" t="inlineStr"/>
      <c r="H1120" s="125" t="n">
        <v>46142</v>
      </c>
      <c r="I1120" t="inlineStr"/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N1120" t="inlineStr"/>
      <c r="O1120" t="inlineStr">
        <is>
          <t>TR436</t>
        </is>
      </c>
      <c r="P1120" t="inlineStr"/>
      <c r="Q1120" s="112" t="n">
        <v>0</v>
      </c>
      <c r="R1120" s="112" t="n">
        <v>65</v>
      </c>
      <c r="S1120" s="112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D1121" t="inlineStr"/>
      <c r="E1121" t="inlineStr">
        <is>
          <t>EQ</t>
        </is>
      </c>
      <c r="F1121" t="inlineStr"/>
      <c r="G1121" s="126" t="inlineStr"/>
      <c r="H1121" s="125" t="n">
        <v>46142</v>
      </c>
      <c r="I1121" t="inlineStr"/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N1121" t="inlineStr"/>
      <c r="O1121" t="inlineStr">
        <is>
          <t>TR419</t>
        </is>
      </c>
      <c r="P1121" t="inlineStr"/>
      <c r="Q1121" s="112" t="n">
        <v>0</v>
      </c>
      <c r="R1121" s="112" t="n">
        <v>65</v>
      </c>
      <c r="S1121" s="112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D1122" t="inlineStr"/>
      <c r="E1122" t="inlineStr">
        <is>
          <t>EQ</t>
        </is>
      </c>
      <c r="F1122" t="inlineStr"/>
      <c r="G1122" s="42" t="inlineStr"/>
      <c r="H1122" s="125" t="n">
        <v>46142</v>
      </c>
      <c r="I1122" t="inlineStr"/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N1122" t="inlineStr"/>
      <c r="O1122" t="inlineStr">
        <is>
          <t>TR419</t>
        </is>
      </c>
      <c r="P1122" t="inlineStr"/>
      <c r="Q1122" s="112" t="n">
        <v>0</v>
      </c>
      <c r="R1122" s="112" t="n">
        <v>65</v>
      </c>
      <c r="S1122" s="112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D1123" t="inlineStr"/>
      <c r="E1123" t="inlineStr">
        <is>
          <t>EQ</t>
        </is>
      </c>
      <c r="F1123" t="inlineStr"/>
      <c r="G1123" s="42" t="inlineStr"/>
      <c r="H1123" s="125" t="n">
        <v>46142</v>
      </c>
      <c r="I1123" t="inlineStr"/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N1123" t="inlineStr"/>
      <c r="O1123" t="inlineStr">
        <is>
          <t>TR419</t>
        </is>
      </c>
      <c r="P1123" t="inlineStr"/>
      <c r="Q1123" s="112" t="n">
        <v>0</v>
      </c>
      <c r="R1123" s="112" t="n">
        <v>65</v>
      </c>
      <c r="S1123" s="112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D1124" t="inlineStr"/>
      <c r="E1124" t="inlineStr">
        <is>
          <t>EQ</t>
        </is>
      </c>
      <c r="F1124" t="inlineStr"/>
      <c r="G1124" s="42" t="inlineStr"/>
      <c r="H1124" s="125" t="n">
        <v>46142</v>
      </c>
      <c r="I1124" t="inlineStr"/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N1124" t="inlineStr"/>
      <c r="O1124" t="inlineStr">
        <is>
          <t>TR419</t>
        </is>
      </c>
      <c r="P1124" t="inlineStr"/>
      <c r="Q1124" s="112" t="n">
        <v>0</v>
      </c>
      <c r="R1124" s="112" t="n">
        <v>65</v>
      </c>
      <c r="S1124" s="112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D1125" t="inlineStr"/>
      <c r="E1125" t="inlineStr">
        <is>
          <t>EQ</t>
        </is>
      </c>
      <c r="F1125" t="inlineStr"/>
      <c r="G1125" s="42" t="inlineStr"/>
      <c r="H1125" s="125" t="n">
        <v>46142</v>
      </c>
      <c r="I1125" t="inlineStr"/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N1125" t="inlineStr"/>
      <c r="O1125" t="inlineStr">
        <is>
          <t>RT1344</t>
        </is>
      </c>
      <c r="P1125" t="inlineStr"/>
      <c r="Q1125" s="112" t="n">
        <v>0</v>
      </c>
      <c r="R1125" s="112" t="n">
        <v>79.14</v>
      </c>
      <c r="S1125" s="112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D1126" t="inlineStr"/>
      <c r="E1126" t="inlineStr">
        <is>
          <t>EQ</t>
        </is>
      </c>
      <c r="F1126" t="inlineStr"/>
      <c r="G1126" s="42" t="inlineStr"/>
      <c r="H1126" s="125" t="n">
        <v>46142</v>
      </c>
      <c r="I1126" t="inlineStr"/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N1126" t="inlineStr"/>
      <c r="O1126" t="inlineStr">
        <is>
          <t>RT1344</t>
        </is>
      </c>
      <c r="P1126" t="inlineStr"/>
      <c r="Q1126" s="112" t="n">
        <v>0</v>
      </c>
      <c r="R1126" s="112" t="n">
        <v>79.14</v>
      </c>
      <c r="S1126" s="112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D1127" t="inlineStr"/>
      <c r="E1127" t="inlineStr">
        <is>
          <t>EQ</t>
        </is>
      </c>
      <c r="F1127" t="inlineStr"/>
      <c r="G1127" s="42" t="inlineStr"/>
      <c r="H1127" s="125" t="n">
        <v>46142</v>
      </c>
      <c r="I1127" t="inlineStr"/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N1127" t="inlineStr"/>
      <c r="O1127" t="inlineStr">
        <is>
          <t>RT1344</t>
        </is>
      </c>
      <c r="P1127" t="inlineStr"/>
      <c r="Q1127" s="112" t="n">
        <v>0</v>
      </c>
      <c r="R1127" s="112" t="n">
        <v>79.14</v>
      </c>
      <c r="S1127" s="112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D1128" t="inlineStr"/>
      <c r="E1128" t="inlineStr">
        <is>
          <t>EQ</t>
        </is>
      </c>
      <c r="F1128" t="inlineStr"/>
      <c r="G1128" s="42" t="inlineStr"/>
      <c r="H1128" s="125" t="n">
        <v>46142</v>
      </c>
      <c r="I1128" t="inlineStr"/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N1128" t="inlineStr"/>
      <c r="O1128" t="inlineStr">
        <is>
          <t>RT1344</t>
        </is>
      </c>
      <c r="P1128" t="inlineStr"/>
      <c r="Q1128" s="112" t="n">
        <v>0</v>
      </c>
      <c r="R1128" s="112" t="n">
        <v>79.14</v>
      </c>
      <c r="S1128" s="112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D1129" t="inlineStr"/>
      <c r="E1129" t="inlineStr">
        <is>
          <t>EQ</t>
        </is>
      </c>
      <c r="F1129" t="inlineStr"/>
      <c r="G1129" s="42" t="inlineStr"/>
      <c r="H1129" s="125" t="n">
        <v>46142</v>
      </c>
      <c r="I1129" t="inlineStr"/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N1129" t="inlineStr"/>
      <c r="O1129" t="inlineStr">
        <is>
          <t>SSAUGKIT1</t>
        </is>
      </c>
      <c r="P1129" t="inlineStr"/>
      <c r="Q1129" s="112" t="n">
        <v>0</v>
      </c>
      <c r="R1129" s="112" t="n">
        <v>35</v>
      </c>
      <c r="S1129" s="112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D1130" t="inlineStr"/>
      <c r="E1130" t="inlineStr">
        <is>
          <t>EQ</t>
        </is>
      </c>
      <c r="F1130" t="inlineStr"/>
      <c r="G1130" s="126" t="inlineStr"/>
      <c r="H1130" s="125" t="n">
        <v>46142</v>
      </c>
      <c r="I1130" t="inlineStr"/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N1130" t="inlineStr"/>
      <c r="O1130" t="inlineStr">
        <is>
          <t>SSAUGKIT1</t>
        </is>
      </c>
      <c r="P1130" t="inlineStr"/>
      <c r="Q1130" s="112" t="n">
        <v>0</v>
      </c>
      <c r="R1130" s="112" t="n">
        <v>35</v>
      </c>
      <c r="S1130" s="112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D1131" t="inlineStr"/>
      <c r="E1131" t="inlineStr">
        <is>
          <t>EQ</t>
        </is>
      </c>
      <c r="F1131" t="inlineStr"/>
      <c r="G1131" s="126" t="inlineStr"/>
      <c r="H1131" s="125" t="n">
        <v>46142</v>
      </c>
      <c r="I1131" t="inlineStr"/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N1131" t="inlineStr"/>
      <c r="O1131" t="inlineStr">
        <is>
          <t>SSAUGKIT1</t>
        </is>
      </c>
      <c r="P1131" t="inlineStr"/>
      <c r="Q1131" s="112" t="n">
        <v>0</v>
      </c>
      <c r="R1131" s="112" t="n">
        <v>35</v>
      </c>
      <c r="S1131" s="112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D1132" t="inlineStr"/>
      <c r="E1132" t="inlineStr">
        <is>
          <t>EQ</t>
        </is>
      </c>
      <c r="F1132" t="inlineStr"/>
      <c r="G1132" s="126" t="inlineStr"/>
      <c r="H1132" s="125" t="n">
        <v>46142</v>
      </c>
      <c r="I1132" t="inlineStr"/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N1132" t="inlineStr"/>
      <c r="O1132" t="inlineStr">
        <is>
          <t>SSAUGKIT1</t>
        </is>
      </c>
      <c r="P1132" t="inlineStr"/>
      <c r="Q1132" s="112" t="n">
        <v>0</v>
      </c>
      <c r="R1132" s="112" t="n">
        <v>35</v>
      </c>
      <c r="S1132" s="112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D1133" t="inlineStr"/>
      <c r="E1133" t="inlineStr">
        <is>
          <t>EQ</t>
        </is>
      </c>
      <c r="F1133" t="inlineStr"/>
      <c r="G1133" s="126" t="inlineStr"/>
      <c r="H1133" s="125" t="n">
        <v>46142</v>
      </c>
      <c r="I1133" t="inlineStr"/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N1133" t="inlineStr"/>
      <c r="O1133" t="inlineStr">
        <is>
          <t>TR260</t>
        </is>
      </c>
      <c r="P1133" t="inlineStr"/>
      <c r="Q1133" s="112" t="n">
        <v>0</v>
      </c>
      <c r="R1133" s="112" t="n">
        <v>75</v>
      </c>
      <c r="S1133" s="112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D1134" t="inlineStr"/>
      <c r="E1134" t="inlineStr">
        <is>
          <t>EQ</t>
        </is>
      </c>
      <c r="F1134" t="inlineStr"/>
      <c r="G1134" s="126" t="inlineStr"/>
      <c r="H1134" s="125" t="n">
        <v>46142</v>
      </c>
      <c r="I1134" t="inlineStr"/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N1134" t="inlineStr"/>
      <c r="O1134" t="inlineStr">
        <is>
          <t>TR260</t>
        </is>
      </c>
      <c r="P1134" t="inlineStr"/>
      <c r="Q1134" s="112" t="n">
        <v>0</v>
      </c>
      <c r="R1134" s="112" t="n">
        <v>75</v>
      </c>
      <c r="S1134" s="112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D1135" t="inlineStr"/>
      <c r="E1135" t="inlineStr">
        <is>
          <t>EQ</t>
        </is>
      </c>
      <c r="F1135" t="inlineStr"/>
      <c r="G1135" s="126" t="inlineStr"/>
      <c r="H1135" s="125" t="n">
        <v>46142</v>
      </c>
      <c r="I1135" t="inlineStr"/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N1135" t="inlineStr"/>
      <c r="O1135" t="inlineStr">
        <is>
          <t>TR260</t>
        </is>
      </c>
      <c r="P1135" t="inlineStr"/>
      <c r="Q1135" s="112" t="n">
        <v>0</v>
      </c>
      <c r="R1135" s="112" t="n">
        <v>75</v>
      </c>
      <c r="S1135" s="112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D1136" t="inlineStr"/>
      <c r="E1136" t="inlineStr">
        <is>
          <t>EQ</t>
        </is>
      </c>
      <c r="F1136" t="inlineStr"/>
      <c r="G1136" s="126" t="inlineStr"/>
      <c r="H1136" s="125" t="n">
        <v>46142</v>
      </c>
      <c r="I1136" t="inlineStr"/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N1136" t="inlineStr"/>
      <c r="O1136" t="inlineStr">
        <is>
          <t>TR260</t>
        </is>
      </c>
      <c r="P1136" t="inlineStr"/>
      <c r="Q1136" s="112" t="n">
        <v>0</v>
      </c>
      <c r="R1136" s="112" t="n">
        <v>75</v>
      </c>
      <c r="S1136" s="112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D1137" t="inlineStr"/>
      <c r="E1137" t="inlineStr">
        <is>
          <t>EQ</t>
        </is>
      </c>
      <c r="F1137" t="inlineStr"/>
      <c r="G1137" s="126" t="inlineStr"/>
      <c r="H1137" s="125" t="n">
        <v>46142</v>
      </c>
      <c r="I1137" t="inlineStr"/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N1137" t="inlineStr"/>
      <c r="O1137" t="inlineStr">
        <is>
          <t>TR154</t>
        </is>
      </c>
      <c r="P1137" t="inlineStr"/>
      <c r="Q1137" s="112" t="n">
        <v>0</v>
      </c>
      <c r="R1137" s="112" t="n">
        <v>15</v>
      </c>
      <c r="S1137" s="112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D1138" t="inlineStr"/>
      <c r="E1138" t="inlineStr">
        <is>
          <t>EQ</t>
        </is>
      </c>
      <c r="F1138" t="inlineStr"/>
      <c r="G1138" s="42" t="inlineStr"/>
      <c r="H1138" s="125" t="n">
        <v>46142</v>
      </c>
      <c r="I1138" t="inlineStr"/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N1138" t="inlineStr"/>
      <c r="O1138" t="inlineStr">
        <is>
          <t>TR154</t>
        </is>
      </c>
      <c r="P1138" t="inlineStr"/>
      <c r="Q1138" s="112" t="n">
        <v>0</v>
      </c>
      <c r="R1138" s="112" t="n">
        <v>15</v>
      </c>
      <c r="S1138" s="112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D1139" t="inlineStr"/>
      <c r="E1139" t="inlineStr">
        <is>
          <t>EQ</t>
        </is>
      </c>
      <c r="F1139" t="inlineStr"/>
      <c r="G1139" s="42" t="inlineStr"/>
      <c r="H1139" s="125" t="n">
        <v>46142</v>
      </c>
      <c r="I1139" t="inlineStr"/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N1139" t="inlineStr"/>
      <c r="O1139" t="inlineStr">
        <is>
          <t>TR154</t>
        </is>
      </c>
      <c r="P1139" t="inlineStr"/>
      <c r="Q1139" s="112" t="n">
        <v>0</v>
      </c>
      <c r="R1139" s="112" t="n">
        <v>15</v>
      </c>
      <c r="S1139" s="112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D1140" t="inlineStr"/>
      <c r="E1140" t="inlineStr">
        <is>
          <t>EQ</t>
        </is>
      </c>
      <c r="F1140" t="inlineStr"/>
      <c r="G1140" s="42" t="inlineStr"/>
      <c r="H1140" s="125" t="n">
        <v>46142</v>
      </c>
      <c r="I1140" t="inlineStr"/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N1140" t="inlineStr"/>
      <c r="O1140" t="inlineStr">
        <is>
          <t>TR154</t>
        </is>
      </c>
      <c r="P1140" t="inlineStr"/>
      <c r="Q1140" s="112" t="n">
        <v>0</v>
      </c>
      <c r="R1140" s="112" t="n">
        <v>15</v>
      </c>
      <c r="S1140" s="112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D1141" t="inlineStr"/>
      <c r="E1141" t="inlineStr">
        <is>
          <t>EQ</t>
        </is>
      </c>
      <c r="F1141" t="inlineStr"/>
      <c r="G1141" s="126" t="inlineStr"/>
      <c r="H1141" s="125" t="n">
        <v>46142</v>
      </c>
      <c r="I1141" t="inlineStr"/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N1141" t="inlineStr"/>
      <c r="O1141" t="inlineStr">
        <is>
          <t>TR280</t>
        </is>
      </c>
      <c r="P1141" t="inlineStr"/>
      <c r="Q1141" s="112" t="n">
        <v>0</v>
      </c>
      <c r="R1141" s="112" t="n">
        <v>15</v>
      </c>
      <c r="S1141" s="112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D1142" t="inlineStr"/>
      <c r="E1142" t="inlineStr">
        <is>
          <t>EQ</t>
        </is>
      </c>
      <c r="F1142" t="inlineStr"/>
      <c r="G1142" s="126" t="inlineStr"/>
      <c r="H1142" s="125" t="n">
        <v>46142</v>
      </c>
      <c r="I1142" t="inlineStr"/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N1142" t="inlineStr"/>
      <c r="O1142" t="inlineStr">
        <is>
          <t>TR280</t>
        </is>
      </c>
      <c r="P1142" t="inlineStr"/>
      <c r="Q1142" s="112" t="n">
        <v>0</v>
      </c>
      <c r="R1142" s="112" t="n">
        <v>15</v>
      </c>
      <c r="S1142" s="112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D1143" t="inlineStr"/>
      <c r="E1143" t="inlineStr">
        <is>
          <t>EQ</t>
        </is>
      </c>
      <c r="F1143" t="inlineStr"/>
      <c r="G1143" s="126" t="inlineStr"/>
      <c r="H1143" s="125" t="n">
        <v>46142</v>
      </c>
      <c r="I1143" t="inlineStr"/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N1143" t="inlineStr"/>
      <c r="O1143" t="inlineStr">
        <is>
          <t>TR280</t>
        </is>
      </c>
      <c r="P1143" t="inlineStr"/>
      <c r="Q1143" s="112" t="n">
        <v>0</v>
      </c>
      <c r="R1143" s="112" t="n">
        <v>15</v>
      </c>
      <c r="S1143" s="112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D1144" t="inlineStr"/>
      <c r="E1144" t="inlineStr">
        <is>
          <t>EQ</t>
        </is>
      </c>
      <c r="F1144" t="inlineStr"/>
      <c r="G1144" s="42" t="inlineStr"/>
      <c r="H1144" s="125" t="n">
        <v>46142</v>
      </c>
      <c r="I1144" t="inlineStr"/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N1144" t="inlineStr"/>
      <c r="O1144" t="inlineStr">
        <is>
          <t>TR280</t>
        </is>
      </c>
      <c r="P1144" t="inlineStr"/>
      <c r="Q1144" s="112" t="n">
        <v>0</v>
      </c>
      <c r="R1144" s="112" t="n">
        <v>15</v>
      </c>
      <c r="S1144" s="112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D1145" t="inlineStr"/>
      <c r="E1145" t="inlineStr">
        <is>
          <t>EQ</t>
        </is>
      </c>
      <c r="F1145" t="inlineStr"/>
      <c r="G1145" s="126" t="inlineStr"/>
      <c r="H1145" s="125" t="n">
        <v>46142</v>
      </c>
      <c r="I1145" t="inlineStr"/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N1145" t="inlineStr"/>
      <c r="O1145" t="inlineStr">
        <is>
          <t>WHV001</t>
        </is>
      </c>
      <c r="P1145" t="inlineStr"/>
      <c r="Q1145" s="112" t="n">
        <v>0</v>
      </c>
      <c r="R1145" s="112" t="n">
        <v>250</v>
      </c>
      <c r="S1145" s="112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D1146" t="inlineStr"/>
      <c r="E1146" t="inlineStr">
        <is>
          <t>EQ</t>
        </is>
      </c>
      <c r="F1146" t="inlineStr"/>
      <c r="G1146" s="42" t="inlineStr"/>
      <c r="H1146" s="125" t="n">
        <v>46142</v>
      </c>
      <c r="I1146" t="inlineStr"/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N1146" t="inlineStr"/>
      <c r="O1146" t="inlineStr">
        <is>
          <t>WHV001</t>
        </is>
      </c>
      <c r="P1146" t="inlineStr"/>
      <c r="Q1146" s="112" t="n">
        <v>0</v>
      </c>
      <c r="R1146" s="112" t="n">
        <v>250</v>
      </c>
      <c r="S1146" s="112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D1147" t="inlineStr"/>
      <c r="E1147" t="inlineStr">
        <is>
          <t>EQ</t>
        </is>
      </c>
      <c r="F1147" t="inlineStr"/>
      <c r="G1147" s="42" t="inlineStr"/>
      <c r="H1147" s="125" t="n">
        <v>46142</v>
      </c>
      <c r="I1147" t="inlineStr"/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N1147" t="inlineStr"/>
      <c r="O1147" t="inlineStr">
        <is>
          <t>WHV001</t>
        </is>
      </c>
      <c r="P1147" t="inlineStr"/>
      <c r="Q1147" s="112" t="n">
        <v>0</v>
      </c>
      <c r="R1147" s="112" t="n">
        <v>250</v>
      </c>
      <c r="S1147" s="112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D1148" t="inlineStr"/>
      <c r="E1148" t="inlineStr">
        <is>
          <t>EQ</t>
        </is>
      </c>
      <c r="F1148" t="inlineStr"/>
      <c r="G1148" s="42" t="inlineStr"/>
      <c r="H1148" s="125" t="n">
        <v>46142</v>
      </c>
      <c r="I1148" t="inlineStr"/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N1148" t="inlineStr"/>
      <c r="O1148" t="inlineStr">
        <is>
          <t>WHV001</t>
        </is>
      </c>
      <c r="P1148" t="inlineStr"/>
      <c r="Q1148" s="112" t="n">
        <v>0</v>
      </c>
      <c r="R1148" s="112" t="n">
        <v>250</v>
      </c>
      <c r="S1148" s="112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D1149" t="inlineStr"/>
      <c r="E1149" t="inlineStr">
        <is>
          <t>EQ</t>
        </is>
      </c>
      <c r="F1149" t="inlineStr"/>
      <c r="G1149" s="42" t="inlineStr"/>
      <c r="H1149" s="125" t="n">
        <v>46142</v>
      </c>
      <c r="I1149" t="inlineStr"/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N1149" t="inlineStr"/>
      <c r="O1149" t="inlineStr">
        <is>
          <t>TR473</t>
        </is>
      </c>
      <c r="P1149" t="inlineStr"/>
      <c r="Q1149" s="112" t="n">
        <v>0</v>
      </c>
      <c r="R1149" s="112" t="n">
        <v>0</v>
      </c>
      <c r="S1149" s="112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D1150" t="inlineStr"/>
      <c r="E1150" t="inlineStr">
        <is>
          <t>EQ</t>
        </is>
      </c>
      <c r="F1150" t="inlineStr"/>
      <c r="G1150" s="42" t="inlineStr"/>
      <c r="H1150" s="125" t="n">
        <v>46142</v>
      </c>
      <c r="I1150" t="inlineStr"/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N1150" t="inlineStr"/>
      <c r="O1150" t="inlineStr">
        <is>
          <t>TR473</t>
        </is>
      </c>
      <c r="P1150" t="inlineStr"/>
      <c r="Q1150" s="112" t="n">
        <v>0</v>
      </c>
      <c r="R1150" s="112" t="n">
        <v>0</v>
      </c>
      <c r="S1150" s="112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D1151" t="inlineStr"/>
      <c r="E1151" t="inlineStr">
        <is>
          <t>EQ</t>
        </is>
      </c>
      <c r="F1151" t="inlineStr"/>
      <c r="G1151" s="42" t="inlineStr"/>
      <c r="H1151" s="125" t="n">
        <v>46142</v>
      </c>
      <c r="I1151" t="inlineStr"/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N1151" t="inlineStr"/>
      <c r="O1151" t="inlineStr">
        <is>
          <t>TR473</t>
        </is>
      </c>
      <c r="P1151" t="inlineStr"/>
      <c r="Q1151" s="112" t="n">
        <v>0</v>
      </c>
      <c r="R1151" s="112" t="n">
        <v>0</v>
      </c>
      <c r="S1151" s="112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D1152" t="inlineStr"/>
      <c r="E1152" t="inlineStr">
        <is>
          <t>EQ</t>
        </is>
      </c>
      <c r="F1152" t="inlineStr"/>
      <c r="G1152" s="42" t="inlineStr"/>
      <c r="H1152" s="125" t="n">
        <v>46142</v>
      </c>
      <c r="I1152" t="inlineStr"/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N1152" t="inlineStr"/>
      <c r="O1152" t="inlineStr">
        <is>
          <t>TR473</t>
        </is>
      </c>
      <c r="P1152" t="inlineStr"/>
      <c r="Q1152" s="112" t="n">
        <v>0</v>
      </c>
      <c r="R1152" s="112" t="n">
        <v>0</v>
      </c>
      <c r="S1152" s="112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D1153" t="inlineStr"/>
      <c r="E1153" t="inlineStr">
        <is>
          <t>EQ</t>
        </is>
      </c>
      <c r="F1153" t="inlineStr"/>
      <c r="G1153" s="42" t="inlineStr"/>
      <c r="H1153" s="125" t="n">
        <v>46142</v>
      </c>
      <c r="I1153" t="inlineStr"/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N1153" t="inlineStr"/>
      <c r="O1153" t="inlineStr">
        <is>
          <t>TR461</t>
        </is>
      </c>
      <c r="P1153" t="inlineStr"/>
      <c r="Q1153" s="112" t="n">
        <v>0</v>
      </c>
      <c r="R1153" s="112" t="n">
        <v>65</v>
      </c>
      <c r="S1153" s="112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D1154" t="inlineStr"/>
      <c r="E1154" t="inlineStr">
        <is>
          <t>EQ</t>
        </is>
      </c>
      <c r="F1154" t="inlineStr"/>
      <c r="G1154" s="42" t="inlineStr"/>
      <c r="H1154" s="125" t="n">
        <v>46142</v>
      </c>
      <c r="I1154" t="inlineStr"/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N1154" t="inlineStr"/>
      <c r="O1154" t="inlineStr">
        <is>
          <t>TR461</t>
        </is>
      </c>
      <c r="P1154" t="inlineStr"/>
      <c r="Q1154" s="112" t="n">
        <v>0</v>
      </c>
      <c r="R1154" s="112" t="n">
        <v>65</v>
      </c>
      <c r="S1154" s="112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D1155" t="inlineStr"/>
      <c r="E1155" t="inlineStr">
        <is>
          <t>EQ</t>
        </is>
      </c>
      <c r="F1155" t="inlineStr"/>
      <c r="G1155" s="42" t="inlineStr"/>
      <c r="H1155" s="125" t="n">
        <v>46142</v>
      </c>
      <c r="I1155" t="inlineStr"/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N1155" t="inlineStr"/>
      <c r="O1155" t="inlineStr">
        <is>
          <t>TR461</t>
        </is>
      </c>
      <c r="P1155" t="inlineStr"/>
      <c r="Q1155" s="112" t="n">
        <v>0</v>
      </c>
      <c r="R1155" s="112" t="n">
        <v>65</v>
      </c>
      <c r="S1155" s="112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D1156" t="inlineStr"/>
      <c r="E1156" t="inlineStr">
        <is>
          <t>EQ</t>
        </is>
      </c>
      <c r="F1156" t="inlineStr"/>
      <c r="G1156" s="42" t="inlineStr"/>
      <c r="H1156" s="125" t="n">
        <v>46142</v>
      </c>
      <c r="I1156" t="inlineStr"/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N1156" t="inlineStr"/>
      <c r="O1156" t="inlineStr">
        <is>
          <t>TR461</t>
        </is>
      </c>
      <c r="P1156" t="inlineStr"/>
      <c r="Q1156" s="112" t="n">
        <v>0</v>
      </c>
      <c r="R1156" s="112" t="n">
        <v>65</v>
      </c>
      <c r="S1156" s="112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D1157" t="inlineStr"/>
      <c r="E1157" t="inlineStr">
        <is>
          <t>EQ</t>
        </is>
      </c>
      <c r="F1157" t="inlineStr"/>
      <c r="G1157" s="42" t="inlineStr"/>
      <c r="H1157" s="125" t="n">
        <v>46142</v>
      </c>
      <c r="I1157" t="inlineStr"/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N1157" t="inlineStr"/>
      <c r="O1157" t="inlineStr">
        <is>
          <t>TR462</t>
        </is>
      </c>
      <c r="P1157" t="inlineStr"/>
      <c r="Q1157" s="112" t="n">
        <v>0</v>
      </c>
      <c r="R1157" s="112" t="n">
        <v>65</v>
      </c>
      <c r="S1157" s="112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D1158" t="inlineStr"/>
      <c r="E1158" t="inlineStr">
        <is>
          <t>EQ</t>
        </is>
      </c>
      <c r="F1158" t="inlineStr"/>
      <c r="G1158" s="42" t="inlineStr"/>
      <c r="H1158" s="125" t="n">
        <v>46142</v>
      </c>
      <c r="I1158" t="inlineStr"/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N1158" t="inlineStr"/>
      <c r="O1158" t="inlineStr">
        <is>
          <t>TR462</t>
        </is>
      </c>
      <c r="P1158" t="inlineStr"/>
      <c r="Q1158" s="112" t="n">
        <v>0</v>
      </c>
      <c r="R1158" s="112" t="n">
        <v>65</v>
      </c>
      <c r="S1158" s="112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D1159" t="inlineStr"/>
      <c r="E1159" t="inlineStr">
        <is>
          <t>EQ</t>
        </is>
      </c>
      <c r="F1159" t="inlineStr"/>
      <c r="G1159" s="42" t="inlineStr"/>
      <c r="H1159" s="125" t="n">
        <v>46142</v>
      </c>
      <c r="I1159" t="inlineStr"/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N1159" t="inlineStr"/>
      <c r="O1159" t="inlineStr">
        <is>
          <t>TR462</t>
        </is>
      </c>
      <c r="P1159" t="inlineStr"/>
      <c r="Q1159" s="112" t="n">
        <v>0</v>
      </c>
      <c r="R1159" s="112" t="n">
        <v>65</v>
      </c>
      <c r="S1159" s="112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D1160" t="inlineStr"/>
      <c r="E1160" t="inlineStr">
        <is>
          <t>EQ</t>
        </is>
      </c>
      <c r="F1160" t="inlineStr"/>
      <c r="G1160" s="42" t="inlineStr"/>
      <c r="H1160" s="125" t="n">
        <v>46142</v>
      </c>
      <c r="I1160" t="inlineStr"/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N1160" t="inlineStr"/>
      <c r="O1160" t="inlineStr">
        <is>
          <t>TR462</t>
        </is>
      </c>
      <c r="P1160" t="inlineStr"/>
      <c r="Q1160" s="112" t="n">
        <v>0</v>
      </c>
      <c r="R1160" s="112" t="n">
        <v>65</v>
      </c>
      <c r="S1160" s="112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D1161" t="inlineStr"/>
      <c r="E1161" t="inlineStr">
        <is>
          <t>EQ</t>
        </is>
      </c>
      <c r="F1161" t="inlineStr"/>
      <c r="G1161" s="42" t="inlineStr"/>
      <c r="H1161" s="125" t="n">
        <v>46142</v>
      </c>
      <c r="I1161" t="inlineStr"/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N1161" t="inlineStr"/>
      <c r="O1161" t="inlineStr">
        <is>
          <t>TR463</t>
        </is>
      </c>
      <c r="P1161" t="inlineStr"/>
      <c r="Q1161" s="112" t="n">
        <v>0</v>
      </c>
      <c r="R1161" s="112" t="n">
        <v>65</v>
      </c>
      <c r="S1161" s="112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D1162" t="inlineStr"/>
      <c r="E1162" t="inlineStr">
        <is>
          <t>EQ</t>
        </is>
      </c>
      <c r="F1162" t="inlineStr"/>
      <c r="G1162" s="42" t="inlineStr"/>
      <c r="H1162" s="125" t="n">
        <v>46142</v>
      </c>
      <c r="I1162" t="inlineStr"/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N1162" t="inlineStr"/>
      <c r="O1162" t="inlineStr">
        <is>
          <t>TR463</t>
        </is>
      </c>
      <c r="P1162" t="inlineStr"/>
      <c r="Q1162" s="112" t="n">
        <v>0</v>
      </c>
      <c r="R1162" s="112" t="n">
        <v>65</v>
      </c>
      <c r="S1162" s="112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D1163" t="inlineStr"/>
      <c r="E1163" t="inlineStr">
        <is>
          <t>EQ</t>
        </is>
      </c>
      <c r="F1163" t="inlineStr"/>
      <c r="G1163" s="42" t="inlineStr"/>
      <c r="H1163" s="125" t="n">
        <v>46142</v>
      </c>
      <c r="I1163" t="inlineStr"/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N1163" t="inlineStr"/>
      <c r="O1163" t="inlineStr">
        <is>
          <t>TR463</t>
        </is>
      </c>
      <c r="P1163" t="inlineStr"/>
      <c r="Q1163" s="112" t="n">
        <v>0</v>
      </c>
      <c r="R1163" s="112" t="n">
        <v>65</v>
      </c>
      <c r="S1163" s="112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D1164" t="inlineStr"/>
      <c r="E1164" t="inlineStr">
        <is>
          <t>EQ</t>
        </is>
      </c>
      <c r="F1164" t="inlineStr"/>
      <c r="G1164" s="42" t="inlineStr"/>
      <c r="H1164" s="125" t="n">
        <v>46142</v>
      </c>
      <c r="I1164" t="inlineStr"/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N1164" t="inlineStr"/>
      <c r="O1164" t="inlineStr">
        <is>
          <t>TR463</t>
        </is>
      </c>
      <c r="P1164" t="inlineStr"/>
      <c r="Q1164" s="112" t="n">
        <v>0</v>
      </c>
      <c r="R1164" s="112" t="n">
        <v>65</v>
      </c>
      <c r="S1164" s="112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D1165" t="inlineStr"/>
      <c r="E1165" t="inlineStr">
        <is>
          <t>EQ</t>
        </is>
      </c>
      <c r="F1165" t="inlineStr"/>
      <c r="G1165" s="42" t="inlineStr"/>
      <c r="H1165" s="125" t="n">
        <v>46142</v>
      </c>
      <c r="I1165" t="inlineStr"/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N1165" t="inlineStr"/>
      <c r="O1165" t="inlineStr">
        <is>
          <t>TR464</t>
        </is>
      </c>
      <c r="P1165" t="inlineStr"/>
      <c r="Q1165" s="112" t="n">
        <v>0</v>
      </c>
      <c r="R1165" s="112" t="n">
        <v>65</v>
      </c>
      <c r="S1165" s="112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D1166" t="inlineStr"/>
      <c r="E1166" t="inlineStr">
        <is>
          <t>EQ</t>
        </is>
      </c>
      <c r="F1166" t="inlineStr"/>
      <c r="G1166" s="42" t="inlineStr"/>
      <c r="H1166" s="125" t="n">
        <v>46142</v>
      </c>
      <c r="I1166" t="inlineStr"/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N1166" t="inlineStr"/>
      <c r="O1166" t="inlineStr">
        <is>
          <t>TR464</t>
        </is>
      </c>
      <c r="P1166" t="inlineStr"/>
      <c r="Q1166" s="112" t="n">
        <v>0</v>
      </c>
      <c r="R1166" s="112" t="n">
        <v>65</v>
      </c>
      <c r="S1166" s="112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D1167" t="inlineStr"/>
      <c r="E1167" t="inlineStr">
        <is>
          <t>EQ</t>
        </is>
      </c>
      <c r="F1167" t="inlineStr"/>
      <c r="G1167" s="42" t="inlineStr"/>
      <c r="H1167" s="125" t="n">
        <v>46142</v>
      </c>
      <c r="I1167" t="inlineStr"/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N1167" t="inlineStr"/>
      <c r="O1167" t="inlineStr">
        <is>
          <t>TR464</t>
        </is>
      </c>
      <c r="P1167" t="inlineStr"/>
      <c r="Q1167" s="112" t="n">
        <v>0</v>
      </c>
      <c r="R1167" s="112" t="n">
        <v>65</v>
      </c>
      <c r="S1167" s="112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D1168" t="inlineStr"/>
      <c r="E1168" t="inlineStr">
        <is>
          <t>EQ</t>
        </is>
      </c>
      <c r="F1168" t="inlineStr"/>
      <c r="G1168" s="42" t="inlineStr"/>
      <c r="H1168" s="125" t="n">
        <v>46142</v>
      </c>
      <c r="I1168" t="inlineStr"/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N1168" t="inlineStr"/>
      <c r="O1168" t="inlineStr">
        <is>
          <t>TR464</t>
        </is>
      </c>
      <c r="P1168" t="inlineStr"/>
      <c r="Q1168" s="112" t="n">
        <v>0</v>
      </c>
      <c r="R1168" s="112" t="n">
        <v>65</v>
      </c>
      <c r="S1168" s="112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D1169" t="inlineStr"/>
      <c r="E1169" t="inlineStr">
        <is>
          <t>EQ</t>
        </is>
      </c>
      <c r="F1169" t="inlineStr"/>
      <c r="G1169" s="42" t="inlineStr"/>
      <c r="H1169" s="125" t="n">
        <v>46142</v>
      </c>
      <c r="I1169" t="inlineStr"/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N1169" t="inlineStr"/>
      <c r="O1169" t="inlineStr">
        <is>
          <t>TR456</t>
        </is>
      </c>
      <c r="P1169" t="inlineStr"/>
      <c r="Q1169" s="112" t="n">
        <v>0</v>
      </c>
      <c r="R1169" s="112" t="n">
        <v>65</v>
      </c>
      <c r="S1169" s="112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D1170" t="inlineStr"/>
      <c r="E1170" t="inlineStr">
        <is>
          <t>EQ</t>
        </is>
      </c>
      <c r="F1170" t="inlineStr"/>
      <c r="G1170" s="42" t="inlineStr"/>
      <c r="H1170" s="125" t="n">
        <v>46142</v>
      </c>
      <c r="I1170" t="inlineStr"/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N1170" t="inlineStr"/>
      <c r="O1170" t="inlineStr">
        <is>
          <t>TR456</t>
        </is>
      </c>
      <c r="P1170" t="inlineStr"/>
      <c r="Q1170" s="112" t="n">
        <v>0</v>
      </c>
      <c r="R1170" s="112" t="n">
        <v>65</v>
      </c>
      <c r="S1170" s="112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D1171" t="inlineStr"/>
      <c r="E1171" t="inlineStr">
        <is>
          <t>EQ</t>
        </is>
      </c>
      <c r="F1171" t="inlineStr"/>
      <c r="G1171" s="42" t="inlineStr"/>
      <c r="H1171" s="125" t="n">
        <v>46142</v>
      </c>
      <c r="I1171" t="inlineStr"/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N1171" t="inlineStr"/>
      <c r="O1171" t="inlineStr">
        <is>
          <t>TR456</t>
        </is>
      </c>
      <c r="P1171" t="inlineStr"/>
      <c r="Q1171" s="112" t="n">
        <v>0</v>
      </c>
      <c r="R1171" s="112" t="n">
        <v>65</v>
      </c>
      <c r="S1171" s="112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D1172" t="inlineStr"/>
      <c r="E1172" t="inlineStr">
        <is>
          <t>EQ</t>
        </is>
      </c>
      <c r="F1172" t="inlineStr"/>
      <c r="G1172" s="42" t="inlineStr"/>
      <c r="H1172" s="125" t="n">
        <v>46142</v>
      </c>
      <c r="I1172" t="inlineStr"/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N1172" t="inlineStr"/>
      <c r="O1172" t="inlineStr">
        <is>
          <t>TR456</t>
        </is>
      </c>
      <c r="P1172" t="inlineStr"/>
      <c r="Q1172" s="112" t="n">
        <v>0</v>
      </c>
      <c r="R1172" s="112" t="n">
        <v>65</v>
      </c>
      <c r="S1172" s="112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D1173" t="inlineStr"/>
      <c r="E1173" t="inlineStr">
        <is>
          <t>EQ</t>
        </is>
      </c>
      <c r="F1173" t="inlineStr"/>
      <c r="G1173" s="42" t="inlineStr"/>
      <c r="H1173" s="125" t="n">
        <v>46142</v>
      </c>
      <c r="I1173" t="inlineStr"/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N1173" t="inlineStr"/>
      <c r="O1173" t="inlineStr">
        <is>
          <t>WTL002</t>
        </is>
      </c>
      <c r="P1173" t="inlineStr"/>
      <c r="Q1173" s="112" t="n">
        <v>0</v>
      </c>
      <c r="R1173" s="112" t="n">
        <v>55</v>
      </c>
      <c r="S1173" s="112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D1174" t="inlineStr"/>
      <c r="E1174" t="inlineStr">
        <is>
          <t>EQ</t>
        </is>
      </c>
      <c r="F1174" t="inlineStr"/>
      <c r="G1174" s="42" t="inlineStr"/>
      <c r="H1174" s="125" t="n">
        <v>46142</v>
      </c>
      <c r="I1174" t="inlineStr"/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N1174" t="inlineStr"/>
      <c r="O1174" t="inlineStr">
        <is>
          <t>WTL002</t>
        </is>
      </c>
      <c r="P1174" t="inlineStr"/>
      <c r="Q1174" s="112" t="n">
        <v>0</v>
      </c>
      <c r="R1174" s="112" t="n">
        <v>55</v>
      </c>
      <c r="S1174" s="112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D1175" t="inlineStr"/>
      <c r="E1175" t="inlineStr">
        <is>
          <t>EQ</t>
        </is>
      </c>
      <c r="F1175" t="inlineStr"/>
      <c r="G1175" s="42" t="inlineStr"/>
      <c r="H1175" s="125" t="n">
        <v>46142</v>
      </c>
      <c r="I1175" t="inlineStr"/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N1175" t="inlineStr"/>
      <c r="O1175" t="inlineStr">
        <is>
          <t>WTL002</t>
        </is>
      </c>
      <c r="P1175" t="inlineStr"/>
      <c r="Q1175" s="112" t="n">
        <v>0</v>
      </c>
      <c r="R1175" s="112" t="n">
        <v>55</v>
      </c>
      <c r="S1175" s="112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D1176" t="inlineStr"/>
      <c r="E1176" t="inlineStr">
        <is>
          <t>EQ</t>
        </is>
      </c>
      <c r="F1176" t="inlineStr"/>
      <c r="G1176" s="42" t="inlineStr"/>
      <c r="H1176" s="125" t="n">
        <v>46142</v>
      </c>
      <c r="I1176" t="inlineStr"/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N1176" t="inlineStr"/>
      <c r="O1176" t="inlineStr">
        <is>
          <t>WTL002</t>
        </is>
      </c>
      <c r="P1176" t="inlineStr"/>
      <c r="Q1176" s="112" t="n">
        <v>0</v>
      </c>
      <c r="R1176" s="112" t="n">
        <v>55</v>
      </c>
      <c r="S1176" s="112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D1177" t="inlineStr"/>
      <c r="E1177" t="inlineStr">
        <is>
          <t>EQ</t>
        </is>
      </c>
      <c r="F1177" t="inlineStr"/>
      <c r="G1177" s="42" t="inlineStr"/>
      <c r="H1177" s="125" t="n">
        <v>46142</v>
      </c>
      <c r="I1177" t="inlineStr"/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N1177" t="inlineStr"/>
      <c r="O1177" t="inlineStr">
        <is>
          <t>WLD133</t>
        </is>
      </c>
      <c r="P1177" t="inlineStr"/>
      <c r="Q1177" s="112" t="n">
        <v>0</v>
      </c>
      <c r="R1177" s="112" t="n">
        <v>259.22</v>
      </c>
      <c r="S1177" s="112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D1178" t="inlineStr"/>
      <c r="E1178" t="inlineStr">
        <is>
          <t>EQ</t>
        </is>
      </c>
      <c r="F1178" t="inlineStr"/>
      <c r="G1178" s="42" t="inlineStr"/>
      <c r="H1178" s="125" t="n">
        <v>46142</v>
      </c>
      <c r="I1178" t="inlineStr"/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N1178" t="inlineStr"/>
      <c r="O1178" t="inlineStr">
        <is>
          <t>WLD133</t>
        </is>
      </c>
      <c r="P1178" t="inlineStr"/>
      <c r="Q1178" s="112" t="n">
        <v>0</v>
      </c>
      <c r="R1178" s="112" t="n">
        <v>259.22</v>
      </c>
      <c r="S1178" s="112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D1179" t="inlineStr"/>
      <c r="E1179" t="inlineStr">
        <is>
          <t>EQ</t>
        </is>
      </c>
      <c r="F1179" t="inlineStr"/>
      <c r="G1179" s="42" t="inlineStr"/>
      <c r="H1179" s="125" t="n">
        <v>46142</v>
      </c>
      <c r="I1179" t="inlineStr"/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N1179" t="inlineStr"/>
      <c r="O1179" t="inlineStr">
        <is>
          <t>WLD133</t>
        </is>
      </c>
      <c r="P1179" t="inlineStr"/>
      <c r="Q1179" s="112" t="n">
        <v>0</v>
      </c>
      <c r="R1179" s="112" t="n">
        <v>259.22</v>
      </c>
      <c r="S1179" s="112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D1180" t="inlineStr"/>
      <c r="E1180" t="inlineStr">
        <is>
          <t>EQ</t>
        </is>
      </c>
      <c r="F1180" t="inlineStr"/>
      <c r="G1180" s="42" t="inlineStr"/>
      <c r="H1180" s="125" t="n">
        <v>46142</v>
      </c>
      <c r="I1180" t="inlineStr"/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N1180" t="inlineStr"/>
      <c r="O1180" t="inlineStr">
        <is>
          <t>RT1242</t>
        </is>
      </c>
      <c r="P1180" t="inlineStr"/>
      <c r="Q1180" s="112" t="n">
        <v>0</v>
      </c>
      <c r="R1180" s="112" t="n">
        <v>79.14</v>
      </c>
      <c r="S1180" s="112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D1181" t="inlineStr"/>
      <c r="E1181" t="inlineStr">
        <is>
          <t>EQ</t>
        </is>
      </c>
      <c r="F1181" t="inlineStr"/>
      <c r="G1181" s="42" t="inlineStr"/>
      <c r="H1181" s="125" t="n">
        <v>46142</v>
      </c>
      <c r="I1181" t="inlineStr"/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N1181" t="inlineStr"/>
      <c r="O1181" t="inlineStr">
        <is>
          <t>RT1242</t>
        </is>
      </c>
      <c r="P1181" t="inlineStr"/>
      <c r="Q1181" s="112" t="n">
        <v>0</v>
      </c>
      <c r="R1181" s="112" t="n">
        <v>79.14</v>
      </c>
      <c r="S1181" s="112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D1182" t="inlineStr"/>
      <c r="E1182" t="inlineStr">
        <is>
          <t>EQ</t>
        </is>
      </c>
      <c r="F1182" t="inlineStr"/>
      <c r="G1182" s="42" t="inlineStr"/>
      <c r="H1182" s="125" t="n">
        <v>46142</v>
      </c>
      <c r="I1182" t="inlineStr"/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N1182" t="inlineStr"/>
      <c r="O1182" t="inlineStr">
        <is>
          <t>RT1242</t>
        </is>
      </c>
      <c r="P1182" t="inlineStr"/>
      <c r="Q1182" s="112" t="n">
        <v>0</v>
      </c>
      <c r="R1182" s="112" t="n">
        <v>79.14</v>
      </c>
      <c r="S1182" s="112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D1183" t="inlineStr"/>
      <c r="E1183" t="inlineStr">
        <is>
          <t>EQ</t>
        </is>
      </c>
      <c r="F1183" t="inlineStr"/>
      <c r="G1183" s="42" t="inlineStr"/>
      <c r="H1183" s="125" t="n">
        <v>46142</v>
      </c>
      <c r="I1183" t="inlineStr"/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N1183" t="inlineStr"/>
      <c r="O1183" t="inlineStr">
        <is>
          <t>TR436</t>
        </is>
      </c>
      <c r="P1183" t="inlineStr"/>
      <c r="Q1183" s="112" t="n">
        <v>0</v>
      </c>
      <c r="R1183" s="112" t="n">
        <v>65</v>
      </c>
      <c r="S1183" s="112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D1184" t="inlineStr"/>
      <c r="E1184" t="inlineStr">
        <is>
          <t>EQ</t>
        </is>
      </c>
      <c r="F1184" t="inlineStr"/>
      <c r="G1184" s="42" t="inlineStr"/>
      <c r="H1184" s="125" t="n">
        <v>46142</v>
      </c>
      <c r="I1184" t="inlineStr"/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N1184" t="inlineStr"/>
      <c r="O1184" t="inlineStr">
        <is>
          <t>TR436</t>
        </is>
      </c>
      <c r="P1184" t="inlineStr"/>
      <c r="Q1184" s="112" t="n">
        <v>0</v>
      </c>
      <c r="R1184" s="112" t="n">
        <v>65</v>
      </c>
      <c r="S1184" s="112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D1185" t="inlineStr"/>
      <c r="E1185" t="inlineStr">
        <is>
          <t>EQ</t>
        </is>
      </c>
      <c r="F1185" t="inlineStr"/>
      <c r="G1185" s="42" t="inlineStr"/>
      <c r="H1185" s="125" t="n">
        <v>46145</v>
      </c>
      <c r="I1185" t="inlineStr"/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N1185" t="inlineStr"/>
      <c r="O1185" t="inlineStr">
        <is>
          <t>TR419</t>
        </is>
      </c>
      <c r="P1185" t="inlineStr"/>
      <c r="Q1185" s="112" t="n">
        <v>0</v>
      </c>
      <c r="R1185" s="112" t="n">
        <v>65</v>
      </c>
      <c r="S1185" s="112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D1186" t="inlineStr"/>
      <c r="E1186" t="inlineStr">
        <is>
          <t>EQ</t>
        </is>
      </c>
      <c r="F1186" t="inlineStr"/>
      <c r="G1186" s="42" t="inlineStr"/>
      <c r="H1186" s="125" t="n">
        <v>46145</v>
      </c>
      <c r="I1186" t="inlineStr"/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N1186" t="inlineStr"/>
      <c r="O1186" t="inlineStr">
        <is>
          <t>TR419</t>
        </is>
      </c>
      <c r="P1186" t="inlineStr"/>
      <c r="Q1186" s="112" t="n">
        <v>0</v>
      </c>
      <c r="R1186" s="112" t="n">
        <v>65</v>
      </c>
      <c r="S1186" s="112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D1187" t="inlineStr"/>
      <c r="E1187" t="inlineStr">
        <is>
          <t>EQ</t>
        </is>
      </c>
      <c r="F1187" t="inlineStr"/>
      <c r="G1187" s="42" t="inlineStr"/>
      <c r="H1187" s="125" t="n">
        <v>46145</v>
      </c>
      <c r="I1187" t="inlineStr"/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N1187" t="inlineStr"/>
      <c r="O1187" t="inlineStr">
        <is>
          <t>RT1344</t>
        </is>
      </c>
      <c r="P1187" t="inlineStr"/>
      <c r="Q1187" s="112" t="n">
        <v>0</v>
      </c>
      <c r="R1187" s="112" t="n">
        <v>79.14</v>
      </c>
      <c r="S1187" s="112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D1188" t="inlineStr"/>
      <c r="E1188" t="inlineStr">
        <is>
          <t>EQ</t>
        </is>
      </c>
      <c r="F1188" t="inlineStr"/>
      <c r="G1188" s="42" t="inlineStr"/>
      <c r="H1188" s="125" t="n">
        <v>46145</v>
      </c>
      <c r="I1188" t="inlineStr"/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N1188" t="inlineStr"/>
      <c r="O1188" t="inlineStr">
        <is>
          <t>RT1344</t>
        </is>
      </c>
      <c r="P1188" t="inlineStr"/>
      <c r="Q1188" s="112" t="n">
        <v>0</v>
      </c>
      <c r="R1188" s="112" t="n">
        <v>79.14</v>
      </c>
      <c r="S1188" s="112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D1189" t="inlineStr"/>
      <c r="E1189" t="inlineStr">
        <is>
          <t>EQ</t>
        </is>
      </c>
      <c r="F1189" t="inlineStr"/>
      <c r="G1189" s="42" t="inlineStr"/>
      <c r="H1189" s="125" t="n">
        <v>46145</v>
      </c>
      <c r="I1189" t="inlineStr"/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N1189" t="inlineStr"/>
      <c r="O1189" t="inlineStr">
        <is>
          <t>SSAUGKIT1</t>
        </is>
      </c>
      <c r="P1189" t="inlineStr"/>
      <c r="Q1189" s="112" t="n">
        <v>0</v>
      </c>
      <c r="R1189" s="112" t="n">
        <v>35</v>
      </c>
      <c r="S1189" s="112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D1190" t="inlineStr"/>
      <c r="E1190" t="inlineStr">
        <is>
          <t>EQ</t>
        </is>
      </c>
      <c r="F1190" t="inlineStr"/>
      <c r="G1190" s="42" t="inlineStr"/>
      <c r="H1190" s="125" t="n">
        <v>46145</v>
      </c>
      <c r="I1190" t="inlineStr"/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N1190" t="inlineStr"/>
      <c r="O1190" t="inlineStr">
        <is>
          <t>SSAUGKIT1</t>
        </is>
      </c>
      <c r="P1190" t="inlineStr"/>
      <c r="Q1190" s="112" t="n">
        <v>0</v>
      </c>
      <c r="R1190" s="112" t="n">
        <v>35</v>
      </c>
      <c r="S1190" s="112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D1191" t="inlineStr"/>
      <c r="E1191" t="inlineStr">
        <is>
          <t>EQ</t>
        </is>
      </c>
      <c r="F1191" t="inlineStr"/>
      <c r="G1191" s="42" t="inlineStr"/>
      <c r="H1191" s="125" t="n">
        <v>46145</v>
      </c>
      <c r="I1191" t="inlineStr"/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N1191" t="inlineStr"/>
      <c r="O1191" t="inlineStr">
        <is>
          <t>TR260</t>
        </is>
      </c>
      <c r="P1191" t="inlineStr"/>
      <c r="Q1191" s="112" t="n">
        <v>0</v>
      </c>
      <c r="R1191" s="112" t="n">
        <v>75</v>
      </c>
      <c r="S1191" s="112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D1192" t="inlineStr"/>
      <c r="E1192" t="inlineStr">
        <is>
          <t>EQ</t>
        </is>
      </c>
      <c r="F1192" t="inlineStr"/>
      <c r="G1192" s="42" t="inlineStr"/>
      <c r="H1192" s="125" t="n">
        <v>46145</v>
      </c>
      <c r="I1192" t="inlineStr"/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N1192" t="inlineStr"/>
      <c r="O1192" t="inlineStr">
        <is>
          <t>TR260</t>
        </is>
      </c>
      <c r="P1192" t="inlineStr"/>
      <c r="Q1192" s="112" t="n">
        <v>0</v>
      </c>
      <c r="R1192" s="112" t="n">
        <v>75</v>
      </c>
      <c r="S1192" s="112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D1193" t="inlineStr"/>
      <c r="E1193" t="inlineStr">
        <is>
          <t>EQ</t>
        </is>
      </c>
      <c r="F1193" t="inlineStr"/>
      <c r="G1193" s="42" t="inlineStr"/>
      <c r="H1193" s="125" t="n">
        <v>46145</v>
      </c>
      <c r="I1193" t="inlineStr"/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N1193" t="inlineStr"/>
      <c r="O1193" t="inlineStr">
        <is>
          <t>TR154</t>
        </is>
      </c>
      <c r="P1193" t="inlineStr"/>
      <c r="Q1193" s="112" t="n">
        <v>0</v>
      </c>
      <c r="R1193" s="112" t="n">
        <v>15</v>
      </c>
      <c r="S1193" s="112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D1194" t="inlineStr"/>
      <c r="E1194" t="inlineStr">
        <is>
          <t>EQ</t>
        </is>
      </c>
      <c r="F1194" t="inlineStr"/>
      <c r="G1194" s="42" t="inlineStr"/>
      <c r="H1194" s="125" t="n">
        <v>46145</v>
      </c>
      <c r="I1194" t="inlineStr"/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N1194" t="inlineStr"/>
      <c r="O1194" t="inlineStr">
        <is>
          <t>TR154</t>
        </is>
      </c>
      <c r="P1194" t="inlineStr"/>
      <c r="Q1194" s="112" t="n">
        <v>0</v>
      </c>
      <c r="R1194" s="112" t="n">
        <v>15</v>
      </c>
      <c r="S1194" s="112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D1195" t="inlineStr"/>
      <c r="E1195" t="inlineStr">
        <is>
          <t>EQ</t>
        </is>
      </c>
      <c r="F1195" t="inlineStr"/>
      <c r="G1195" s="42" t="inlineStr"/>
      <c r="H1195" s="125" t="n">
        <v>46145</v>
      </c>
      <c r="I1195" t="inlineStr"/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N1195" t="inlineStr"/>
      <c r="O1195" t="inlineStr">
        <is>
          <t>TR280</t>
        </is>
      </c>
      <c r="P1195" t="inlineStr"/>
      <c r="Q1195" s="112" t="n">
        <v>0</v>
      </c>
      <c r="R1195" s="112" t="n">
        <v>15</v>
      </c>
      <c r="S1195" s="112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D1196" t="inlineStr"/>
      <c r="E1196" t="inlineStr">
        <is>
          <t>EQ</t>
        </is>
      </c>
      <c r="F1196" t="inlineStr"/>
      <c r="G1196" s="42" t="inlineStr"/>
      <c r="H1196" s="125" t="n">
        <v>46145</v>
      </c>
      <c r="I1196" t="inlineStr"/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N1196" t="inlineStr"/>
      <c r="O1196" t="inlineStr">
        <is>
          <t>TR280</t>
        </is>
      </c>
      <c r="P1196" t="inlineStr"/>
      <c r="Q1196" s="112" t="n">
        <v>0</v>
      </c>
      <c r="R1196" s="112" t="n">
        <v>15</v>
      </c>
      <c r="S1196" s="112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D1197" t="inlineStr"/>
      <c r="E1197" t="inlineStr">
        <is>
          <t>EQ</t>
        </is>
      </c>
      <c r="F1197" t="inlineStr"/>
      <c r="G1197" s="42" t="inlineStr"/>
      <c r="H1197" s="125" t="n">
        <v>46145</v>
      </c>
      <c r="I1197" t="inlineStr"/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N1197" t="inlineStr"/>
      <c r="O1197" t="inlineStr">
        <is>
          <t>WHV001</t>
        </is>
      </c>
      <c r="P1197" t="inlineStr"/>
      <c r="Q1197" s="112" t="n">
        <v>0</v>
      </c>
      <c r="R1197" s="112" t="n">
        <v>250</v>
      </c>
      <c r="S1197" s="112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D1198" t="inlineStr"/>
      <c r="E1198" t="inlineStr">
        <is>
          <t>EQ</t>
        </is>
      </c>
      <c r="F1198" t="inlineStr"/>
      <c r="G1198" s="42" t="inlineStr"/>
      <c r="H1198" s="125" t="n">
        <v>46145</v>
      </c>
      <c r="I1198" t="inlineStr"/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N1198" t="inlineStr"/>
      <c r="O1198" t="inlineStr">
        <is>
          <t>WHV001</t>
        </is>
      </c>
      <c r="P1198" t="inlineStr"/>
      <c r="Q1198" s="112" t="n">
        <v>0</v>
      </c>
      <c r="R1198" s="112" t="n">
        <v>250</v>
      </c>
      <c r="S1198" s="112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D1199" t="inlineStr"/>
      <c r="E1199" t="inlineStr">
        <is>
          <t>EQ</t>
        </is>
      </c>
      <c r="F1199" t="inlineStr"/>
      <c r="G1199" s="42" t="inlineStr"/>
      <c r="H1199" s="125" t="n">
        <v>46145</v>
      </c>
      <c r="I1199" t="inlineStr"/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N1199" t="inlineStr"/>
      <c r="O1199" t="inlineStr">
        <is>
          <t>TR473</t>
        </is>
      </c>
      <c r="P1199" t="inlineStr"/>
      <c r="Q1199" s="112" t="n">
        <v>0</v>
      </c>
      <c r="R1199" s="112" t="n">
        <v>0</v>
      </c>
      <c r="S1199" s="112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D1200" t="inlineStr"/>
      <c r="E1200" t="inlineStr">
        <is>
          <t>EQ</t>
        </is>
      </c>
      <c r="F1200" t="inlineStr"/>
      <c r="G1200" s="42" t="inlineStr"/>
      <c r="H1200" s="125" t="n">
        <v>46145</v>
      </c>
      <c r="I1200" t="inlineStr"/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N1200" t="inlineStr"/>
      <c r="O1200" t="inlineStr">
        <is>
          <t>TR473</t>
        </is>
      </c>
      <c r="P1200" t="inlineStr"/>
      <c r="Q1200" s="112" t="n">
        <v>0</v>
      </c>
      <c r="R1200" s="112" t="n">
        <v>0</v>
      </c>
      <c r="S1200" s="112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D1201" t="inlineStr"/>
      <c r="E1201" t="inlineStr">
        <is>
          <t>EQ</t>
        </is>
      </c>
      <c r="F1201" t="inlineStr"/>
      <c r="G1201" s="42" t="inlineStr"/>
      <c r="H1201" s="125" t="n">
        <v>46145</v>
      </c>
      <c r="I1201" t="inlineStr"/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N1201" t="inlineStr"/>
      <c r="O1201" t="inlineStr">
        <is>
          <t>TR461</t>
        </is>
      </c>
      <c r="P1201" t="inlineStr"/>
      <c r="Q1201" s="112" t="n">
        <v>0</v>
      </c>
      <c r="R1201" s="112" t="n">
        <v>65</v>
      </c>
      <c r="S1201" s="112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D1202" t="inlineStr"/>
      <c r="E1202" t="inlineStr">
        <is>
          <t>EQ</t>
        </is>
      </c>
      <c r="F1202" t="inlineStr"/>
      <c r="G1202" s="42" t="inlineStr"/>
      <c r="H1202" s="125" t="n">
        <v>46145</v>
      </c>
      <c r="I1202" t="inlineStr"/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N1202" t="inlineStr"/>
      <c r="O1202" t="inlineStr">
        <is>
          <t>TR461</t>
        </is>
      </c>
      <c r="P1202" t="inlineStr"/>
      <c r="Q1202" s="112" t="n">
        <v>0</v>
      </c>
      <c r="R1202" s="112" t="n">
        <v>65</v>
      </c>
      <c r="S1202" s="112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D1203" t="inlineStr"/>
      <c r="E1203" t="inlineStr">
        <is>
          <t>EQ</t>
        </is>
      </c>
      <c r="F1203" t="inlineStr"/>
      <c r="G1203" s="42" t="inlineStr"/>
      <c r="H1203" s="125" t="n">
        <v>46145</v>
      </c>
      <c r="I1203" t="inlineStr"/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N1203" t="inlineStr"/>
      <c r="O1203" t="inlineStr">
        <is>
          <t>TR462</t>
        </is>
      </c>
      <c r="P1203" t="inlineStr"/>
      <c r="Q1203" s="112" t="n">
        <v>0</v>
      </c>
      <c r="R1203" s="112" t="n">
        <v>65</v>
      </c>
      <c r="S1203" s="112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D1204" t="inlineStr"/>
      <c r="E1204" t="inlineStr">
        <is>
          <t>EQ</t>
        </is>
      </c>
      <c r="F1204" t="inlineStr"/>
      <c r="G1204" s="42" t="inlineStr"/>
      <c r="H1204" s="125" t="n">
        <v>46145</v>
      </c>
      <c r="I1204" t="inlineStr"/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N1204" t="inlineStr"/>
      <c r="O1204" t="inlineStr">
        <is>
          <t>TR462</t>
        </is>
      </c>
      <c r="P1204" t="inlineStr"/>
      <c r="Q1204" s="112" t="n">
        <v>0</v>
      </c>
      <c r="R1204" s="112" t="n">
        <v>65</v>
      </c>
      <c r="S1204" s="112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D1205" t="inlineStr"/>
      <c r="E1205" t="inlineStr">
        <is>
          <t>EQ</t>
        </is>
      </c>
      <c r="F1205" t="inlineStr"/>
      <c r="G1205" s="42" t="inlineStr"/>
      <c r="H1205" s="125" t="n">
        <v>46145</v>
      </c>
      <c r="I1205" t="inlineStr"/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N1205" t="inlineStr"/>
      <c r="O1205" t="inlineStr">
        <is>
          <t>TR463</t>
        </is>
      </c>
      <c r="P1205" t="inlineStr"/>
      <c r="Q1205" s="112" t="n">
        <v>0</v>
      </c>
      <c r="R1205" s="112" t="n">
        <v>65</v>
      </c>
      <c r="S1205" s="112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D1206" t="inlineStr"/>
      <c r="E1206" t="inlineStr">
        <is>
          <t>EQ</t>
        </is>
      </c>
      <c r="F1206" t="inlineStr"/>
      <c r="G1206" s="42" t="inlineStr"/>
      <c r="H1206" s="125" t="n">
        <v>46145</v>
      </c>
      <c r="I1206" t="inlineStr"/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N1206" t="inlineStr"/>
      <c r="O1206" t="inlineStr">
        <is>
          <t>TR463</t>
        </is>
      </c>
      <c r="P1206" t="inlineStr"/>
      <c r="Q1206" s="112" t="n">
        <v>0</v>
      </c>
      <c r="R1206" s="112" t="n">
        <v>65</v>
      </c>
      <c r="S1206" s="112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D1207" t="inlineStr"/>
      <c r="E1207" t="inlineStr">
        <is>
          <t>EQ</t>
        </is>
      </c>
      <c r="F1207" t="inlineStr"/>
      <c r="G1207" s="42" t="inlineStr"/>
      <c r="H1207" s="125" t="n">
        <v>46145</v>
      </c>
      <c r="I1207" t="inlineStr"/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N1207" t="inlineStr"/>
      <c r="O1207" t="inlineStr">
        <is>
          <t>TR464</t>
        </is>
      </c>
      <c r="P1207" t="inlineStr"/>
      <c r="Q1207" s="112" t="n">
        <v>0</v>
      </c>
      <c r="R1207" s="112" t="n">
        <v>65</v>
      </c>
      <c r="S1207" s="112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D1208" t="inlineStr"/>
      <c r="E1208" t="inlineStr">
        <is>
          <t>EQ</t>
        </is>
      </c>
      <c r="F1208" t="inlineStr"/>
      <c r="G1208" s="42" t="inlineStr"/>
      <c r="H1208" s="125" t="n">
        <v>46145</v>
      </c>
      <c r="I1208" t="inlineStr"/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N1208" t="inlineStr"/>
      <c r="O1208" t="inlineStr">
        <is>
          <t>TR464</t>
        </is>
      </c>
      <c r="P1208" t="inlineStr"/>
      <c r="Q1208" s="112" t="n">
        <v>0</v>
      </c>
      <c r="R1208" s="112" t="n">
        <v>65</v>
      </c>
      <c r="S1208" s="112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D1209" t="inlineStr"/>
      <c r="E1209" t="inlineStr">
        <is>
          <t>EQ</t>
        </is>
      </c>
      <c r="F1209" t="inlineStr"/>
      <c r="G1209" s="42" t="inlineStr"/>
      <c r="H1209" s="125" t="n">
        <v>46145</v>
      </c>
      <c r="I1209" t="inlineStr"/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N1209" t="inlineStr"/>
      <c r="O1209" t="inlineStr">
        <is>
          <t>TR456</t>
        </is>
      </c>
      <c r="P1209" t="inlineStr"/>
      <c r="Q1209" s="112" t="n">
        <v>0</v>
      </c>
      <c r="R1209" s="112" t="n">
        <v>65</v>
      </c>
      <c r="S1209" s="112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D1210" t="inlineStr"/>
      <c r="E1210" t="inlineStr">
        <is>
          <t>EQ</t>
        </is>
      </c>
      <c r="F1210" t="inlineStr"/>
      <c r="G1210" s="42" t="inlineStr"/>
      <c r="H1210" s="125" t="n">
        <v>46145</v>
      </c>
      <c r="I1210" t="inlineStr"/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N1210" t="inlineStr"/>
      <c r="O1210" t="inlineStr">
        <is>
          <t>TR456</t>
        </is>
      </c>
      <c r="P1210" t="inlineStr"/>
      <c r="Q1210" s="112" t="n">
        <v>0</v>
      </c>
      <c r="R1210" s="112" t="n">
        <v>65</v>
      </c>
      <c r="S1210" s="112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D1211" t="inlineStr"/>
      <c r="E1211" t="inlineStr">
        <is>
          <t>EQ</t>
        </is>
      </c>
      <c r="F1211" t="inlineStr"/>
      <c r="G1211" s="42" t="inlineStr"/>
      <c r="H1211" s="125" t="n">
        <v>46145</v>
      </c>
      <c r="I1211" t="inlineStr"/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N1211" t="inlineStr"/>
      <c r="O1211" t="inlineStr">
        <is>
          <t>WTL002</t>
        </is>
      </c>
      <c r="P1211" t="inlineStr"/>
      <c r="Q1211" s="112" t="n">
        <v>0</v>
      </c>
      <c r="R1211" s="112" t="n">
        <v>55</v>
      </c>
      <c r="S1211" s="112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D1212" t="inlineStr"/>
      <c r="E1212" t="inlineStr">
        <is>
          <t>EQ</t>
        </is>
      </c>
      <c r="F1212" t="inlineStr"/>
      <c r="G1212" s="42" t="inlineStr"/>
      <c r="H1212" s="125" t="n">
        <v>46145</v>
      </c>
      <c r="I1212" t="inlineStr"/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N1212" t="inlineStr"/>
      <c r="O1212" t="inlineStr">
        <is>
          <t>WTL002</t>
        </is>
      </c>
      <c r="P1212" t="inlineStr"/>
      <c r="Q1212" s="112" t="n">
        <v>0</v>
      </c>
      <c r="R1212" s="112" t="n">
        <v>55</v>
      </c>
      <c r="S1212" s="112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D1213" t="inlineStr"/>
      <c r="E1213" t="inlineStr">
        <is>
          <t>EQ</t>
        </is>
      </c>
      <c r="F1213" t="inlineStr"/>
      <c r="G1213" s="42" t="inlineStr"/>
      <c r="H1213" s="125" t="n">
        <v>46145</v>
      </c>
      <c r="I1213" t="inlineStr"/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N1213" t="inlineStr"/>
      <c r="O1213" t="inlineStr">
        <is>
          <t>WLD133</t>
        </is>
      </c>
      <c r="P1213" t="inlineStr"/>
      <c r="Q1213" s="112" t="n">
        <v>0</v>
      </c>
      <c r="R1213" s="112" t="n">
        <v>259.22</v>
      </c>
      <c r="S1213" s="112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D1214" t="inlineStr"/>
      <c r="E1214" t="inlineStr">
        <is>
          <t>EQ</t>
        </is>
      </c>
      <c r="F1214" t="inlineStr"/>
      <c r="G1214" s="42" t="inlineStr"/>
      <c r="H1214" s="125" t="n">
        <v>46145</v>
      </c>
      <c r="I1214" t="inlineStr"/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N1214" t="inlineStr"/>
      <c r="O1214" t="inlineStr">
        <is>
          <t>WLD133</t>
        </is>
      </c>
      <c r="P1214" t="inlineStr"/>
      <c r="Q1214" s="112" t="n">
        <v>0</v>
      </c>
      <c r="R1214" s="112" t="n">
        <v>259.22</v>
      </c>
      <c r="S1214" s="112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D1215" t="inlineStr"/>
      <c r="E1215" t="inlineStr">
        <is>
          <t>EQ</t>
        </is>
      </c>
      <c r="F1215" t="inlineStr"/>
      <c r="G1215" s="42" t="inlineStr"/>
      <c r="H1215" s="125" t="n">
        <v>46145</v>
      </c>
      <c r="I1215" t="inlineStr"/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N1215" t="inlineStr"/>
      <c r="O1215" t="inlineStr">
        <is>
          <t>RT1242</t>
        </is>
      </c>
      <c r="P1215" t="inlineStr"/>
      <c r="Q1215" s="112" t="n">
        <v>0</v>
      </c>
      <c r="R1215" s="112" t="n">
        <v>79.14</v>
      </c>
      <c r="S1215" s="112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D1216" t="inlineStr"/>
      <c r="E1216" t="inlineStr">
        <is>
          <t>EQ</t>
        </is>
      </c>
      <c r="F1216" t="inlineStr"/>
      <c r="G1216" s="42" t="inlineStr"/>
      <c r="H1216" s="125" t="n">
        <v>46145</v>
      </c>
      <c r="I1216" t="inlineStr"/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N1216" t="inlineStr"/>
      <c r="O1216" t="inlineStr">
        <is>
          <t>RT1242</t>
        </is>
      </c>
      <c r="P1216" t="inlineStr"/>
      <c r="Q1216" s="112" t="n">
        <v>0</v>
      </c>
      <c r="R1216" s="112" t="n">
        <v>79.14</v>
      </c>
      <c r="S1216" s="112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D1217" t="inlineStr"/>
      <c r="E1217" t="inlineStr">
        <is>
          <t>EQ</t>
        </is>
      </c>
      <c r="F1217" t="inlineStr"/>
      <c r="G1217" s="42" t="inlineStr"/>
      <c r="H1217" s="125" t="n">
        <v>46145</v>
      </c>
      <c r="I1217" t="inlineStr"/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N1217" t="inlineStr"/>
      <c r="O1217" t="inlineStr">
        <is>
          <t>TR436</t>
        </is>
      </c>
      <c r="P1217" t="inlineStr"/>
      <c r="Q1217" s="112" t="n">
        <v>0</v>
      </c>
      <c r="R1217" s="112" t="n">
        <v>65</v>
      </c>
      <c r="S1217" s="112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D1218" t="inlineStr"/>
      <c r="E1218" t="inlineStr">
        <is>
          <t>EQ</t>
        </is>
      </c>
      <c r="F1218" t="inlineStr"/>
      <c r="G1218" s="42" t="inlineStr"/>
      <c r="H1218" s="125" t="n">
        <v>46145</v>
      </c>
      <c r="I1218" t="inlineStr"/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N1218" t="inlineStr"/>
      <c r="O1218" t="inlineStr">
        <is>
          <t>TR436</t>
        </is>
      </c>
      <c r="P1218" t="inlineStr"/>
      <c r="Q1218" s="112" t="n">
        <v>0</v>
      </c>
      <c r="R1218" s="112" t="n">
        <v>65</v>
      </c>
      <c r="S1218" s="112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D1219" t="inlineStr"/>
      <c r="E1219" t="inlineStr">
        <is>
          <t>EQ</t>
        </is>
      </c>
      <c r="F1219" t="inlineStr"/>
      <c r="G1219" s="42" t="inlineStr"/>
      <c r="H1219" s="125" t="n">
        <v>46152</v>
      </c>
      <c r="I1219" t="inlineStr"/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N1219" t="inlineStr"/>
      <c r="O1219" t="inlineStr">
        <is>
          <t>TR419</t>
        </is>
      </c>
      <c r="P1219" t="inlineStr"/>
      <c r="Q1219" s="112" t="n">
        <v>0</v>
      </c>
      <c r="R1219" s="112" t="n">
        <v>65</v>
      </c>
      <c r="S1219" s="112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D1220" t="inlineStr"/>
      <c r="E1220" t="inlineStr">
        <is>
          <t>EQ</t>
        </is>
      </c>
      <c r="F1220" t="inlineStr"/>
      <c r="G1220" s="42" t="inlineStr"/>
      <c r="H1220" s="125" t="n">
        <v>46152</v>
      </c>
      <c r="I1220" t="inlineStr"/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N1220" t="inlineStr"/>
      <c r="O1220" t="inlineStr">
        <is>
          <t>TR419</t>
        </is>
      </c>
      <c r="P1220" t="inlineStr"/>
      <c r="Q1220" s="112" t="n">
        <v>0</v>
      </c>
      <c r="R1220" s="112" t="n">
        <v>65</v>
      </c>
      <c r="S1220" s="112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D1221" t="inlineStr"/>
      <c r="E1221" t="inlineStr">
        <is>
          <t>EQ</t>
        </is>
      </c>
      <c r="F1221" t="inlineStr"/>
      <c r="G1221" s="42" t="inlineStr"/>
      <c r="H1221" s="125" t="n">
        <v>46152</v>
      </c>
      <c r="I1221" t="inlineStr"/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N1221" t="inlineStr"/>
      <c r="O1221" t="inlineStr">
        <is>
          <t>TR419</t>
        </is>
      </c>
      <c r="P1221" t="inlineStr"/>
      <c r="Q1221" s="112" t="n">
        <v>0</v>
      </c>
      <c r="R1221" s="112" t="n">
        <v>65</v>
      </c>
      <c r="S1221" s="112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D1222" t="inlineStr"/>
      <c r="E1222" t="inlineStr">
        <is>
          <t>EQ</t>
        </is>
      </c>
      <c r="F1222" t="inlineStr"/>
      <c r="G1222" s="42" t="inlineStr"/>
      <c r="H1222" s="125" t="n">
        <v>46152</v>
      </c>
      <c r="I1222" t="inlineStr"/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N1222" t="inlineStr"/>
      <c r="O1222" t="inlineStr">
        <is>
          <t>TR419</t>
        </is>
      </c>
      <c r="P1222" t="inlineStr"/>
      <c r="Q1222" s="112" t="n">
        <v>0</v>
      </c>
      <c r="R1222" s="112" t="n">
        <v>65</v>
      </c>
      <c r="S1222" s="112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D1223" t="inlineStr"/>
      <c r="E1223" t="inlineStr">
        <is>
          <t>EQ</t>
        </is>
      </c>
      <c r="F1223" t="inlineStr"/>
      <c r="G1223" s="42" t="inlineStr"/>
      <c r="H1223" s="125" t="n">
        <v>46152</v>
      </c>
      <c r="I1223" t="inlineStr"/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N1223" t="inlineStr"/>
      <c r="O1223" t="inlineStr">
        <is>
          <t>TR419</t>
        </is>
      </c>
      <c r="P1223" t="inlineStr"/>
      <c r="Q1223" s="112" t="n">
        <v>0</v>
      </c>
      <c r="R1223" s="112" t="n">
        <v>65</v>
      </c>
      <c r="S1223" s="112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D1224" t="inlineStr"/>
      <c r="E1224" t="inlineStr">
        <is>
          <t>EQ</t>
        </is>
      </c>
      <c r="F1224" t="inlineStr"/>
      <c r="G1224" s="42" t="inlineStr"/>
      <c r="H1224" s="125" t="n">
        <v>46152</v>
      </c>
      <c r="I1224" t="inlineStr"/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N1224" t="inlineStr"/>
      <c r="O1224" t="inlineStr">
        <is>
          <t>TR419</t>
        </is>
      </c>
      <c r="P1224" t="inlineStr"/>
      <c r="Q1224" s="112" t="n">
        <v>0</v>
      </c>
      <c r="R1224" s="112" t="n">
        <v>65</v>
      </c>
      <c r="S1224" s="112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D1225" t="inlineStr"/>
      <c r="E1225" t="inlineStr">
        <is>
          <t>EQ</t>
        </is>
      </c>
      <c r="F1225" t="inlineStr"/>
      <c r="G1225" s="42" t="inlineStr"/>
      <c r="H1225" s="125" t="n">
        <v>46152</v>
      </c>
      <c r="I1225" t="inlineStr"/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N1225" t="inlineStr"/>
      <c r="O1225" t="inlineStr">
        <is>
          <t>RT1344</t>
        </is>
      </c>
      <c r="P1225" t="inlineStr"/>
      <c r="Q1225" s="112" t="n">
        <v>0</v>
      </c>
      <c r="R1225" s="112" t="n">
        <v>79.14</v>
      </c>
      <c r="S1225" s="112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D1226" t="inlineStr"/>
      <c r="E1226" t="inlineStr">
        <is>
          <t>EQ</t>
        </is>
      </c>
      <c r="F1226" t="inlineStr"/>
      <c r="G1226" s="42" t="inlineStr"/>
      <c r="H1226" s="125" t="n">
        <v>46152</v>
      </c>
      <c r="I1226" t="inlineStr"/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N1226" t="inlineStr"/>
      <c r="O1226" t="inlineStr">
        <is>
          <t>RT1344</t>
        </is>
      </c>
      <c r="P1226" t="inlineStr"/>
      <c r="Q1226" s="112" t="n">
        <v>0</v>
      </c>
      <c r="R1226" s="112" t="n">
        <v>79.14</v>
      </c>
      <c r="S1226" s="112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D1227" t="inlineStr"/>
      <c r="E1227" t="inlineStr">
        <is>
          <t>EQ</t>
        </is>
      </c>
      <c r="F1227" t="inlineStr"/>
      <c r="G1227" s="42" t="inlineStr"/>
      <c r="H1227" s="125" t="n">
        <v>46152</v>
      </c>
      <c r="I1227" t="inlineStr"/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N1227" t="inlineStr"/>
      <c r="O1227" t="inlineStr">
        <is>
          <t>RT1344</t>
        </is>
      </c>
      <c r="P1227" t="inlineStr"/>
      <c r="Q1227" s="112" t="n">
        <v>0</v>
      </c>
      <c r="R1227" s="112" t="n">
        <v>79.14</v>
      </c>
      <c r="S1227" s="112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D1228" t="inlineStr"/>
      <c r="E1228" t="inlineStr">
        <is>
          <t>EQ</t>
        </is>
      </c>
      <c r="F1228" t="inlineStr"/>
      <c r="G1228" s="42" t="inlineStr"/>
      <c r="H1228" s="125" t="n">
        <v>46152</v>
      </c>
      <c r="I1228" t="inlineStr"/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N1228" t="inlineStr"/>
      <c r="O1228" t="inlineStr">
        <is>
          <t>RT1344</t>
        </is>
      </c>
      <c r="P1228" t="inlineStr"/>
      <c r="Q1228" s="112" t="n">
        <v>0</v>
      </c>
      <c r="R1228" s="112" t="n">
        <v>79.14</v>
      </c>
      <c r="S1228" s="112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D1229" t="inlineStr"/>
      <c r="E1229" t="inlineStr">
        <is>
          <t>EQ</t>
        </is>
      </c>
      <c r="F1229" t="inlineStr"/>
      <c r="G1229" s="42" t="inlineStr"/>
      <c r="H1229" s="125" t="n">
        <v>46152</v>
      </c>
      <c r="I1229" t="inlineStr"/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N1229" t="inlineStr"/>
      <c r="O1229" t="inlineStr">
        <is>
          <t>RT1344</t>
        </is>
      </c>
      <c r="P1229" t="inlineStr"/>
      <c r="Q1229" s="112" t="n">
        <v>0</v>
      </c>
      <c r="R1229" s="112" t="n">
        <v>79.14</v>
      </c>
      <c r="S1229" s="112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D1230" t="inlineStr"/>
      <c r="E1230" t="inlineStr">
        <is>
          <t>EQ</t>
        </is>
      </c>
      <c r="F1230" t="inlineStr"/>
      <c r="G1230" s="42" t="inlineStr"/>
      <c r="H1230" s="125" t="n">
        <v>46152</v>
      </c>
      <c r="I1230" t="inlineStr"/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N1230" t="inlineStr"/>
      <c r="O1230" t="inlineStr">
        <is>
          <t>RT1344</t>
        </is>
      </c>
      <c r="P1230" t="inlineStr"/>
      <c r="Q1230" s="112" t="n">
        <v>0</v>
      </c>
      <c r="R1230" s="112" t="n">
        <v>79.14</v>
      </c>
      <c r="S1230" s="112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D1231" t="inlineStr"/>
      <c r="E1231" t="inlineStr">
        <is>
          <t>EQ</t>
        </is>
      </c>
      <c r="F1231" t="inlineStr"/>
      <c r="G1231" s="42" t="inlineStr"/>
      <c r="H1231" s="125" t="n">
        <v>46152</v>
      </c>
      <c r="I1231" t="inlineStr"/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N1231" t="inlineStr"/>
      <c r="O1231" t="inlineStr">
        <is>
          <t>SSAUGKIT1</t>
        </is>
      </c>
      <c r="P1231" t="inlineStr"/>
      <c r="Q1231" s="112" t="n">
        <v>0</v>
      </c>
      <c r="R1231" s="112" t="n">
        <v>35</v>
      </c>
      <c r="S1231" s="112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D1232" t="inlineStr"/>
      <c r="E1232" t="inlineStr">
        <is>
          <t>EQ</t>
        </is>
      </c>
      <c r="F1232" t="inlineStr"/>
      <c r="G1232" s="42" t="inlineStr"/>
      <c r="H1232" s="125" t="n">
        <v>46152</v>
      </c>
      <c r="I1232" t="inlineStr"/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N1232" t="inlineStr"/>
      <c r="O1232" t="inlineStr">
        <is>
          <t>SSAUGKIT1</t>
        </is>
      </c>
      <c r="P1232" t="inlineStr"/>
      <c r="Q1232" s="112" t="n">
        <v>0</v>
      </c>
      <c r="R1232" s="112" t="n">
        <v>35</v>
      </c>
      <c r="S1232" s="112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D1233" t="inlineStr"/>
      <c r="E1233" t="inlineStr">
        <is>
          <t>EQ</t>
        </is>
      </c>
      <c r="F1233" t="inlineStr"/>
      <c r="G1233" s="42" t="inlineStr"/>
      <c r="H1233" s="125" t="n">
        <v>46152</v>
      </c>
      <c r="I1233" t="inlineStr"/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N1233" t="inlineStr"/>
      <c r="O1233" t="inlineStr">
        <is>
          <t>SSAUGKIT1</t>
        </is>
      </c>
      <c r="P1233" t="inlineStr"/>
      <c r="Q1233" s="112" t="n">
        <v>0</v>
      </c>
      <c r="R1233" s="112" t="n">
        <v>35</v>
      </c>
      <c r="S1233" s="112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D1234" t="inlineStr"/>
      <c r="E1234" t="inlineStr">
        <is>
          <t>EQ</t>
        </is>
      </c>
      <c r="F1234" t="inlineStr"/>
      <c r="G1234" s="42" t="inlineStr"/>
      <c r="H1234" s="125" t="n">
        <v>46152</v>
      </c>
      <c r="I1234" t="inlineStr"/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N1234" t="inlineStr"/>
      <c r="O1234" t="inlineStr">
        <is>
          <t>TR260</t>
        </is>
      </c>
      <c r="P1234" t="inlineStr"/>
      <c r="Q1234" s="112" t="n">
        <v>0</v>
      </c>
      <c r="R1234" s="112" t="n">
        <v>75</v>
      </c>
      <c r="S1234" s="112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D1235" t="inlineStr"/>
      <c r="E1235" t="inlineStr">
        <is>
          <t>EQ</t>
        </is>
      </c>
      <c r="F1235" t="inlineStr"/>
      <c r="G1235" s="42" t="inlineStr"/>
      <c r="H1235" s="125" t="n">
        <v>46152</v>
      </c>
      <c r="I1235" t="inlineStr"/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N1235" t="inlineStr"/>
      <c r="O1235" t="inlineStr">
        <is>
          <t>TR260</t>
        </is>
      </c>
      <c r="P1235" t="inlineStr"/>
      <c r="Q1235" s="112" t="n">
        <v>0</v>
      </c>
      <c r="R1235" s="112" t="n">
        <v>75</v>
      </c>
      <c r="S1235" s="112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D1236" t="inlineStr"/>
      <c r="E1236" t="inlineStr">
        <is>
          <t>EQ</t>
        </is>
      </c>
      <c r="F1236" t="inlineStr"/>
      <c r="G1236" s="42" t="inlineStr"/>
      <c r="H1236" s="125" t="n">
        <v>46152</v>
      </c>
      <c r="I1236" t="inlineStr"/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N1236" t="inlineStr"/>
      <c r="O1236" t="inlineStr">
        <is>
          <t>TR260</t>
        </is>
      </c>
      <c r="P1236" t="inlineStr"/>
      <c r="Q1236" s="112" t="n">
        <v>0</v>
      </c>
      <c r="R1236" s="112" t="n">
        <v>75</v>
      </c>
      <c r="S1236" s="112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D1237" t="inlineStr"/>
      <c r="E1237" t="inlineStr">
        <is>
          <t>EQ</t>
        </is>
      </c>
      <c r="F1237" t="inlineStr"/>
      <c r="G1237" s="42" t="inlineStr"/>
      <c r="H1237" s="125" t="n">
        <v>46152</v>
      </c>
      <c r="I1237" t="inlineStr"/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N1237" t="inlineStr"/>
      <c r="O1237" t="inlineStr">
        <is>
          <t>TR260</t>
        </is>
      </c>
      <c r="P1237" t="inlineStr"/>
      <c r="Q1237" s="112" t="n">
        <v>0</v>
      </c>
      <c r="R1237" s="112" t="n">
        <v>75</v>
      </c>
      <c r="S1237" s="112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D1238" t="inlineStr"/>
      <c r="E1238" t="inlineStr">
        <is>
          <t>EQ</t>
        </is>
      </c>
      <c r="F1238" t="inlineStr"/>
      <c r="G1238" s="42" t="inlineStr"/>
      <c r="H1238" s="125" t="n">
        <v>46152</v>
      </c>
      <c r="I1238" t="inlineStr"/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N1238" t="inlineStr"/>
      <c r="O1238" t="inlineStr">
        <is>
          <t>TR260</t>
        </is>
      </c>
      <c r="P1238" t="inlineStr"/>
      <c r="Q1238" s="112" t="n">
        <v>0</v>
      </c>
      <c r="R1238" s="112" t="n">
        <v>75</v>
      </c>
      <c r="S1238" s="112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D1239" t="inlineStr"/>
      <c r="E1239" t="inlineStr">
        <is>
          <t>EQ</t>
        </is>
      </c>
      <c r="F1239" t="inlineStr"/>
      <c r="G1239" s="42" t="inlineStr"/>
      <c r="H1239" s="125" t="n">
        <v>46152</v>
      </c>
      <c r="I1239" t="inlineStr"/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N1239" t="inlineStr"/>
      <c r="O1239" t="inlineStr">
        <is>
          <t>TR260</t>
        </is>
      </c>
      <c r="P1239" t="inlineStr"/>
      <c r="Q1239" s="112" t="n">
        <v>0</v>
      </c>
      <c r="R1239" s="112" t="n">
        <v>75</v>
      </c>
      <c r="S1239" s="112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D1240" t="inlineStr"/>
      <c r="E1240" t="inlineStr">
        <is>
          <t>EQ</t>
        </is>
      </c>
      <c r="F1240" t="inlineStr"/>
      <c r="G1240" s="42" t="inlineStr"/>
      <c r="H1240" s="125" t="n">
        <v>46152</v>
      </c>
      <c r="I1240" t="inlineStr"/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N1240" t="inlineStr"/>
      <c r="O1240" t="inlineStr">
        <is>
          <t>TR154</t>
        </is>
      </c>
      <c r="P1240" t="inlineStr"/>
      <c r="Q1240" s="112" t="n">
        <v>0</v>
      </c>
      <c r="R1240" s="112" t="n">
        <v>15</v>
      </c>
      <c r="S1240" s="112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D1241" t="inlineStr"/>
      <c r="E1241" t="inlineStr">
        <is>
          <t>EQ</t>
        </is>
      </c>
      <c r="F1241" t="inlineStr"/>
      <c r="G1241" s="42" t="inlineStr"/>
      <c r="H1241" s="125" t="n">
        <v>46152</v>
      </c>
      <c r="I1241" t="inlineStr"/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N1241" t="inlineStr"/>
      <c r="O1241" t="inlineStr">
        <is>
          <t>TR154</t>
        </is>
      </c>
      <c r="P1241" t="inlineStr"/>
      <c r="Q1241" s="112" t="n">
        <v>0</v>
      </c>
      <c r="R1241" s="112" t="n">
        <v>15</v>
      </c>
      <c r="S1241" s="112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D1242" t="inlineStr"/>
      <c r="E1242" t="inlineStr">
        <is>
          <t>EQ</t>
        </is>
      </c>
      <c r="F1242" t="inlineStr"/>
      <c r="G1242" s="42" t="inlineStr"/>
      <c r="H1242" s="125" t="n">
        <v>46152</v>
      </c>
      <c r="I1242" t="inlineStr"/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N1242" t="inlineStr"/>
      <c r="O1242" t="inlineStr">
        <is>
          <t>TR154</t>
        </is>
      </c>
      <c r="P1242" t="inlineStr"/>
      <c r="Q1242" s="112" t="n">
        <v>0</v>
      </c>
      <c r="R1242" s="112" t="n">
        <v>15</v>
      </c>
      <c r="S1242" s="112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D1243" t="inlineStr"/>
      <c r="E1243" t="inlineStr">
        <is>
          <t>EQ</t>
        </is>
      </c>
      <c r="F1243" t="inlineStr"/>
      <c r="G1243" s="42" t="inlineStr"/>
      <c r="H1243" s="125" t="n">
        <v>46152</v>
      </c>
      <c r="I1243" t="inlineStr"/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N1243" t="inlineStr"/>
      <c r="O1243" t="inlineStr">
        <is>
          <t>TR154</t>
        </is>
      </c>
      <c r="P1243" t="inlineStr"/>
      <c r="Q1243" s="112" t="n">
        <v>0</v>
      </c>
      <c r="R1243" s="112" t="n">
        <v>15</v>
      </c>
      <c r="S1243" s="112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D1244" t="inlineStr"/>
      <c r="E1244" t="inlineStr">
        <is>
          <t>EQ</t>
        </is>
      </c>
      <c r="F1244" t="inlineStr"/>
      <c r="G1244" s="42" t="inlineStr"/>
      <c r="H1244" s="125" t="n">
        <v>46152</v>
      </c>
      <c r="I1244" t="inlineStr"/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N1244" t="inlineStr"/>
      <c r="O1244" t="inlineStr">
        <is>
          <t>TR154</t>
        </is>
      </c>
      <c r="P1244" t="inlineStr"/>
      <c r="Q1244" s="112" t="n">
        <v>0</v>
      </c>
      <c r="R1244" s="112" t="n">
        <v>15</v>
      </c>
      <c r="S1244" s="112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D1245" t="inlineStr"/>
      <c r="E1245" t="inlineStr">
        <is>
          <t>EQ</t>
        </is>
      </c>
      <c r="F1245" t="inlineStr"/>
      <c r="G1245" s="42" t="inlineStr"/>
      <c r="H1245" s="125" t="n">
        <v>46152</v>
      </c>
      <c r="I1245" t="inlineStr"/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N1245" t="inlineStr"/>
      <c r="O1245" t="inlineStr">
        <is>
          <t>TR154</t>
        </is>
      </c>
      <c r="P1245" t="inlineStr"/>
      <c r="Q1245" s="112" t="n">
        <v>0</v>
      </c>
      <c r="R1245" s="112" t="n">
        <v>15</v>
      </c>
      <c r="S1245" s="112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D1246" t="inlineStr"/>
      <c r="E1246" t="inlineStr">
        <is>
          <t>EQ</t>
        </is>
      </c>
      <c r="F1246" t="inlineStr"/>
      <c r="G1246" s="42" t="inlineStr"/>
      <c r="H1246" s="125" t="n">
        <v>46152</v>
      </c>
      <c r="I1246" t="inlineStr"/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N1246" t="inlineStr"/>
      <c r="O1246" t="inlineStr">
        <is>
          <t>TR280</t>
        </is>
      </c>
      <c r="P1246" t="inlineStr"/>
      <c r="Q1246" s="112" t="n">
        <v>0</v>
      </c>
      <c r="R1246" s="112" t="n">
        <v>15</v>
      </c>
      <c r="S1246" s="112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D1247" t="inlineStr"/>
      <c r="E1247" t="inlineStr">
        <is>
          <t>EQ</t>
        </is>
      </c>
      <c r="F1247" t="inlineStr"/>
      <c r="G1247" s="42" t="inlineStr"/>
      <c r="H1247" s="125" t="n">
        <v>46152</v>
      </c>
      <c r="I1247" t="inlineStr"/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N1247" t="inlineStr"/>
      <c r="O1247" t="inlineStr">
        <is>
          <t>TR280</t>
        </is>
      </c>
      <c r="P1247" t="inlineStr"/>
      <c r="Q1247" s="112" t="n">
        <v>0</v>
      </c>
      <c r="R1247" s="112" t="n">
        <v>15</v>
      </c>
      <c r="S1247" s="112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D1248" t="inlineStr"/>
      <c r="E1248" t="inlineStr">
        <is>
          <t>EQ</t>
        </is>
      </c>
      <c r="F1248" t="inlineStr"/>
      <c r="G1248" s="42" t="inlineStr"/>
      <c r="H1248" s="125" t="n">
        <v>46152</v>
      </c>
      <c r="I1248" t="inlineStr"/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N1248" t="inlineStr"/>
      <c r="O1248" t="inlineStr">
        <is>
          <t>TR280</t>
        </is>
      </c>
      <c r="P1248" t="inlineStr"/>
      <c r="Q1248" s="112" t="n">
        <v>0</v>
      </c>
      <c r="R1248" s="112" t="n">
        <v>15</v>
      </c>
      <c r="S1248" s="112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D1249" t="inlineStr"/>
      <c r="E1249" t="inlineStr">
        <is>
          <t>EQ</t>
        </is>
      </c>
      <c r="F1249" t="inlineStr"/>
      <c r="G1249" s="42" t="inlineStr"/>
      <c r="H1249" s="125" t="n">
        <v>46152</v>
      </c>
      <c r="I1249" t="inlineStr"/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N1249" t="inlineStr"/>
      <c r="O1249" t="inlineStr">
        <is>
          <t>TR280</t>
        </is>
      </c>
      <c r="P1249" t="inlineStr"/>
      <c r="Q1249" s="112" t="n">
        <v>0</v>
      </c>
      <c r="R1249" s="112" t="n">
        <v>15</v>
      </c>
      <c r="S1249" s="112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D1250" t="inlineStr"/>
      <c r="E1250" t="inlineStr">
        <is>
          <t>EQ</t>
        </is>
      </c>
      <c r="F1250" t="inlineStr"/>
      <c r="G1250" s="42" t="inlineStr"/>
      <c r="H1250" s="125" t="n">
        <v>46152</v>
      </c>
      <c r="I1250" t="inlineStr"/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N1250" t="inlineStr"/>
      <c r="O1250" t="inlineStr">
        <is>
          <t>TR280</t>
        </is>
      </c>
      <c r="P1250" t="inlineStr"/>
      <c r="Q1250" s="112" t="n">
        <v>0</v>
      </c>
      <c r="R1250" s="112" t="n">
        <v>15</v>
      </c>
      <c r="S1250" s="112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D1251" t="inlineStr"/>
      <c r="E1251" t="inlineStr">
        <is>
          <t>EQ</t>
        </is>
      </c>
      <c r="F1251" t="inlineStr"/>
      <c r="G1251" s="42" t="inlineStr"/>
      <c r="H1251" s="125" t="n">
        <v>46152</v>
      </c>
      <c r="I1251" t="inlineStr"/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N1251" t="inlineStr"/>
      <c r="O1251" t="inlineStr">
        <is>
          <t>TR280</t>
        </is>
      </c>
      <c r="P1251" t="inlineStr"/>
      <c r="Q1251" s="112" t="n">
        <v>0</v>
      </c>
      <c r="R1251" s="112" t="n">
        <v>15</v>
      </c>
      <c r="S1251" s="112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D1252" t="inlineStr"/>
      <c r="E1252" t="inlineStr">
        <is>
          <t>EQ</t>
        </is>
      </c>
      <c r="F1252" t="inlineStr"/>
      <c r="G1252" s="42" t="inlineStr"/>
      <c r="H1252" s="125" t="n">
        <v>46152</v>
      </c>
      <c r="I1252" t="inlineStr"/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N1252" t="inlineStr"/>
      <c r="O1252" t="inlineStr">
        <is>
          <t>WHV001</t>
        </is>
      </c>
      <c r="P1252" t="inlineStr"/>
      <c r="Q1252" s="112" t="n">
        <v>0</v>
      </c>
      <c r="R1252" s="112" t="n">
        <v>250</v>
      </c>
      <c r="S1252" s="112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D1253" t="inlineStr"/>
      <c r="E1253" t="inlineStr">
        <is>
          <t>EQ</t>
        </is>
      </c>
      <c r="F1253" t="inlineStr"/>
      <c r="G1253" s="42" t="inlineStr"/>
      <c r="H1253" s="125" t="n">
        <v>46152</v>
      </c>
      <c r="I1253" t="inlineStr"/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N1253" t="inlineStr"/>
      <c r="O1253" t="inlineStr">
        <is>
          <t>WHV001</t>
        </is>
      </c>
      <c r="P1253" t="inlineStr"/>
      <c r="Q1253" s="112" t="n">
        <v>0</v>
      </c>
      <c r="R1253" s="112" t="n">
        <v>250</v>
      </c>
      <c r="S1253" s="112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D1254" t="inlineStr"/>
      <c r="E1254" t="inlineStr">
        <is>
          <t>EQ</t>
        </is>
      </c>
      <c r="F1254" t="inlineStr"/>
      <c r="G1254" s="42" t="inlineStr"/>
      <c r="H1254" s="125" t="n">
        <v>46152</v>
      </c>
      <c r="I1254" t="inlineStr"/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N1254" t="inlineStr"/>
      <c r="O1254" t="inlineStr">
        <is>
          <t>WHV001</t>
        </is>
      </c>
      <c r="P1254" t="inlineStr"/>
      <c r="Q1254" s="112" t="n">
        <v>0</v>
      </c>
      <c r="R1254" s="112" t="n">
        <v>250</v>
      </c>
      <c r="S1254" s="112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D1255" t="inlineStr"/>
      <c r="E1255" t="inlineStr">
        <is>
          <t>EQ</t>
        </is>
      </c>
      <c r="F1255" t="inlineStr"/>
      <c r="G1255" s="42" t="inlineStr"/>
      <c r="H1255" s="125" t="n">
        <v>46152</v>
      </c>
      <c r="I1255" t="inlineStr"/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N1255" t="inlineStr"/>
      <c r="O1255" t="inlineStr">
        <is>
          <t>WHV001</t>
        </is>
      </c>
      <c r="P1255" t="inlineStr"/>
      <c r="Q1255" s="112" t="n">
        <v>0</v>
      </c>
      <c r="R1255" s="112" t="n">
        <v>250</v>
      </c>
      <c r="S1255" s="112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D1256" t="inlineStr"/>
      <c r="E1256" t="inlineStr">
        <is>
          <t>EQ</t>
        </is>
      </c>
      <c r="F1256" t="inlineStr"/>
      <c r="G1256" s="42" t="inlineStr"/>
      <c r="H1256" s="125" t="n">
        <v>46152</v>
      </c>
      <c r="I1256" t="inlineStr"/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N1256" t="inlineStr"/>
      <c r="O1256" t="inlineStr">
        <is>
          <t>WHV001</t>
        </is>
      </c>
      <c r="P1256" t="inlineStr"/>
      <c r="Q1256" s="112" t="n">
        <v>0</v>
      </c>
      <c r="R1256" s="112" t="n">
        <v>250</v>
      </c>
      <c r="S1256" s="112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D1257" t="inlineStr"/>
      <c r="E1257" t="inlineStr">
        <is>
          <t>EQ</t>
        </is>
      </c>
      <c r="F1257" t="inlineStr"/>
      <c r="G1257" s="42" t="inlineStr"/>
      <c r="H1257" s="125" t="n">
        <v>46152</v>
      </c>
      <c r="I1257" t="inlineStr"/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N1257" t="inlineStr"/>
      <c r="O1257" t="inlineStr">
        <is>
          <t>WHV001</t>
        </is>
      </c>
      <c r="P1257" t="inlineStr"/>
      <c r="Q1257" s="112" t="n">
        <v>0</v>
      </c>
      <c r="R1257" s="112" t="n">
        <v>250</v>
      </c>
      <c r="S1257" s="112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D1258" t="inlineStr"/>
      <c r="E1258" t="inlineStr">
        <is>
          <t>EQ</t>
        </is>
      </c>
      <c r="F1258" t="inlineStr"/>
      <c r="G1258" s="42" t="inlineStr"/>
      <c r="H1258" s="125" t="n">
        <v>46152</v>
      </c>
      <c r="I1258" t="inlineStr"/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N1258" t="inlineStr"/>
      <c r="O1258" t="inlineStr">
        <is>
          <t>TR473</t>
        </is>
      </c>
      <c r="P1258" t="inlineStr"/>
      <c r="Q1258" s="112" t="n">
        <v>0</v>
      </c>
      <c r="R1258" s="112" t="n">
        <v>0</v>
      </c>
      <c r="S1258" s="112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D1259" t="inlineStr"/>
      <c r="E1259" t="inlineStr">
        <is>
          <t>EQ</t>
        </is>
      </c>
      <c r="F1259" t="inlineStr"/>
      <c r="G1259" s="42" t="inlineStr"/>
      <c r="H1259" s="125" t="n">
        <v>46152</v>
      </c>
      <c r="I1259" t="inlineStr"/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N1259" t="inlineStr"/>
      <c r="O1259" t="inlineStr">
        <is>
          <t>TR473</t>
        </is>
      </c>
      <c r="P1259" t="inlineStr"/>
      <c r="Q1259" s="112" t="n">
        <v>0</v>
      </c>
      <c r="R1259" s="112" t="n">
        <v>0</v>
      </c>
      <c r="S1259" s="112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D1260" t="inlineStr"/>
      <c r="E1260" t="inlineStr">
        <is>
          <t>EQ</t>
        </is>
      </c>
      <c r="F1260" t="inlineStr"/>
      <c r="G1260" s="42" t="inlineStr"/>
      <c r="H1260" s="125" t="n">
        <v>46152</v>
      </c>
      <c r="I1260" t="inlineStr"/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N1260" t="inlineStr"/>
      <c r="O1260" t="inlineStr">
        <is>
          <t>TR473</t>
        </is>
      </c>
      <c r="P1260" t="inlineStr"/>
      <c r="Q1260" s="112" t="n">
        <v>0</v>
      </c>
      <c r="R1260" s="112" t="n">
        <v>0</v>
      </c>
      <c r="S1260" s="112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D1261" t="inlineStr"/>
      <c r="E1261" t="inlineStr">
        <is>
          <t>EQ</t>
        </is>
      </c>
      <c r="F1261" t="inlineStr"/>
      <c r="G1261" s="42" t="inlineStr"/>
      <c r="H1261" s="125" t="n">
        <v>46152</v>
      </c>
      <c r="I1261" t="inlineStr"/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N1261" t="inlineStr"/>
      <c r="O1261" t="inlineStr">
        <is>
          <t>TR473</t>
        </is>
      </c>
      <c r="P1261" t="inlineStr"/>
      <c r="Q1261" s="112" t="n">
        <v>0</v>
      </c>
      <c r="R1261" s="112" t="n">
        <v>0</v>
      </c>
      <c r="S1261" s="112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D1262" t="inlineStr"/>
      <c r="E1262" t="inlineStr">
        <is>
          <t>EQ</t>
        </is>
      </c>
      <c r="F1262" t="inlineStr"/>
      <c r="G1262" s="42" t="inlineStr"/>
      <c r="H1262" s="125" t="n">
        <v>46152</v>
      </c>
      <c r="I1262" t="inlineStr"/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N1262" t="inlineStr"/>
      <c r="O1262" t="inlineStr">
        <is>
          <t>TR473</t>
        </is>
      </c>
      <c r="P1262" t="inlineStr"/>
      <c r="Q1262" s="112" t="n">
        <v>0</v>
      </c>
      <c r="R1262" s="112" t="n">
        <v>0</v>
      </c>
      <c r="S1262" s="112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D1263" t="inlineStr"/>
      <c r="E1263" t="inlineStr">
        <is>
          <t>EQ</t>
        </is>
      </c>
      <c r="F1263" t="inlineStr"/>
      <c r="G1263" s="42" t="inlineStr"/>
      <c r="H1263" s="125" t="n">
        <v>46152</v>
      </c>
      <c r="I1263" t="inlineStr"/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N1263" t="inlineStr"/>
      <c r="O1263" t="inlineStr">
        <is>
          <t>TR473</t>
        </is>
      </c>
      <c r="P1263" t="inlineStr"/>
      <c r="Q1263" s="112" t="n">
        <v>0</v>
      </c>
      <c r="R1263" s="112" t="n">
        <v>0</v>
      </c>
      <c r="S1263" s="112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D1264" t="inlineStr"/>
      <c r="E1264" t="inlineStr">
        <is>
          <t>EQ</t>
        </is>
      </c>
      <c r="F1264" t="inlineStr"/>
      <c r="G1264" s="42" t="inlineStr"/>
      <c r="H1264" s="125" t="n">
        <v>46152</v>
      </c>
      <c r="I1264" t="inlineStr"/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N1264" t="inlineStr"/>
      <c r="O1264" t="inlineStr">
        <is>
          <t>TR461</t>
        </is>
      </c>
      <c r="P1264" t="inlineStr"/>
      <c r="Q1264" s="112" t="n">
        <v>0</v>
      </c>
      <c r="R1264" s="112" t="n">
        <v>65</v>
      </c>
      <c r="S1264" s="112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D1265" t="inlineStr"/>
      <c r="E1265" t="inlineStr">
        <is>
          <t>EQ</t>
        </is>
      </c>
      <c r="F1265" t="inlineStr"/>
      <c r="G1265" s="42" t="inlineStr"/>
      <c r="H1265" s="125" t="n">
        <v>46152</v>
      </c>
      <c r="I1265" t="inlineStr"/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N1265" t="inlineStr"/>
      <c r="O1265" t="inlineStr">
        <is>
          <t>TR461</t>
        </is>
      </c>
      <c r="P1265" t="inlineStr"/>
      <c r="Q1265" s="112" t="n">
        <v>0</v>
      </c>
      <c r="R1265" s="112" t="n">
        <v>65</v>
      </c>
      <c r="S1265" s="112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D1266" t="inlineStr"/>
      <c r="E1266" t="inlineStr">
        <is>
          <t>EQ</t>
        </is>
      </c>
      <c r="F1266" t="inlineStr"/>
      <c r="G1266" s="42" t="inlineStr"/>
      <c r="H1266" s="125" t="n">
        <v>46152</v>
      </c>
      <c r="I1266" t="inlineStr"/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N1266" t="inlineStr"/>
      <c r="O1266" t="inlineStr">
        <is>
          <t>TR461</t>
        </is>
      </c>
      <c r="P1266" t="inlineStr"/>
      <c r="Q1266" s="112" t="n">
        <v>0</v>
      </c>
      <c r="R1266" s="112" t="n">
        <v>65</v>
      </c>
      <c r="S1266" s="112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D1267" t="inlineStr"/>
      <c r="E1267" t="inlineStr">
        <is>
          <t>EQ</t>
        </is>
      </c>
      <c r="F1267" t="inlineStr"/>
      <c r="G1267" s="42" t="inlineStr"/>
      <c r="H1267" s="125" t="n">
        <v>46152</v>
      </c>
      <c r="I1267" t="inlineStr"/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N1267" t="inlineStr"/>
      <c r="O1267" t="inlineStr">
        <is>
          <t>TR461</t>
        </is>
      </c>
      <c r="P1267" t="inlineStr"/>
      <c r="Q1267" s="112" t="n">
        <v>0</v>
      </c>
      <c r="R1267" s="112" t="n">
        <v>65</v>
      </c>
      <c r="S1267" s="112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D1268" t="inlineStr"/>
      <c r="E1268" t="inlineStr">
        <is>
          <t>EQ</t>
        </is>
      </c>
      <c r="F1268" t="inlineStr"/>
      <c r="G1268" s="42" t="inlineStr"/>
      <c r="H1268" s="125" t="n">
        <v>46152</v>
      </c>
      <c r="I1268" t="inlineStr"/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N1268" t="inlineStr"/>
      <c r="O1268" t="inlineStr">
        <is>
          <t>TR461</t>
        </is>
      </c>
      <c r="P1268" t="inlineStr"/>
      <c r="Q1268" s="112" t="n">
        <v>0</v>
      </c>
      <c r="R1268" s="112" t="n">
        <v>65</v>
      </c>
      <c r="S1268" s="112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D1269" t="inlineStr"/>
      <c r="E1269" t="inlineStr">
        <is>
          <t>EQ</t>
        </is>
      </c>
      <c r="F1269" t="inlineStr"/>
      <c r="G1269" s="42" t="inlineStr"/>
      <c r="H1269" s="125" t="n">
        <v>46152</v>
      </c>
      <c r="I1269" t="inlineStr"/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N1269" t="inlineStr"/>
      <c r="O1269" t="inlineStr">
        <is>
          <t>TR461</t>
        </is>
      </c>
      <c r="P1269" t="inlineStr"/>
      <c r="Q1269" s="112" t="n">
        <v>0</v>
      </c>
      <c r="R1269" s="112" t="n">
        <v>65</v>
      </c>
      <c r="S1269" s="112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D1270" t="inlineStr"/>
      <c r="E1270" t="inlineStr">
        <is>
          <t>EQ</t>
        </is>
      </c>
      <c r="F1270" t="inlineStr"/>
      <c r="G1270" s="42" t="inlineStr"/>
      <c r="H1270" s="125" t="n">
        <v>46152</v>
      </c>
      <c r="I1270" t="inlineStr"/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N1270" t="inlineStr"/>
      <c r="O1270" t="inlineStr">
        <is>
          <t>TR462</t>
        </is>
      </c>
      <c r="P1270" t="inlineStr"/>
      <c r="Q1270" s="112" t="n">
        <v>0</v>
      </c>
      <c r="R1270" s="112" t="n">
        <v>65</v>
      </c>
      <c r="S1270" s="112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D1271" t="inlineStr"/>
      <c r="E1271" t="inlineStr">
        <is>
          <t>EQ</t>
        </is>
      </c>
      <c r="F1271" t="inlineStr"/>
      <c r="G1271" s="42" t="inlineStr"/>
      <c r="H1271" s="125" t="n">
        <v>46152</v>
      </c>
      <c r="I1271" t="inlineStr"/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N1271" t="inlineStr"/>
      <c r="O1271" t="inlineStr">
        <is>
          <t>TR462</t>
        </is>
      </c>
      <c r="P1271" t="inlineStr"/>
      <c r="Q1271" s="112" t="n">
        <v>0</v>
      </c>
      <c r="R1271" s="112" t="n">
        <v>65</v>
      </c>
      <c r="S1271" s="112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D1272" t="inlineStr"/>
      <c r="E1272" t="inlineStr">
        <is>
          <t>EQ</t>
        </is>
      </c>
      <c r="F1272" t="inlineStr"/>
      <c r="G1272" s="42" t="inlineStr"/>
      <c r="H1272" s="125" t="n">
        <v>46152</v>
      </c>
      <c r="I1272" t="inlineStr"/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N1272" t="inlineStr"/>
      <c r="O1272" t="inlineStr">
        <is>
          <t>TR462</t>
        </is>
      </c>
      <c r="P1272" t="inlineStr"/>
      <c r="Q1272" s="112" t="n">
        <v>0</v>
      </c>
      <c r="R1272" s="112" t="n">
        <v>65</v>
      </c>
      <c r="S1272" s="112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D1273" t="inlineStr"/>
      <c r="E1273" t="inlineStr">
        <is>
          <t>EQ</t>
        </is>
      </c>
      <c r="F1273" t="inlineStr"/>
      <c r="G1273" s="42" t="inlineStr"/>
      <c r="H1273" s="125" t="n">
        <v>46152</v>
      </c>
      <c r="I1273" t="inlineStr"/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N1273" t="inlineStr"/>
      <c r="O1273" t="inlineStr">
        <is>
          <t>TR462</t>
        </is>
      </c>
      <c r="P1273" t="inlineStr"/>
      <c r="Q1273" s="112" t="n">
        <v>0</v>
      </c>
      <c r="R1273" s="112" t="n">
        <v>65</v>
      </c>
      <c r="S1273" s="112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D1274" t="inlineStr"/>
      <c r="E1274" t="inlineStr">
        <is>
          <t>EQ</t>
        </is>
      </c>
      <c r="F1274" t="inlineStr"/>
      <c r="G1274" s="42" t="inlineStr"/>
      <c r="H1274" s="125" t="n">
        <v>46152</v>
      </c>
      <c r="I1274" t="inlineStr"/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N1274" t="inlineStr"/>
      <c r="O1274" t="inlineStr">
        <is>
          <t>TR462</t>
        </is>
      </c>
      <c r="P1274" t="inlineStr"/>
      <c r="Q1274" s="112" t="n">
        <v>0</v>
      </c>
      <c r="R1274" s="112" t="n">
        <v>65</v>
      </c>
      <c r="S1274" s="112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D1275" t="inlineStr"/>
      <c r="E1275" t="inlineStr">
        <is>
          <t>EQ</t>
        </is>
      </c>
      <c r="F1275" t="inlineStr"/>
      <c r="G1275" s="42" t="inlineStr"/>
      <c r="H1275" s="125" t="n">
        <v>46152</v>
      </c>
      <c r="I1275" t="inlineStr"/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N1275" t="inlineStr"/>
      <c r="O1275" t="inlineStr">
        <is>
          <t>TR462</t>
        </is>
      </c>
      <c r="P1275" t="inlineStr"/>
      <c r="Q1275" s="112" t="n">
        <v>0</v>
      </c>
      <c r="R1275" s="112" t="n">
        <v>65</v>
      </c>
      <c r="S1275" s="112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D1276" t="inlineStr"/>
      <c r="E1276" t="inlineStr">
        <is>
          <t>EQ</t>
        </is>
      </c>
      <c r="F1276" t="inlineStr"/>
      <c r="G1276" s="42" t="inlineStr"/>
      <c r="H1276" s="125" t="n">
        <v>46152</v>
      </c>
      <c r="I1276" t="inlineStr"/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N1276" t="inlineStr"/>
      <c r="O1276" t="inlineStr">
        <is>
          <t>TR463</t>
        </is>
      </c>
      <c r="P1276" t="inlineStr"/>
      <c r="Q1276" s="112" t="n">
        <v>0</v>
      </c>
      <c r="R1276" s="112" t="n">
        <v>65</v>
      </c>
      <c r="S1276" s="112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D1277" t="inlineStr"/>
      <c r="E1277" t="inlineStr">
        <is>
          <t>EQ</t>
        </is>
      </c>
      <c r="F1277" t="inlineStr"/>
      <c r="G1277" s="42" t="inlineStr"/>
      <c r="H1277" s="125" t="n">
        <v>46152</v>
      </c>
      <c r="I1277" t="inlineStr"/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N1277" t="inlineStr"/>
      <c r="O1277" t="inlineStr">
        <is>
          <t>TR463</t>
        </is>
      </c>
      <c r="P1277" t="inlineStr"/>
      <c r="Q1277" s="112" t="n">
        <v>0</v>
      </c>
      <c r="R1277" s="112" t="n">
        <v>65</v>
      </c>
      <c r="S1277" s="112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D1278" t="inlineStr"/>
      <c r="E1278" t="inlineStr">
        <is>
          <t>EQ</t>
        </is>
      </c>
      <c r="F1278" t="inlineStr"/>
      <c r="G1278" s="42" t="inlineStr"/>
      <c r="H1278" s="125" t="n">
        <v>46152</v>
      </c>
      <c r="I1278" t="inlineStr"/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N1278" t="inlineStr"/>
      <c r="O1278" t="inlineStr">
        <is>
          <t>TR463</t>
        </is>
      </c>
      <c r="P1278" t="inlineStr"/>
      <c r="Q1278" s="112" t="n">
        <v>0</v>
      </c>
      <c r="R1278" s="112" t="n">
        <v>65</v>
      </c>
      <c r="S1278" s="112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D1279" t="inlineStr"/>
      <c r="E1279" t="inlineStr">
        <is>
          <t>EQ</t>
        </is>
      </c>
      <c r="F1279" t="inlineStr"/>
      <c r="G1279" s="42" t="inlineStr"/>
      <c r="H1279" s="125" t="n">
        <v>46152</v>
      </c>
      <c r="I1279" t="inlineStr"/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N1279" t="inlineStr"/>
      <c r="O1279" t="inlineStr">
        <is>
          <t>TR463</t>
        </is>
      </c>
      <c r="P1279" t="inlineStr"/>
      <c r="Q1279" s="112" t="n">
        <v>0</v>
      </c>
      <c r="R1279" s="112" t="n">
        <v>65</v>
      </c>
      <c r="S1279" s="112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D1280" t="inlineStr"/>
      <c r="E1280" t="inlineStr">
        <is>
          <t>EQ</t>
        </is>
      </c>
      <c r="F1280" t="inlineStr"/>
      <c r="G1280" s="42" t="inlineStr"/>
      <c r="H1280" s="125" t="n">
        <v>46152</v>
      </c>
      <c r="I1280" t="inlineStr"/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N1280" t="inlineStr"/>
      <c r="O1280" t="inlineStr">
        <is>
          <t>TR463</t>
        </is>
      </c>
      <c r="P1280" t="inlineStr"/>
      <c r="Q1280" s="112" t="n">
        <v>0</v>
      </c>
      <c r="R1280" s="112" t="n">
        <v>65</v>
      </c>
      <c r="S1280" s="112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D1281" t="inlineStr"/>
      <c r="E1281" t="inlineStr">
        <is>
          <t>EQ</t>
        </is>
      </c>
      <c r="F1281" t="inlineStr"/>
      <c r="G1281" s="42" t="inlineStr"/>
      <c r="H1281" s="125" t="n">
        <v>46152</v>
      </c>
      <c r="I1281" t="inlineStr"/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N1281" t="inlineStr"/>
      <c r="O1281" t="inlineStr">
        <is>
          <t>TR463</t>
        </is>
      </c>
      <c r="P1281" t="inlineStr"/>
      <c r="Q1281" s="112" t="n">
        <v>0</v>
      </c>
      <c r="R1281" s="112" t="n">
        <v>65</v>
      </c>
      <c r="S1281" s="112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D1282" t="inlineStr"/>
      <c r="E1282" t="inlineStr">
        <is>
          <t>EQ</t>
        </is>
      </c>
      <c r="F1282" t="inlineStr"/>
      <c r="G1282" s="42" t="inlineStr"/>
      <c r="H1282" s="125" t="n">
        <v>46152</v>
      </c>
      <c r="I1282" t="inlineStr"/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N1282" t="inlineStr"/>
      <c r="O1282" t="inlineStr">
        <is>
          <t>TR464</t>
        </is>
      </c>
      <c r="P1282" t="inlineStr"/>
      <c r="Q1282" s="112" t="n">
        <v>0</v>
      </c>
      <c r="R1282" s="112" t="n">
        <v>65</v>
      </c>
      <c r="S1282" s="112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D1283" t="inlineStr"/>
      <c r="E1283" t="inlineStr">
        <is>
          <t>EQ</t>
        </is>
      </c>
      <c r="F1283" t="inlineStr"/>
      <c r="G1283" s="42" t="inlineStr"/>
      <c r="H1283" s="125" t="n">
        <v>46152</v>
      </c>
      <c r="I1283" t="inlineStr"/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N1283" t="inlineStr"/>
      <c r="O1283" t="inlineStr">
        <is>
          <t>TR464</t>
        </is>
      </c>
      <c r="P1283" t="inlineStr"/>
      <c r="Q1283" s="112" t="n">
        <v>0</v>
      </c>
      <c r="R1283" s="112" t="n">
        <v>65</v>
      </c>
      <c r="S1283" s="112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D1284" t="inlineStr"/>
      <c r="E1284" t="inlineStr">
        <is>
          <t>EQ</t>
        </is>
      </c>
      <c r="F1284" t="inlineStr"/>
      <c r="G1284" s="42" t="inlineStr"/>
      <c r="H1284" s="125" t="n">
        <v>46152</v>
      </c>
      <c r="I1284" t="inlineStr"/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N1284" t="inlineStr"/>
      <c r="O1284" t="inlineStr">
        <is>
          <t>TR464</t>
        </is>
      </c>
      <c r="P1284" t="inlineStr"/>
      <c r="Q1284" s="112" t="n">
        <v>0</v>
      </c>
      <c r="R1284" s="112" t="n">
        <v>65</v>
      </c>
      <c r="S1284" s="112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D1285" t="inlineStr"/>
      <c r="E1285" t="inlineStr">
        <is>
          <t>EQ</t>
        </is>
      </c>
      <c r="F1285" t="inlineStr"/>
      <c r="G1285" s="42" t="inlineStr"/>
      <c r="H1285" s="125" t="n">
        <v>46152</v>
      </c>
      <c r="I1285" t="inlineStr"/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N1285" t="inlineStr"/>
      <c r="O1285" t="inlineStr">
        <is>
          <t>TR464</t>
        </is>
      </c>
      <c r="P1285" t="inlineStr"/>
      <c r="Q1285" s="112" t="n">
        <v>0</v>
      </c>
      <c r="R1285" s="112" t="n">
        <v>65</v>
      </c>
      <c r="S1285" s="112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D1286" t="inlineStr"/>
      <c r="E1286" t="inlineStr">
        <is>
          <t>EQ</t>
        </is>
      </c>
      <c r="F1286" t="inlineStr"/>
      <c r="G1286" s="42" t="inlineStr"/>
      <c r="H1286" s="125" t="n">
        <v>46152</v>
      </c>
      <c r="I1286" t="inlineStr"/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N1286" t="inlineStr"/>
      <c r="O1286" t="inlineStr">
        <is>
          <t>TR464</t>
        </is>
      </c>
      <c r="P1286" t="inlineStr"/>
      <c r="Q1286" s="112" t="n">
        <v>0</v>
      </c>
      <c r="R1286" s="112" t="n">
        <v>65</v>
      </c>
      <c r="S1286" s="112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D1287" t="inlineStr"/>
      <c r="E1287" t="inlineStr">
        <is>
          <t>EQ</t>
        </is>
      </c>
      <c r="F1287" t="inlineStr"/>
      <c r="G1287" s="42" t="inlineStr"/>
      <c r="H1287" s="125" t="n">
        <v>46152</v>
      </c>
      <c r="I1287" t="inlineStr"/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N1287" t="inlineStr"/>
      <c r="O1287" t="inlineStr">
        <is>
          <t>TR464</t>
        </is>
      </c>
      <c r="P1287" t="inlineStr"/>
      <c r="Q1287" s="112" t="n">
        <v>0</v>
      </c>
      <c r="R1287" s="112" t="n">
        <v>65</v>
      </c>
      <c r="S1287" s="112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D1288" t="inlineStr"/>
      <c r="E1288" t="inlineStr">
        <is>
          <t>EQ</t>
        </is>
      </c>
      <c r="F1288" t="inlineStr"/>
      <c r="G1288" s="42" t="inlineStr"/>
      <c r="H1288" s="125" t="n">
        <v>46152</v>
      </c>
      <c r="I1288" t="inlineStr"/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N1288" t="inlineStr"/>
      <c r="O1288" t="inlineStr">
        <is>
          <t>TR456</t>
        </is>
      </c>
      <c r="P1288" t="inlineStr"/>
      <c r="Q1288" s="112" t="n">
        <v>0</v>
      </c>
      <c r="R1288" s="112" t="n">
        <v>65</v>
      </c>
      <c r="S1288" s="112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D1289" t="inlineStr"/>
      <c r="E1289" t="inlineStr">
        <is>
          <t>EQ</t>
        </is>
      </c>
      <c r="F1289" t="inlineStr"/>
      <c r="G1289" s="42" t="inlineStr"/>
      <c r="H1289" s="125" t="n">
        <v>46152</v>
      </c>
      <c r="I1289" t="inlineStr"/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N1289" t="inlineStr"/>
      <c r="O1289" t="inlineStr">
        <is>
          <t>TR456</t>
        </is>
      </c>
      <c r="P1289" t="inlineStr"/>
      <c r="Q1289" s="112" t="n">
        <v>0</v>
      </c>
      <c r="R1289" s="112" t="n">
        <v>65</v>
      </c>
      <c r="S1289" s="112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D1290" t="inlineStr"/>
      <c r="E1290" t="inlineStr">
        <is>
          <t>EQ</t>
        </is>
      </c>
      <c r="F1290" t="inlineStr"/>
      <c r="G1290" s="42" t="inlineStr"/>
      <c r="H1290" s="125" t="n">
        <v>46152</v>
      </c>
      <c r="I1290" t="inlineStr"/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N1290" t="inlineStr"/>
      <c r="O1290" t="inlineStr">
        <is>
          <t>TR456</t>
        </is>
      </c>
      <c r="P1290" t="inlineStr"/>
      <c r="Q1290" s="112" t="n">
        <v>0</v>
      </c>
      <c r="R1290" s="112" t="n">
        <v>65</v>
      </c>
      <c r="S1290" s="112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D1291" t="inlineStr"/>
      <c r="E1291" t="inlineStr">
        <is>
          <t>EQ</t>
        </is>
      </c>
      <c r="F1291" t="inlineStr"/>
      <c r="G1291" s="42" t="inlineStr"/>
      <c r="H1291" s="125" t="n">
        <v>46152</v>
      </c>
      <c r="I1291" t="inlineStr"/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N1291" t="inlineStr"/>
      <c r="O1291" t="inlineStr">
        <is>
          <t>TR456</t>
        </is>
      </c>
      <c r="P1291" t="inlineStr"/>
      <c r="Q1291" s="112" t="n">
        <v>0</v>
      </c>
      <c r="R1291" s="112" t="n">
        <v>65</v>
      </c>
      <c r="S1291" s="112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D1292" t="inlineStr"/>
      <c r="E1292" t="inlineStr">
        <is>
          <t>EQ</t>
        </is>
      </c>
      <c r="F1292" t="inlineStr"/>
      <c r="G1292" s="42" t="inlineStr"/>
      <c r="H1292" s="125" t="n">
        <v>46152</v>
      </c>
      <c r="I1292" t="inlineStr"/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N1292" t="inlineStr"/>
      <c r="O1292" t="inlineStr">
        <is>
          <t>TR456</t>
        </is>
      </c>
      <c r="P1292" t="inlineStr"/>
      <c r="Q1292" s="112" t="n">
        <v>0</v>
      </c>
      <c r="R1292" s="112" t="n">
        <v>65</v>
      </c>
      <c r="S1292" s="112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D1293" t="inlineStr"/>
      <c r="E1293" t="inlineStr">
        <is>
          <t>EQ</t>
        </is>
      </c>
      <c r="F1293" t="inlineStr"/>
      <c r="G1293" s="42" t="inlineStr"/>
      <c r="H1293" s="125" t="n">
        <v>46152</v>
      </c>
      <c r="I1293" t="inlineStr"/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N1293" t="inlineStr"/>
      <c r="O1293" t="inlineStr">
        <is>
          <t>TR456</t>
        </is>
      </c>
      <c r="P1293" t="inlineStr"/>
      <c r="Q1293" s="112" t="n">
        <v>0</v>
      </c>
      <c r="R1293" s="112" t="n">
        <v>65</v>
      </c>
      <c r="S1293" s="112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D1294" t="inlineStr"/>
      <c r="E1294" t="inlineStr">
        <is>
          <t>EQ</t>
        </is>
      </c>
      <c r="F1294" t="inlineStr"/>
      <c r="G1294" t="inlineStr"/>
      <c r="H1294" s="125" t="n">
        <v>46152</v>
      </c>
      <c r="I1294" t="inlineStr"/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N1294" t="inlineStr"/>
      <c r="O1294" t="inlineStr">
        <is>
          <t>WTL002</t>
        </is>
      </c>
      <c r="P1294" t="inlineStr"/>
      <c r="Q1294" s="112" t="n">
        <v>0</v>
      </c>
      <c r="R1294" s="112" t="n">
        <v>55</v>
      </c>
      <c r="S1294" s="112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D1295" t="inlineStr"/>
      <c r="E1295" t="inlineStr">
        <is>
          <t>EQ</t>
        </is>
      </c>
      <c r="F1295" t="inlineStr"/>
      <c r="G1295" t="inlineStr"/>
      <c r="H1295" s="125" t="n">
        <v>46152</v>
      </c>
      <c r="I1295" t="inlineStr"/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N1295" t="inlineStr"/>
      <c r="O1295" t="inlineStr">
        <is>
          <t>WTL002</t>
        </is>
      </c>
      <c r="P1295" t="inlineStr"/>
      <c r="Q1295" s="112" t="n">
        <v>0</v>
      </c>
      <c r="R1295" s="112" t="n">
        <v>55</v>
      </c>
      <c r="S1295" s="112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D1296" t="inlineStr"/>
      <c r="E1296" t="inlineStr">
        <is>
          <t>EQ</t>
        </is>
      </c>
      <c r="F1296" t="inlineStr"/>
      <c r="G1296" t="inlineStr"/>
      <c r="H1296" s="125" t="n">
        <v>46152</v>
      </c>
      <c r="I1296" t="inlineStr"/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N1296" t="inlineStr"/>
      <c r="O1296" t="inlineStr">
        <is>
          <t>WTL002</t>
        </is>
      </c>
      <c r="P1296" t="inlineStr"/>
      <c r="Q1296" s="112" t="n">
        <v>0</v>
      </c>
      <c r="R1296" s="112" t="n">
        <v>55</v>
      </c>
      <c r="S1296" s="112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D1297" t="inlineStr"/>
      <c r="E1297" t="inlineStr">
        <is>
          <t>EQ</t>
        </is>
      </c>
      <c r="F1297" t="inlineStr"/>
      <c r="G1297" t="inlineStr"/>
      <c r="H1297" s="125" t="n">
        <v>46152</v>
      </c>
      <c r="I1297" t="inlineStr"/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N1297" t="inlineStr"/>
      <c r="O1297" t="inlineStr">
        <is>
          <t>WTL002</t>
        </is>
      </c>
      <c r="P1297" t="inlineStr"/>
      <c r="Q1297" s="112" t="n">
        <v>0</v>
      </c>
      <c r="R1297" s="112" t="n">
        <v>55</v>
      </c>
      <c r="S1297" s="112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D1298" t="inlineStr"/>
      <c r="E1298" t="inlineStr">
        <is>
          <t>EQ</t>
        </is>
      </c>
      <c r="F1298" t="inlineStr"/>
      <c r="G1298" t="inlineStr"/>
      <c r="H1298" s="125" t="n">
        <v>46152</v>
      </c>
      <c r="I1298" t="inlineStr"/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N1298" t="inlineStr"/>
      <c r="O1298" t="inlineStr">
        <is>
          <t>WTL002</t>
        </is>
      </c>
      <c r="P1298" t="inlineStr"/>
      <c r="Q1298" s="112" t="n">
        <v>0</v>
      </c>
      <c r="R1298" s="112" t="n">
        <v>55</v>
      </c>
      <c r="S1298" s="112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D1299" t="inlineStr"/>
      <c r="E1299" t="inlineStr">
        <is>
          <t>EQ</t>
        </is>
      </c>
      <c r="F1299" t="inlineStr"/>
      <c r="G1299" t="inlineStr"/>
      <c r="H1299" s="125" t="n">
        <v>46152</v>
      </c>
      <c r="I1299" t="inlineStr"/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N1299" t="inlineStr"/>
      <c r="O1299" t="inlineStr">
        <is>
          <t>WTL002</t>
        </is>
      </c>
      <c r="P1299" t="inlineStr"/>
      <c r="Q1299" s="112" t="n">
        <v>0</v>
      </c>
      <c r="R1299" s="112" t="n">
        <v>55</v>
      </c>
      <c r="S1299" s="112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D1300" t="inlineStr"/>
      <c r="E1300" t="inlineStr">
        <is>
          <t>EQ</t>
        </is>
      </c>
      <c r="F1300" t="inlineStr"/>
      <c r="G1300" t="inlineStr"/>
      <c r="H1300" s="125" t="n">
        <v>46152</v>
      </c>
      <c r="I1300" t="inlineStr"/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N1300" t="inlineStr"/>
      <c r="O1300" t="inlineStr">
        <is>
          <t>WLD133</t>
        </is>
      </c>
      <c r="P1300" t="inlineStr"/>
      <c r="Q1300" s="112" t="n">
        <v>0</v>
      </c>
      <c r="R1300" s="112" t="n">
        <v>259.22</v>
      </c>
      <c r="S1300" s="112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D1301" t="inlineStr"/>
      <c r="E1301" t="inlineStr">
        <is>
          <t>EQ</t>
        </is>
      </c>
      <c r="F1301" t="inlineStr"/>
      <c r="G1301" t="inlineStr"/>
      <c r="H1301" s="125" t="n">
        <v>46152</v>
      </c>
      <c r="I1301" t="inlineStr"/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N1301" t="inlineStr"/>
      <c r="O1301" t="inlineStr">
        <is>
          <t>WLD133</t>
        </is>
      </c>
      <c r="P1301" t="inlineStr"/>
      <c r="Q1301" s="112" t="n">
        <v>0</v>
      </c>
      <c r="R1301" s="112" t="n">
        <v>259.22</v>
      </c>
      <c r="S1301" s="112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D1302" t="inlineStr"/>
      <c r="E1302" t="inlineStr">
        <is>
          <t>EQ</t>
        </is>
      </c>
      <c r="F1302" t="inlineStr"/>
      <c r="G1302" t="inlineStr"/>
      <c r="H1302" s="125" t="n">
        <v>46152</v>
      </c>
      <c r="I1302" t="inlineStr"/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N1302" t="inlineStr"/>
      <c r="O1302" t="inlineStr">
        <is>
          <t>WLD133</t>
        </is>
      </c>
      <c r="P1302" t="inlineStr"/>
      <c r="Q1302" s="112" t="n">
        <v>0</v>
      </c>
      <c r="R1302" s="112" t="n">
        <v>259.22</v>
      </c>
      <c r="S1302" s="112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D1303" t="inlineStr"/>
      <c r="E1303" t="inlineStr">
        <is>
          <t>EQ</t>
        </is>
      </c>
      <c r="F1303" t="inlineStr"/>
      <c r="G1303" t="inlineStr"/>
      <c r="H1303" s="125" t="n">
        <v>46152</v>
      </c>
      <c r="I1303" t="inlineStr"/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N1303" t="inlineStr"/>
      <c r="O1303" t="inlineStr">
        <is>
          <t>WLD133</t>
        </is>
      </c>
      <c r="P1303" t="inlineStr"/>
      <c r="Q1303" s="112" t="n">
        <v>0</v>
      </c>
      <c r="R1303" s="112" t="n">
        <v>259.22</v>
      </c>
      <c r="S1303" s="112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D1304" t="inlineStr"/>
      <c r="E1304" t="inlineStr">
        <is>
          <t>EQ</t>
        </is>
      </c>
      <c r="F1304" t="inlineStr"/>
      <c r="G1304" t="inlineStr"/>
      <c r="H1304" s="125" t="n">
        <v>46152</v>
      </c>
      <c r="I1304" t="inlineStr"/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N1304" t="inlineStr"/>
      <c r="O1304" t="inlineStr">
        <is>
          <t>WLD133</t>
        </is>
      </c>
      <c r="P1304" t="inlineStr"/>
      <c r="Q1304" s="112" t="n">
        <v>0</v>
      </c>
      <c r="R1304" s="112" t="n">
        <v>259.22</v>
      </c>
      <c r="S1304" s="112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D1305" t="inlineStr"/>
      <c r="E1305" t="inlineStr">
        <is>
          <t>EQ</t>
        </is>
      </c>
      <c r="F1305" t="inlineStr"/>
      <c r="G1305" t="inlineStr"/>
      <c r="H1305" s="125" t="n">
        <v>46152</v>
      </c>
      <c r="I1305" t="inlineStr"/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N1305" t="inlineStr"/>
      <c r="O1305" t="inlineStr">
        <is>
          <t>WLD133</t>
        </is>
      </c>
      <c r="P1305" t="inlineStr"/>
      <c r="Q1305" s="112" t="n">
        <v>0</v>
      </c>
      <c r="R1305" s="112" t="n">
        <v>259.22</v>
      </c>
      <c r="S1305" s="112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D1306" t="inlineStr"/>
      <c r="E1306" t="inlineStr">
        <is>
          <t>EQ</t>
        </is>
      </c>
      <c r="F1306" t="inlineStr"/>
      <c r="G1306" t="inlineStr"/>
      <c r="H1306" s="125" t="n">
        <v>46152</v>
      </c>
      <c r="I1306" t="inlineStr"/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N1306" t="inlineStr"/>
      <c r="O1306" t="inlineStr">
        <is>
          <t>RT1242</t>
        </is>
      </c>
      <c r="P1306" t="inlineStr"/>
      <c r="Q1306" s="112" t="n">
        <v>0</v>
      </c>
      <c r="R1306" s="112" t="n">
        <v>79.14</v>
      </c>
      <c r="S1306" s="112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D1307" t="inlineStr"/>
      <c r="E1307" t="inlineStr">
        <is>
          <t>EQ</t>
        </is>
      </c>
      <c r="F1307" t="inlineStr"/>
      <c r="G1307" t="inlineStr"/>
      <c r="H1307" s="125" t="n">
        <v>46152</v>
      </c>
      <c r="I1307" t="inlineStr"/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N1307" t="inlineStr"/>
      <c r="O1307" t="inlineStr">
        <is>
          <t>RT1242</t>
        </is>
      </c>
      <c r="P1307" t="inlineStr"/>
      <c r="Q1307" s="112" t="n">
        <v>0</v>
      </c>
      <c r="R1307" s="112" t="n">
        <v>79.14</v>
      </c>
      <c r="S1307" s="112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D1308" t="inlineStr"/>
      <c r="E1308" t="inlineStr">
        <is>
          <t>EQ</t>
        </is>
      </c>
      <c r="F1308" t="inlineStr"/>
      <c r="G1308" t="inlineStr"/>
      <c r="H1308" s="125" t="n">
        <v>46152</v>
      </c>
      <c r="I1308" t="inlineStr"/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N1308" t="inlineStr"/>
      <c r="O1308" t="inlineStr">
        <is>
          <t>RT1242</t>
        </is>
      </c>
      <c r="P1308" t="inlineStr"/>
      <c r="Q1308" s="112" t="n">
        <v>0</v>
      </c>
      <c r="R1308" s="112" t="n">
        <v>79.14</v>
      </c>
      <c r="S1308" s="112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D1309" t="inlineStr"/>
      <c r="E1309" t="inlineStr">
        <is>
          <t>EQ</t>
        </is>
      </c>
      <c r="F1309" t="inlineStr"/>
      <c r="G1309" t="inlineStr"/>
      <c r="H1309" s="125" t="n">
        <v>46152</v>
      </c>
      <c r="I1309" t="inlineStr"/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N1309" t="inlineStr"/>
      <c r="O1309" t="inlineStr">
        <is>
          <t>RT1242</t>
        </is>
      </c>
      <c r="P1309" t="inlineStr"/>
      <c r="Q1309" s="112" t="n">
        <v>0</v>
      </c>
      <c r="R1309" s="112" t="n">
        <v>79.14</v>
      </c>
      <c r="S1309" s="112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D1310" t="inlineStr"/>
      <c r="E1310" t="inlineStr">
        <is>
          <t>EQ</t>
        </is>
      </c>
      <c r="F1310" t="inlineStr"/>
      <c r="G1310" t="inlineStr"/>
      <c r="H1310" s="125" t="n">
        <v>46152</v>
      </c>
      <c r="I1310" t="inlineStr"/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N1310" t="inlineStr"/>
      <c r="O1310" t="inlineStr">
        <is>
          <t>RT1242</t>
        </is>
      </c>
      <c r="P1310" t="inlineStr"/>
      <c r="Q1310" s="112" t="n">
        <v>0</v>
      </c>
      <c r="R1310" s="112" t="n">
        <v>79.14</v>
      </c>
      <c r="S1310" s="112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D1311" t="inlineStr"/>
      <c r="E1311" t="inlineStr">
        <is>
          <t>EQ</t>
        </is>
      </c>
      <c r="F1311" t="inlineStr"/>
      <c r="G1311" t="inlineStr"/>
      <c r="H1311" s="125" t="n">
        <v>46152</v>
      </c>
      <c r="I1311" t="inlineStr"/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N1311" t="inlineStr"/>
      <c r="O1311" t="inlineStr">
        <is>
          <t>TR436</t>
        </is>
      </c>
      <c r="P1311" t="inlineStr"/>
      <c r="Q1311" s="112" t="n">
        <v>0</v>
      </c>
      <c r="R1311" s="112" t="n">
        <v>65</v>
      </c>
      <c r="S1311" s="112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D1312" t="inlineStr"/>
      <c r="E1312" t="inlineStr">
        <is>
          <t>EQ</t>
        </is>
      </c>
      <c r="F1312" t="inlineStr"/>
      <c r="G1312" t="inlineStr"/>
      <c r="H1312" s="125" t="n">
        <v>46152</v>
      </c>
      <c r="I1312" t="inlineStr"/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N1312" t="inlineStr"/>
      <c r="O1312" t="inlineStr">
        <is>
          <t>TR436</t>
        </is>
      </c>
      <c r="P1312" t="inlineStr"/>
      <c r="Q1312" s="112" t="n">
        <v>0</v>
      </c>
      <c r="R1312" s="112" t="n">
        <v>65</v>
      </c>
      <c r="S1312" s="112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D1313" t="inlineStr"/>
      <c r="E1313" t="inlineStr">
        <is>
          <t>EQ</t>
        </is>
      </c>
      <c r="F1313" t="inlineStr"/>
      <c r="G1313" t="inlineStr"/>
      <c r="H1313" s="125" t="n">
        <v>46152</v>
      </c>
      <c r="I1313" t="inlineStr"/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N1313" t="inlineStr"/>
      <c r="O1313" t="inlineStr">
        <is>
          <t>TR436</t>
        </is>
      </c>
      <c r="P1313" t="inlineStr"/>
      <c r="Q1313" s="112" t="n">
        <v>0</v>
      </c>
      <c r="R1313" s="112" t="n">
        <v>65</v>
      </c>
      <c r="S1313" s="112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D1314" t="inlineStr"/>
      <c r="E1314" t="inlineStr">
        <is>
          <t>EQ</t>
        </is>
      </c>
      <c r="F1314" t="inlineStr"/>
      <c r="G1314" t="inlineStr"/>
      <c r="H1314" s="125" t="n">
        <v>46152</v>
      </c>
      <c r="I1314" t="inlineStr"/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N1314" t="inlineStr"/>
      <c r="O1314" t="inlineStr">
        <is>
          <t>TR436</t>
        </is>
      </c>
      <c r="P1314" t="inlineStr"/>
      <c r="Q1314" s="112" t="n">
        <v>0</v>
      </c>
      <c r="R1314" s="112" t="n">
        <v>65</v>
      </c>
      <c r="S1314" s="112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D1315" t="inlineStr"/>
      <c r="E1315" t="inlineStr">
        <is>
          <t>EQ</t>
        </is>
      </c>
      <c r="F1315" t="inlineStr"/>
      <c r="G1315" t="inlineStr"/>
      <c r="H1315" s="125" t="n">
        <v>46152</v>
      </c>
      <c r="I1315" t="inlineStr"/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N1315" t="inlineStr"/>
      <c r="O1315" t="inlineStr">
        <is>
          <t>TR436</t>
        </is>
      </c>
      <c r="P1315" t="inlineStr"/>
      <c r="Q1315" s="112" t="n">
        <v>0</v>
      </c>
      <c r="R1315" s="112" t="n">
        <v>65</v>
      </c>
      <c r="S1315" s="112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D1316" t="inlineStr"/>
      <c r="E1316" t="inlineStr">
        <is>
          <t>EQ</t>
        </is>
      </c>
      <c r="F1316" t="inlineStr"/>
      <c r="G1316" t="inlineStr"/>
      <c r="H1316" s="125" t="n">
        <v>46152</v>
      </c>
      <c r="I1316" t="inlineStr"/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N1316" t="inlineStr"/>
      <c r="O1316" t="inlineStr">
        <is>
          <t>TR436</t>
        </is>
      </c>
      <c r="P1316" t="inlineStr"/>
      <c r="Q1316" s="112" t="n">
        <v>0</v>
      </c>
      <c r="R1316" s="112" t="n">
        <v>65</v>
      </c>
      <c r="S1316" s="112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D1317" t="inlineStr"/>
      <c r="E1317" t="inlineStr">
        <is>
          <t>EQ</t>
        </is>
      </c>
      <c r="F1317" t="inlineStr"/>
      <c r="G1317" s="42" t="inlineStr"/>
      <c r="H1317" s="125" t="n">
        <v>46159</v>
      </c>
      <c r="I1317" t="inlineStr"/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N1317" t="inlineStr"/>
      <c r="O1317" t="inlineStr">
        <is>
          <t>TR436</t>
        </is>
      </c>
      <c r="P1317" t="inlineStr"/>
      <c r="Q1317" s="112" t="n">
        <v>0</v>
      </c>
      <c r="R1317" s="112" t="n">
        <v>65</v>
      </c>
      <c r="S1317" s="112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D1318" t="inlineStr"/>
      <c r="E1318" t="inlineStr">
        <is>
          <t>EQ</t>
        </is>
      </c>
      <c r="F1318" t="inlineStr"/>
      <c r="G1318" s="42" t="inlineStr"/>
      <c r="H1318" s="125" t="n">
        <v>46159</v>
      </c>
      <c r="I1318" t="inlineStr"/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N1318" t="inlineStr"/>
      <c r="O1318" t="inlineStr">
        <is>
          <t>TR436</t>
        </is>
      </c>
      <c r="P1318" t="inlineStr"/>
      <c r="Q1318" s="112" t="n">
        <v>0</v>
      </c>
      <c r="R1318" s="112" t="n">
        <v>65</v>
      </c>
      <c r="S1318" s="112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D1319" t="inlineStr"/>
      <c r="E1319" t="inlineStr">
        <is>
          <t>EQ</t>
        </is>
      </c>
      <c r="F1319" t="inlineStr"/>
      <c r="G1319" s="42" t="inlineStr"/>
      <c r="H1319" s="125" t="n">
        <v>46159</v>
      </c>
      <c r="I1319" t="inlineStr"/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N1319" t="inlineStr"/>
      <c r="O1319" t="inlineStr">
        <is>
          <t>TR436</t>
        </is>
      </c>
      <c r="P1319" t="inlineStr"/>
      <c r="Q1319" s="112" t="n">
        <v>0</v>
      </c>
      <c r="R1319" s="112" t="n">
        <v>65</v>
      </c>
      <c r="S1319" s="112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D1320" t="inlineStr"/>
      <c r="E1320" t="inlineStr">
        <is>
          <t>EQ</t>
        </is>
      </c>
      <c r="F1320" t="inlineStr"/>
      <c r="G1320" s="42" t="inlineStr"/>
      <c r="H1320" s="125" t="n">
        <v>46159</v>
      </c>
      <c r="I1320" t="inlineStr"/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N1320" t="inlineStr"/>
      <c r="O1320" t="inlineStr">
        <is>
          <t>TR419</t>
        </is>
      </c>
      <c r="P1320" t="inlineStr"/>
      <c r="Q1320" s="112" t="n">
        <v>0</v>
      </c>
      <c r="R1320" s="112" t="n">
        <v>65</v>
      </c>
      <c r="S1320" s="112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D1321" t="inlineStr"/>
      <c r="E1321" t="inlineStr">
        <is>
          <t>EQ</t>
        </is>
      </c>
      <c r="F1321" t="inlineStr"/>
      <c r="G1321" t="inlineStr"/>
      <c r="H1321" s="125" t="n">
        <v>46159</v>
      </c>
      <c r="I1321" t="inlineStr"/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N1321" t="inlineStr"/>
      <c r="O1321" t="inlineStr">
        <is>
          <t>TR419</t>
        </is>
      </c>
      <c r="P1321" t="inlineStr"/>
      <c r="Q1321" s="112" t="n">
        <v>0</v>
      </c>
      <c r="R1321" s="112" t="n">
        <v>65</v>
      </c>
      <c r="S1321" s="112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D1322" t="inlineStr"/>
      <c r="E1322" t="inlineStr">
        <is>
          <t>EQ</t>
        </is>
      </c>
      <c r="F1322" t="inlineStr"/>
      <c r="G1322" t="inlineStr"/>
      <c r="H1322" s="125" t="n">
        <v>46159</v>
      </c>
      <c r="I1322" t="inlineStr"/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N1322" t="inlineStr"/>
      <c r="O1322" t="inlineStr">
        <is>
          <t>TR419</t>
        </is>
      </c>
      <c r="P1322" t="inlineStr"/>
      <c r="Q1322" s="112" t="n">
        <v>0</v>
      </c>
      <c r="R1322" s="112" t="n">
        <v>65</v>
      </c>
      <c r="S1322" s="112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D1323" t="inlineStr"/>
      <c r="E1323" t="inlineStr">
        <is>
          <t>EQ</t>
        </is>
      </c>
      <c r="F1323" t="inlineStr"/>
      <c r="G1323" t="inlineStr"/>
      <c r="H1323" s="125" t="n">
        <v>46159</v>
      </c>
      <c r="I1323" t="inlineStr"/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N1323" t="inlineStr"/>
      <c r="O1323" t="inlineStr">
        <is>
          <t>TR419</t>
        </is>
      </c>
      <c r="P1323" t="inlineStr"/>
      <c r="Q1323" s="112" t="n">
        <v>0</v>
      </c>
      <c r="R1323" s="112" t="n">
        <v>65</v>
      </c>
      <c r="S1323" s="112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D1324" t="inlineStr"/>
      <c r="E1324" t="inlineStr">
        <is>
          <t>EQ</t>
        </is>
      </c>
      <c r="F1324" t="inlineStr"/>
      <c r="G1324" t="inlineStr"/>
      <c r="H1324" s="125" t="n">
        <v>46159</v>
      </c>
      <c r="I1324" t="inlineStr"/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N1324" t="inlineStr"/>
      <c r="O1324" t="inlineStr">
        <is>
          <t>TR419</t>
        </is>
      </c>
      <c r="P1324" t="inlineStr"/>
      <c r="Q1324" s="112" t="n">
        <v>0</v>
      </c>
      <c r="R1324" s="112" t="n">
        <v>65</v>
      </c>
      <c r="S1324" s="112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D1325" t="inlineStr"/>
      <c r="E1325" t="inlineStr">
        <is>
          <t>EQ</t>
        </is>
      </c>
      <c r="F1325" t="inlineStr"/>
      <c r="G1325" t="inlineStr"/>
      <c r="H1325" s="125" t="n">
        <v>46159</v>
      </c>
      <c r="I1325" t="inlineStr"/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N1325" t="inlineStr"/>
      <c r="O1325" t="inlineStr">
        <is>
          <t>TR419</t>
        </is>
      </c>
      <c r="P1325" t="inlineStr"/>
      <c r="Q1325" s="112" t="n">
        <v>0</v>
      </c>
      <c r="R1325" s="112" t="n">
        <v>65</v>
      </c>
      <c r="S1325" s="112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D1326" t="inlineStr"/>
      <c r="E1326" t="inlineStr">
        <is>
          <t>EQ</t>
        </is>
      </c>
      <c r="F1326" t="inlineStr"/>
      <c r="G1326" t="inlineStr"/>
      <c r="H1326" s="125" t="n">
        <v>46159</v>
      </c>
      <c r="I1326" t="inlineStr"/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N1326" t="inlineStr"/>
      <c r="O1326" t="inlineStr">
        <is>
          <t>RT1344</t>
        </is>
      </c>
      <c r="P1326" t="inlineStr"/>
      <c r="Q1326" s="112" t="n">
        <v>0</v>
      </c>
      <c r="R1326" s="112" t="n">
        <v>79.14</v>
      </c>
      <c r="S1326" s="112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D1327" t="inlineStr"/>
      <c r="E1327" t="inlineStr">
        <is>
          <t>EQ</t>
        </is>
      </c>
      <c r="F1327" t="inlineStr"/>
      <c r="G1327" t="inlineStr"/>
      <c r="H1327" s="125" t="n">
        <v>46159</v>
      </c>
      <c r="I1327" t="inlineStr"/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N1327" t="inlineStr"/>
      <c r="O1327" t="inlineStr">
        <is>
          <t>RT1344</t>
        </is>
      </c>
      <c r="P1327" t="inlineStr"/>
      <c r="Q1327" s="112" t="n">
        <v>0</v>
      </c>
      <c r="R1327" s="112" t="n">
        <v>79.14</v>
      </c>
      <c r="S1327" s="112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D1328" t="inlineStr"/>
      <c r="E1328" t="inlineStr">
        <is>
          <t>EQ</t>
        </is>
      </c>
      <c r="F1328" t="inlineStr"/>
      <c r="G1328" t="inlineStr"/>
      <c r="H1328" s="125" t="n">
        <v>46159</v>
      </c>
      <c r="I1328" t="inlineStr"/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N1328" t="inlineStr"/>
      <c r="O1328" t="inlineStr">
        <is>
          <t>RT1344</t>
        </is>
      </c>
      <c r="P1328" t="inlineStr"/>
      <c r="Q1328" s="112" t="n">
        <v>0</v>
      </c>
      <c r="R1328" s="112" t="n">
        <v>79.14</v>
      </c>
      <c r="S1328" s="112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D1329" t="inlineStr"/>
      <c r="E1329" t="inlineStr">
        <is>
          <t>EQ</t>
        </is>
      </c>
      <c r="F1329" t="inlineStr"/>
      <c r="G1329" t="inlineStr"/>
      <c r="H1329" s="125" t="n">
        <v>46159</v>
      </c>
      <c r="I1329" t="inlineStr"/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N1329" t="inlineStr"/>
      <c r="O1329" t="inlineStr">
        <is>
          <t>RT1344</t>
        </is>
      </c>
      <c r="P1329" t="inlineStr"/>
      <c r="Q1329" s="112" t="n">
        <v>0</v>
      </c>
      <c r="R1329" s="112" t="n">
        <v>79.14</v>
      </c>
      <c r="S1329" s="112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D1330" t="inlineStr"/>
      <c r="E1330" t="inlineStr">
        <is>
          <t>EQ</t>
        </is>
      </c>
      <c r="F1330" t="inlineStr"/>
      <c r="G1330" t="inlineStr"/>
      <c r="H1330" s="125" t="n">
        <v>46159</v>
      </c>
      <c r="I1330" t="inlineStr"/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N1330" t="inlineStr"/>
      <c r="O1330" t="inlineStr">
        <is>
          <t>RT1344</t>
        </is>
      </c>
      <c r="P1330" t="inlineStr"/>
      <c r="Q1330" s="112" t="n">
        <v>0</v>
      </c>
      <c r="R1330" s="112" t="n">
        <v>79.14</v>
      </c>
      <c r="S1330" s="112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D1331" t="inlineStr"/>
      <c r="E1331" t="inlineStr">
        <is>
          <t>EQ</t>
        </is>
      </c>
      <c r="F1331" t="inlineStr"/>
      <c r="G1331" t="inlineStr"/>
      <c r="H1331" s="125" t="n">
        <v>46159</v>
      </c>
      <c r="I1331" t="inlineStr"/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N1331" t="inlineStr"/>
      <c r="O1331" t="inlineStr">
        <is>
          <t>SSAUGKIT1</t>
        </is>
      </c>
      <c r="P1331" t="inlineStr"/>
      <c r="Q1331" s="112" t="n">
        <v>0</v>
      </c>
      <c r="R1331" s="112" t="n">
        <v>35</v>
      </c>
      <c r="S1331" s="112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D1332" t="inlineStr"/>
      <c r="E1332" t="inlineStr">
        <is>
          <t>EQ</t>
        </is>
      </c>
      <c r="F1332" t="inlineStr"/>
      <c r="G1332" t="inlineStr"/>
      <c r="H1332" s="125" t="n">
        <v>46159</v>
      </c>
      <c r="I1332" t="inlineStr"/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N1332" t="inlineStr"/>
      <c r="O1332" t="inlineStr">
        <is>
          <t>SSAUGKIT1</t>
        </is>
      </c>
      <c r="P1332" t="inlineStr"/>
      <c r="Q1332" s="112" t="n">
        <v>0</v>
      </c>
      <c r="R1332" s="112" t="n">
        <v>35</v>
      </c>
      <c r="S1332" s="112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D1333" t="inlineStr"/>
      <c r="E1333" t="inlineStr">
        <is>
          <t>EQ</t>
        </is>
      </c>
      <c r="F1333" t="inlineStr"/>
      <c r="G1333" t="inlineStr"/>
      <c r="H1333" s="125" t="n">
        <v>46159</v>
      </c>
      <c r="I1333" t="inlineStr"/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N1333" t="inlineStr"/>
      <c r="O1333" t="inlineStr">
        <is>
          <t>TR260</t>
        </is>
      </c>
      <c r="P1333" t="inlineStr"/>
      <c r="Q1333" s="112" t="n">
        <v>0</v>
      </c>
      <c r="R1333" s="112" t="n">
        <v>75</v>
      </c>
      <c r="S1333" s="112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D1334" t="inlineStr"/>
      <c r="E1334" t="inlineStr">
        <is>
          <t>EQ</t>
        </is>
      </c>
      <c r="F1334" t="inlineStr"/>
      <c r="G1334" t="inlineStr"/>
      <c r="H1334" s="125" t="n">
        <v>46159</v>
      </c>
      <c r="I1334" t="inlineStr"/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N1334" t="inlineStr"/>
      <c r="O1334" t="inlineStr">
        <is>
          <t>TR260</t>
        </is>
      </c>
      <c r="P1334" t="inlineStr"/>
      <c r="Q1334" s="112" t="n">
        <v>0</v>
      </c>
      <c r="R1334" s="112" t="n">
        <v>75</v>
      </c>
      <c r="S1334" s="112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D1335" t="inlineStr"/>
      <c r="E1335" t="inlineStr">
        <is>
          <t>EQ</t>
        </is>
      </c>
      <c r="F1335" t="inlineStr"/>
      <c r="G1335" t="inlineStr"/>
      <c r="H1335" s="125" t="n">
        <v>46159</v>
      </c>
      <c r="I1335" t="inlineStr"/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N1335" t="inlineStr"/>
      <c r="O1335" t="inlineStr">
        <is>
          <t>TR260</t>
        </is>
      </c>
      <c r="P1335" t="inlineStr"/>
      <c r="Q1335" s="112" t="n">
        <v>0</v>
      </c>
      <c r="R1335" s="112" t="n">
        <v>75</v>
      </c>
      <c r="S1335" s="112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D1336" t="inlineStr"/>
      <c r="E1336" t="inlineStr">
        <is>
          <t>EQ</t>
        </is>
      </c>
      <c r="F1336" t="inlineStr"/>
      <c r="G1336" t="inlineStr"/>
      <c r="H1336" s="125" t="n">
        <v>46159</v>
      </c>
      <c r="I1336" t="inlineStr"/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N1336" t="inlineStr"/>
      <c r="O1336" t="inlineStr">
        <is>
          <t>TR260</t>
        </is>
      </c>
      <c r="P1336" t="inlineStr"/>
      <c r="Q1336" s="112" t="n">
        <v>0</v>
      </c>
      <c r="R1336" s="112" t="n">
        <v>75</v>
      </c>
      <c r="S1336" s="112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D1337" t="inlineStr"/>
      <c r="E1337" t="inlineStr">
        <is>
          <t>EQ</t>
        </is>
      </c>
      <c r="F1337" t="inlineStr"/>
      <c r="G1337" t="inlineStr"/>
      <c r="H1337" s="125" t="n">
        <v>46159</v>
      </c>
      <c r="I1337" t="inlineStr"/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N1337" t="inlineStr"/>
      <c r="O1337" t="inlineStr">
        <is>
          <t>TR260</t>
        </is>
      </c>
      <c r="P1337" t="inlineStr"/>
      <c r="Q1337" s="112" t="n">
        <v>0</v>
      </c>
      <c r="R1337" s="112" t="n">
        <v>75</v>
      </c>
      <c r="S1337" s="112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D1338" t="inlineStr"/>
      <c r="E1338" t="inlineStr">
        <is>
          <t>EQ</t>
        </is>
      </c>
      <c r="F1338" t="inlineStr"/>
      <c r="G1338" t="inlineStr"/>
      <c r="H1338" s="125" t="n">
        <v>46159</v>
      </c>
      <c r="I1338" t="inlineStr"/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N1338" t="inlineStr"/>
      <c r="O1338" t="inlineStr">
        <is>
          <t>TR260</t>
        </is>
      </c>
      <c r="P1338" t="inlineStr"/>
      <c r="Q1338" s="112" t="n">
        <v>0</v>
      </c>
      <c r="R1338" s="112" t="n">
        <v>75</v>
      </c>
      <c r="S1338" s="112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D1339" t="inlineStr"/>
      <c r="E1339" t="inlineStr">
        <is>
          <t>EQ</t>
        </is>
      </c>
      <c r="F1339" t="inlineStr"/>
      <c r="G1339" t="inlineStr"/>
      <c r="H1339" s="125" t="n">
        <v>46159</v>
      </c>
      <c r="I1339" t="inlineStr"/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N1339" t="inlineStr"/>
      <c r="O1339" t="inlineStr">
        <is>
          <t>TR463</t>
        </is>
      </c>
      <c r="P1339" t="inlineStr"/>
      <c r="Q1339" s="112" t="n">
        <v>0</v>
      </c>
      <c r="R1339" s="112" t="n">
        <v>65</v>
      </c>
      <c r="S1339" s="112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D1340" t="inlineStr"/>
      <c r="E1340" t="inlineStr">
        <is>
          <t>EQ</t>
        </is>
      </c>
      <c r="F1340" t="inlineStr"/>
      <c r="G1340" t="inlineStr"/>
      <c r="H1340" s="125" t="n">
        <v>46159</v>
      </c>
      <c r="I1340" t="inlineStr"/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N1340" t="inlineStr"/>
      <c r="O1340" t="inlineStr">
        <is>
          <t>TR463</t>
        </is>
      </c>
      <c r="P1340" t="inlineStr"/>
      <c r="Q1340" s="112" t="n">
        <v>0</v>
      </c>
      <c r="R1340" s="112" t="n">
        <v>65</v>
      </c>
      <c r="S1340" s="112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D1341" t="inlineStr"/>
      <c r="E1341" t="inlineStr">
        <is>
          <t>EQ</t>
        </is>
      </c>
      <c r="F1341" t="inlineStr"/>
      <c r="G1341" t="inlineStr"/>
      <c r="H1341" s="125" t="n">
        <v>46159</v>
      </c>
      <c r="I1341" t="inlineStr"/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N1341" t="inlineStr"/>
      <c r="O1341" t="inlineStr">
        <is>
          <t>TR154</t>
        </is>
      </c>
      <c r="P1341" t="inlineStr"/>
      <c r="Q1341" s="112" t="n">
        <v>0</v>
      </c>
      <c r="R1341" s="112" t="n">
        <v>15</v>
      </c>
      <c r="S1341" s="112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D1342" t="inlineStr"/>
      <c r="E1342" t="inlineStr">
        <is>
          <t>EQ</t>
        </is>
      </c>
      <c r="F1342" t="inlineStr"/>
      <c r="G1342" t="inlineStr"/>
      <c r="H1342" s="125" t="n">
        <v>46159</v>
      </c>
      <c r="I1342" t="inlineStr"/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N1342" t="inlineStr"/>
      <c r="O1342" t="inlineStr">
        <is>
          <t>TR154</t>
        </is>
      </c>
      <c r="P1342" t="inlineStr"/>
      <c r="Q1342" s="112" t="n">
        <v>0</v>
      </c>
      <c r="R1342" s="112" t="n">
        <v>15</v>
      </c>
      <c r="S1342" s="112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D1343" t="inlineStr"/>
      <c r="E1343" t="inlineStr">
        <is>
          <t>EQ</t>
        </is>
      </c>
      <c r="F1343" t="inlineStr"/>
      <c r="G1343" t="inlineStr"/>
      <c r="H1343" s="125" t="n">
        <v>46159</v>
      </c>
      <c r="I1343" t="inlineStr"/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N1343" t="inlineStr"/>
      <c r="O1343" t="inlineStr">
        <is>
          <t>TR154</t>
        </is>
      </c>
      <c r="P1343" t="inlineStr"/>
      <c r="Q1343" s="112" t="n">
        <v>0</v>
      </c>
      <c r="R1343" s="112" t="n">
        <v>15</v>
      </c>
      <c r="S1343" s="112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D1344" t="inlineStr"/>
      <c r="E1344" t="inlineStr">
        <is>
          <t>EQ</t>
        </is>
      </c>
      <c r="F1344" t="inlineStr"/>
      <c r="G1344" t="inlineStr"/>
      <c r="H1344" s="125" t="n">
        <v>46159</v>
      </c>
      <c r="I1344" t="inlineStr"/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N1344" t="inlineStr"/>
      <c r="O1344" t="inlineStr">
        <is>
          <t>TR154</t>
        </is>
      </c>
      <c r="P1344" t="inlineStr"/>
      <c r="Q1344" s="112" t="n">
        <v>0</v>
      </c>
      <c r="R1344" s="112" t="n">
        <v>15</v>
      </c>
      <c r="S1344" s="112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D1345" t="inlineStr"/>
      <c r="E1345" t="inlineStr">
        <is>
          <t>EQ</t>
        </is>
      </c>
      <c r="F1345" t="inlineStr"/>
      <c r="G1345" t="inlineStr"/>
      <c r="H1345" s="125" t="n">
        <v>46159</v>
      </c>
      <c r="I1345" t="inlineStr"/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N1345" t="inlineStr"/>
      <c r="O1345" t="inlineStr">
        <is>
          <t>TR154</t>
        </is>
      </c>
      <c r="P1345" t="inlineStr"/>
      <c r="Q1345" s="112" t="n">
        <v>0</v>
      </c>
      <c r="R1345" s="112" t="n">
        <v>15</v>
      </c>
      <c r="S1345" s="112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D1346" t="inlineStr"/>
      <c r="E1346" t="inlineStr">
        <is>
          <t>EQ</t>
        </is>
      </c>
      <c r="F1346" t="inlineStr"/>
      <c r="G1346" t="inlineStr"/>
      <c r="H1346" s="125" t="n">
        <v>46159</v>
      </c>
      <c r="I1346" t="inlineStr"/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N1346" t="inlineStr"/>
      <c r="O1346" t="inlineStr">
        <is>
          <t>TR154</t>
        </is>
      </c>
      <c r="P1346" t="inlineStr"/>
      <c r="Q1346" s="112" t="n">
        <v>0</v>
      </c>
      <c r="R1346" s="112" t="n">
        <v>15</v>
      </c>
      <c r="S1346" s="112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D1347" t="inlineStr"/>
      <c r="E1347" t="inlineStr">
        <is>
          <t>EQ</t>
        </is>
      </c>
      <c r="F1347" t="inlineStr"/>
      <c r="G1347" t="inlineStr"/>
      <c r="H1347" s="125" t="n">
        <v>46159</v>
      </c>
      <c r="I1347" t="inlineStr"/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N1347" t="inlineStr"/>
      <c r="O1347" t="inlineStr">
        <is>
          <t>TR280</t>
        </is>
      </c>
      <c r="P1347" t="inlineStr"/>
      <c r="Q1347" s="112" t="n">
        <v>0</v>
      </c>
      <c r="R1347" s="112" t="n">
        <v>15</v>
      </c>
      <c r="S1347" s="112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D1348" t="inlineStr"/>
      <c r="E1348" t="inlineStr">
        <is>
          <t>EQ</t>
        </is>
      </c>
      <c r="F1348" t="inlineStr"/>
      <c r="G1348" t="inlineStr"/>
      <c r="H1348" s="125" t="n">
        <v>46159</v>
      </c>
      <c r="I1348" t="inlineStr"/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N1348" t="inlineStr"/>
      <c r="O1348" t="inlineStr">
        <is>
          <t>TR280</t>
        </is>
      </c>
      <c r="P1348" t="inlineStr"/>
      <c r="Q1348" s="112" t="n">
        <v>0</v>
      </c>
      <c r="R1348" s="112" t="n">
        <v>15</v>
      </c>
      <c r="S1348" s="112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D1349" t="inlineStr"/>
      <c r="E1349" t="inlineStr">
        <is>
          <t>EQ</t>
        </is>
      </c>
      <c r="F1349" t="inlineStr"/>
      <c r="G1349" t="inlineStr"/>
      <c r="H1349" s="125" t="n">
        <v>46159</v>
      </c>
      <c r="I1349" t="inlineStr"/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N1349" t="inlineStr"/>
      <c r="O1349" t="inlineStr">
        <is>
          <t>TR280</t>
        </is>
      </c>
      <c r="P1349" t="inlineStr"/>
      <c r="Q1349" s="112" t="n">
        <v>0</v>
      </c>
      <c r="R1349" s="112" t="n">
        <v>15</v>
      </c>
      <c r="S1349" s="112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D1350" t="inlineStr"/>
      <c r="E1350" t="inlineStr">
        <is>
          <t>EQ</t>
        </is>
      </c>
      <c r="F1350" t="inlineStr"/>
      <c r="G1350" t="inlineStr"/>
      <c r="H1350" s="125" t="n">
        <v>46159</v>
      </c>
      <c r="I1350" t="inlineStr"/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N1350" t="inlineStr"/>
      <c r="O1350" t="inlineStr">
        <is>
          <t>TR280</t>
        </is>
      </c>
      <c r="P1350" t="inlineStr"/>
      <c r="Q1350" s="112" t="n">
        <v>0</v>
      </c>
      <c r="R1350" s="112" t="n">
        <v>15</v>
      </c>
      <c r="S1350" s="112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D1351" t="inlineStr"/>
      <c r="E1351" t="inlineStr">
        <is>
          <t>EQ</t>
        </is>
      </c>
      <c r="F1351" t="inlineStr"/>
      <c r="G1351" t="inlineStr"/>
      <c r="H1351" s="125" t="n">
        <v>46159</v>
      </c>
      <c r="I1351" t="inlineStr"/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N1351" t="inlineStr"/>
      <c r="O1351" t="inlineStr">
        <is>
          <t>TR280</t>
        </is>
      </c>
      <c r="P1351" t="inlineStr"/>
      <c r="Q1351" s="112" t="n">
        <v>0</v>
      </c>
      <c r="R1351" s="112" t="n">
        <v>15</v>
      </c>
      <c r="S1351" s="112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D1352" t="inlineStr"/>
      <c r="E1352" t="inlineStr">
        <is>
          <t>EQ</t>
        </is>
      </c>
      <c r="F1352" t="inlineStr"/>
      <c r="G1352" t="inlineStr"/>
      <c r="H1352" s="125" t="n">
        <v>46159</v>
      </c>
      <c r="I1352" t="inlineStr"/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N1352" t="inlineStr"/>
      <c r="O1352" t="inlineStr">
        <is>
          <t>TR280</t>
        </is>
      </c>
      <c r="P1352" t="inlineStr"/>
      <c r="Q1352" s="112" t="n">
        <v>0</v>
      </c>
      <c r="R1352" s="112" t="n">
        <v>15</v>
      </c>
      <c r="S1352" s="112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D1353" t="inlineStr"/>
      <c r="E1353" t="inlineStr">
        <is>
          <t>EQ</t>
        </is>
      </c>
      <c r="F1353" t="inlineStr"/>
      <c r="G1353" t="inlineStr"/>
      <c r="H1353" s="125" t="n">
        <v>46159</v>
      </c>
      <c r="I1353" t="inlineStr"/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N1353" t="inlineStr"/>
      <c r="O1353" t="inlineStr">
        <is>
          <t>WHV001</t>
        </is>
      </c>
      <c r="P1353" t="inlineStr"/>
      <c r="Q1353" s="112" t="n">
        <v>0</v>
      </c>
      <c r="R1353" s="112" t="n">
        <v>250</v>
      </c>
      <c r="S1353" s="112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D1354" t="inlineStr"/>
      <c r="E1354" t="inlineStr">
        <is>
          <t>EQ</t>
        </is>
      </c>
      <c r="F1354" t="inlineStr"/>
      <c r="G1354" t="inlineStr"/>
      <c r="H1354" s="125" t="n">
        <v>46159</v>
      </c>
      <c r="I1354" t="inlineStr"/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N1354" t="inlineStr"/>
      <c r="O1354" t="inlineStr">
        <is>
          <t>WHV001</t>
        </is>
      </c>
      <c r="P1354" t="inlineStr"/>
      <c r="Q1354" s="112" t="n">
        <v>0</v>
      </c>
      <c r="R1354" s="112" t="n">
        <v>250</v>
      </c>
      <c r="S1354" s="112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D1355" t="inlineStr"/>
      <c r="E1355" t="inlineStr">
        <is>
          <t>EQ</t>
        </is>
      </c>
      <c r="F1355" t="inlineStr"/>
      <c r="G1355" t="inlineStr"/>
      <c r="H1355" s="125" t="n">
        <v>46159</v>
      </c>
      <c r="I1355" t="inlineStr"/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N1355" t="inlineStr"/>
      <c r="O1355" t="inlineStr">
        <is>
          <t>WHV001</t>
        </is>
      </c>
      <c r="P1355" t="inlineStr"/>
      <c r="Q1355" s="112" t="n">
        <v>0</v>
      </c>
      <c r="R1355" s="112" t="n">
        <v>250</v>
      </c>
      <c r="S1355" s="112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D1356" t="inlineStr"/>
      <c r="E1356" t="inlineStr">
        <is>
          <t>EQ</t>
        </is>
      </c>
      <c r="F1356" t="inlineStr"/>
      <c r="G1356" t="inlineStr"/>
      <c r="H1356" s="125" t="n">
        <v>46159</v>
      </c>
      <c r="I1356" t="inlineStr"/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N1356" t="inlineStr"/>
      <c r="O1356" t="inlineStr">
        <is>
          <t>WHV001</t>
        </is>
      </c>
      <c r="P1356" t="inlineStr"/>
      <c r="Q1356" s="112" t="n">
        <v>0</v>
      </c>
      <c r="R1356" s="112" t="n">
        <v>250</v>
      </c>
      <c r="S1356" s="112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D1357" t="inlineStr"/>
      <c r="E1357" t="inlineStr">
        <is>
          <t>EQ</t>
        </is>
      </c>
      <c r="F1357" t="inlineStr"/>
      <c r="G1357" t="inlineStr"/>
      <c r="H1357" s="125" t="n">
        <v>46159</v>
      </c>
      <c r="I1357" t="inlineStr"/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N1357" t="inlineStr"/>
      <c r="O1357" t="inlineStr">
        <is>
          <t>WHV001</t>
        </is>
      </c>
      <c r="P1357" t="inlineStr"/>
      <c r="Q1357" s="112" t="n">
        <v>0</v>
      </c>
      <c r="R1357" s="112" t="n">
        <v>250</v>
      </c>
      <c r="S1357" s="112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D1358" t="inlineStr"/>
      <c r="E1358" t="inlineStr">
        <is>
          <t>EQ</t>
        </is>
      </c>
      <c r="F1358" t="inlineStr"/>
      <c r="G1358" t="inlineStr"/>
      <c r="H1358" s="125" t="n">
        <v>46159</v>
      </c>
      <c r="I1358" t="inlineStr"/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N1358" t="inlineStr"/>
      <c r="O1358" t="inlineStr">
        <is>
          <t>WHV001</t>
        </is>
      </c>
      <c r="P1358" t="inlineStr"/>
      <c r="Q1358" s="112" t="n">
        <v>0</v>
      </c>
      <c r="R1358" s="112" t="n">
        <v>250</v>
      </c>
      <c r="S1358" s="112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D1359" t="inlineStr"/>
      <c r="E1359" t="inlineStr">
        <is>
          <t>EQ</t>
        </is>
      </c>
      <c r="F1359" t="inlineStr"/>
      <c r="G1359" t="inlineStr"/>
      <c r="H1359" s="125" t="n">
        <v>46159</v>
      </c>
      <c r="I1359" t="inlineStr"/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N1359" t="inlineStr"/>
      <c r="O1359" t="inlineStr">
        <is>
          <t>TR473</t>
        </is>
      </c>
      <c r="P1359" t="inlineStr"/>
      <c r="Q1359" s="112" t="n">
        <v>0</v>
      </c>
      <c r="R1359" s="112" t="n">
        <v>0</v>
      </c>
      <c r="S1359" s="112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D1360" t="inlineStr"/>
      <c r="E1360" t="inlineStr">
        <is>
          <t>EQ</t>
        </is>
      </c>
      <c r="F1360" t="inlineStr"/>
      <c r="G1360" t="inlineStr"/>
      <c r="H1360" s="125" t="n">
        <v>46159</v>
      </c>
      <c r="I1360" t="inlineStr"/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N1360" t="inlineStr"/>
      <c r="O1360" t="inlineStr">
        <is>
          <t>TR473</t>
        </is>
      </c>
      <c r="P1360" t="inlineStr"/>
      <c r="Q1360" s="112" t="n">
        <v>0</v>
      </c>
      <c r="R1360" s="112" t="n">
        <v>0</v>
      </c>
      <c r="S1360" s="112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D1361" t="inlineStr"/>
      <c r="E1361" t="inlineStr">
        <is>
          <t>EQ</t>
        </is>
      </c>
      <c r="F1361" t="inlineStr"/>
      <c r="G1361" t="inlineStr"/>
      <c r="H1361" s="125" t="n">
        <v>46159</v>
      </c>
      <c r="I1361" t="inlineStr"/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N1361" t="inlineStr"/>
      <c r="O1361" t="inlineStr">
        <is>
          <t>TR473</t>
        </is>
      </c>
      <c r="P1361" t="inlineStr"/>
      <c r="Q1361" s="112" t="n">
        <v>0</v>
      </c>
      <c r="R1361" s="112" t="n">
        <v>0</v>
      </c>
      <c r="S1361" s="112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D1362" t="inlineStr"/>
      <c r="E1362" t="inlineStr">
        <is>
          <t>EQ</t>
        </is>
      </c>
      <c r="F1362" t="inlineStr"/>
      <c r="G1362" t="inlineStr"/>
      <c r="H1362" s="125" t="n">
        <v>46159</v>
      </c>
      <c r="I1362" t="inlineStr"/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N1362" t="inlineStr"/>
      <c r="O1362" t="inlineStr">
        <is>
          <t>TR473</t>
        </is>
      </c>
      <c r="P1362" t="inlineStr"/>
      <c r="Q1362" s="112" t="n">
        <v>0</v>
      </c>
      <c r="R1362" s="112" t="n">
        <v>0</v>
      </c>
      <c r="S1362" s="112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D1363" t="inlineStr"/>
      <c r="E1363" t="inlineStr">
        <is>
          <t>EQ</t>
        </is>
      </c>
      <c r="F1363" t="inlineStr"/>
      <c r="G1363" t="inlineStr"/>
      <c r="H1363" s="125" t="n">
        <v>46159</v>
      </c>
      <c r="I1363" t="inlineStr"/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N1363" t="inlineStr"/>
      <c r="O1363" t="inlineStr">
        <is>
          <t>TR473</t>
        </is>
      </c>
      <c r="P1363" t="inlineStr"/>
      <c r="Q1363" s="112" t="n">
        <v>0</v>
      </c>
      <c r="R1363" s="112" t="n">
        <v>0</v>
      </c>
      <c r="S1363" s="112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D1364" t="inlineStr"/>
      <c r="E1364" t="inlineStr">
        <is>
          <t>EQ</t>
        </is>
      </c>
      <c r="F1364" t="inlineStr"/>
      <c r="G1364" t="inlineStr"/>
      <c r="H1364" s="125" t="n">
        <v>46159</v>
      </c>
      <c r="I1364" t="inlineStr"/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N1364" t="inlineStr"/>
      <c r="O1364" t="inlineStr">
        <is>
          <t>TR473</t>
        </is>
      </c>
      <c r="P1364" t="inlineStr"/>
      <c r="Q1364" s="112" t="n">
        <v>0</v>
      </c>
      <c r="R1364" s="112" t="n">
        <v>0</v>
      </c>
      <c r="S1364" s="112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D1365" t="inlineStr"/>
      <c r="E1365" t="inlineStr">
        <is>
          <t>EQ</t>
        </is>
      </c>
      <c r="F1365" t="inlineStr"/>
      <c r="G1365" t="inlineStr"/>
      <c r="H1365" s="125" t="n">
        <v>46159</v>
      </c>
      <c r="I1365" t="inlineStr"/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N1365" t="inlineStr"/>
      <c r="O1365" t="inlineStr">
        <is>
          <t>TR461</t>
        </is>
      </c>
      <c r="P1365" t="inlineStr"/>
      <c r="Q1365" s="112" t="n">
        <v>0</v>
      </c>
      <c r="R1365" s="112" t="n">
        <v>65</v>
      </c>
      <c r="S1365" s="112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D1366" t="inlineStr"/>
      <c r="E1366" t="inlineStr">
        <is>
          <t>EQ</t>
        </is>
      </c>
      <c r="F1366" t="inlineStr"/>
      <c r="G1366" t="inlineStr"/>
      <c r="H1366" s="125" t="n">
        <v>46159</v>
      </c>
      <c r="I1366" t="inlineStr"/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N1366" t="inlineStr"/>
      <c r="O1366" t="inlineStr">
        <is>
          <t>TR461</t>
        </is>
      </c>
      <c r="P1366" t="inlineStr"/>
      <c r="Q1366" s="112" t="n">
        <v>0</v>
      </c>
      <c r="R1366" s="112" t="n">
        <v>65</v>
      </c>
      <c r="S1366" s="112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D1367" t="inlineStr"/>
      <c r="E1367" t="inlineStr">
        <is>
          <t>EQ</t>
        </is>
      </c>
      <c r="F1367" t="inlineStr"/>
      <c r="G1367" t="inlineStr"/>
      <c r="H1367" s="125" t="n">
        <v>46159</v>
      </c>
      <c r="I1367" t="inlineStr"/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N1367" t="inlineStr"/>
      <c r="O1367" t="inlineStr">
        <is>
          <t>TR461</t>
        </is>
      </c>
      <c r="P1367" t="inlineStr"/>
      <c r="Q1367" s="112" t="n">
        <v>0</v>
      </c>
      <c r="R1367" s="112" t="n">
        <v>65</v>
      </c>
      <c r="S1367" s="112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D1368" t="inlineStr"/>
      <c r="E1368" t="inlineStr">
        <is>
          <t>EQ</t>
        </is>
      </c>
      <c r="F1368" t="inlineStr"/>
      <c r="G1368" t="inlineStr"/>
      <c r="H1368" s="125" t="n">
        <v>46159</v>
      </c>
      <c r="I1368" t="inlineStr"/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N1368" t="inlineStr"/>
      <c r="O1368" t="inlineStr">
        <is>
          <t>TR461</t>
        </is>
      </c>
      <c r="P1368" t="inlineStr"/>
      <c r="Q1368" s="112" t="n">
        <v>0</v>
      </c>
      <c r="R1368" s="112" t="n">
        <v>65</v>
      </c>
      <c r="S1368" s="112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D1369" t="inlineStr"/>
      <c r="E1369" t="inlineStr">
        <is>
          <t>EQ</t>
        </is>
      </c>
      <c r="F1369" t="inlineStr"/>
      <c r="G1369" t="inlineStr"/>
      <c r="H1369" s="125" t="n">
        <v>46159</v>
      </c>
      <c r="I1369" t="inlineStr"/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N1369" t="inlineStr"/>
      <c r="O1369" t="inlineStr">
        <is>
          <t>TR461</t>
        </is>
      </c>
      <c r="P1369" t="inlineStr"/>
      <c r="Q1369" s="112" t="n">
        <v>0</v>
      </c>
      <c r="R1369" s="112" t="n">
        <v>65</v>
      </c>
      <c r="S1369" s="112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D1370" t="inlineStr"/>
      <c r="E1370" t="inlineStr">
        <is>
          <t>EQ</t>
        </is>
      </c>
      <c r="F1370" t="inlineStr"/>
      <c r="G1370" t="inlineStr"/>
      <c r="H1370" s="125" t="n">
        <v>46159</v>
      </c>
      <c r="I1370" t="inlineStr"/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N1370" t="inlineStr"/>
      <c r="O1370" t="inlineStr">
        <is>
          <t>TR461</t>
        </is>
      </c>
      <c r="P1370" t="inlineStr"/>
      <c r="Q1370" s="112" t="n">
        <v>0</v>
      </c>
      <c r="R1370" s="112" t="n">
        <v>65</v>
      </c>
      <c r="S1370" s="112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D1371" t="inlineStr"/>
      <c r="E1371" t="inlineStr">
        <is>
          <t>EQ</t>
        </is>
      </c>
      <c r="F1371" t="inlineStr"/>
      <c r="G1371" t="inlineStr"/>
      <c r="H1371" s="125" t="n">
        <v>46159</v>
      </c>
      <c r="I1371" t="inlineStr"/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N1371" t="inlineStr"/>
      <c r="O1371" t="inlineStr">
        <is>
          <t>TR462</t>
        </is>
      </c>
      <c r="P1371" t="inlineStr"/>
      <c r="Q1371" s="112" t="n">
        <v>0</v>
      </c>
      <c r="R1371" s="112" t="n">
        <v>65</v>
      </c>
      <c r="S1371" s="112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D1372" t="inlineStr"/>
      <c r="E1372" t="inlineStr">
        <is>
          <t>EQ</t>
        </is>
      </c>
      <c r="F1372" t="inlineStr"/>
      <c r="G1372" t="inlineStr"/>
      <c r="H1372" s="125" t="n">
        <v>46159</v>
      </c>
      <c r="I1372" t="inlineStr"/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N1372" t="inlineStr"/>
      <c r="O1372" t="inlineStr">
        <is>
          <t>TR462</t>
        </is>
      </c>
      <c r="P1372" t="inlineStr"/>
      <c r="Q1372" s="112" t="n">
        <v>0</v>
      </c>
      <c r="R1372" s="112" t="n">
        <v>65</v>
      </c>
      <c r="S1372" s="112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D1373" t="inlineStr"/>
      <c r="E1373" t="inlineStr">
        <is>
          <t>EQ</t>
        </is>
      </c>
      <c r="F1373" t="inlineStr"/>
      <c r="G1373" t="inlineStr"/>
      <c r="H1373" s="125" t="n">
        <v>46159</v>
      </c>
      <c r="I1373" t="inlineStr"/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N1373" t="inlineStr"/>
      <c r="O1373" t="inlineStr">
        <is>
          <t>TR462</t>
        </is>
      </c>
      <c r="P1373" t="inlineStr"/>
      <c r="Q1373" s="112" t="n">
        <v>0</v>
      </c>
      <c r="R1373" s="112" t="n">
        <v>65</v>
      </c>
      <c r="S1373" s="112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D1374" t="inlineStr"/>
      <c r="E1374" t="inlineStr">
        <is>
          <t>EQ</t>
        </is>
      </c>
      <c r="F1374" t="inlineStr"/>
      <c r="G1374" t="inlineStr"/>
      <c r="H1374" s="125" t="n">
        <v>46159</v>
      </c>
      <c r="I1374" t="inlineStr"/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N1374" t="inlineStr"/>
      <c r="O1374" t="inlineStr">
        <is>
          <t>TR462</t>
        </is>
      </c>
      <c r="P1374" t="inlineStr"/>
      <c r="Q1374" s="112" t="n">
        <v>0</v>
      </c>
      <c r="R1374" s="112" t="n">
        <v>65</v>
      </c>
      <c r="S1374" s="112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D1375" t="inlineStr"/>
      <c r="E1375" t="inlineStr">
        <is>
          <t>EQ</t>
        </is>
      </c>
      <c r="F1375" t="inlineStr"/>
      <c r="G1375" t="inlineStr"/>
      <c r="H1375" s="125" t="n">
        <v>46159</v>
      </c>
      <c r="I1375" t="inlineStr"/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N1375" t="inlineStr"/>
      <c r="O1375" t="inlineStr">
        <is>
          <t>TR462</t>
        </is>
      </c>
      <c r="P1375" t="inlineStr"/>
      <c r="Q1375" s="112" t="n">
        <v>0</v>
      </c>
      <c r="R1375" s="112" t="n">
        <v>65</v>
      </c>
      <c r="S1375" s="112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D1376" t="inlineStr"/>
      <c r="E1376" t="inlineStr">
        <is>
          <t>EQ</t>
        </is>
      </c>
      <c r="F1376" t="inlineStr"/>
      <c r="G1376" t="inlineStr"/>
      <c r="H1376" s="125" t="n">
        <v>46159</v>
      </c>
      <c r="I1376" t="inlineStr"/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N1376" t="inlineStr"/>
      <c r="O1376" t="inlineStr">
        <is>
          <t>TR462</t>
        </is>
      </c>
      <c r="P1376" t="inlineStr"/>
      <c r="Q1376" s="112" t="n">
        <v>0</v>
      </c>
      <c r="R1376" s="112" t="n">
        <v>65</v>
      </c>
      <c r="S1376" s="112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D1377" t="inlineStr"/>
      <c r="E1377" t="inlineStr">
        <is>
          <t>EQ</t>
        </is>
      </c>
      <c r="F1377" t="inlineStr"/>
      <c r="G1377" t="inlineStr"/>
      <c r="H1377" s="125" t="n">
        <v>46159</v>
      </c>
      <c r="I1377" t="inlineStr"/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N1377" t="inlineStr"/>
      <c r="O1377" t="inlineStr">
        <is>
          <t>TR463</t>
        </is>
      </c>
      <c r="P1377" t="inlineStr"/>
      <c r="Q1377" s="112" t="n">
        <v>0</v>
      </c>
      <c r="R1377" s="112" t="n">
        <v>65</v>
      </c>
      <c r="S1377" s="112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D1378" t="inlineStr"/>
      <c r="E1378" t="inlineStr">
        <is>
          <t>EQ</t>
        </is>
      </c>
      <c r="F1378" t="inlineStr"/>
      <c r="G1378" t="inlineStr"/>
      <c r="H1378" s="125" t="n">
        <v>46159</v>
      </c>
      <c r="I1378" t="inlineStr"/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N1378" t="inlineStr"/>
      <c r="O1378" t="inlineStr">
        <is>
          <t>TR463</t>
        </is>
      </c>
      <c r="P1378" t="inlineStr"/>
      <c r="Q1378" s="112" t="n">
        <v>0</v>
      </c>
      <c r="R1378" s="112" t="n">
        <v>65</v>
      </c>
      <c r="S1378" s="112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D1379" t="inlineStr"/>
      <c r="E1379" t="inlineStr">
        <is>
          <t>EQ</t>
        </is>
      </c>
      <c r="F1379" t="inlineStr"/>
      <c r="G1379" t="inlineStr"/>
      <c r="H1379" s="125" t="n">
        <v>46159</v>
      </c>
      <c r="I1379" t="inlineStr"/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N1379" t="inlineStr"/>
      <c r="O1379" t="inlineStr">
        <is>
          <t>TR463</t>
        </is>
      </c>
      <c r="P1379" t="inlineStr"/>
      <c r="Q1379" s="112" t="n">
        <v>0</v>
      </c>
      <c r="R1379" s="112" t="n">
        <v>65</v>
      </c>
      <c r="S1379" s="112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D1380" t="inlineStr"/>
      <c r="E1380" t="inlineStr">
        <is>
          <t>EQ</t>
        </is>
      </c>
      <c r="F1380" t="inlineStr"/>
      <c r="G1380" t="inlineStr"/>
      <c r="H1380" s="125" t="n">
        <v>46159</v>
      </c>
      <c r="I1380" t="inlineStr"/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N1380" t="inlineStr"/>
      <c r="O1380" t="inlineStr">
        <is>
          <t>TR463</t>
        </is>
      </c>
      <c r="P1380" t="inlineStr"/>
      <c r="Q1380" s="112" t="n">
        <v>0</v>
      </c>
      <c r="R1380" s="112" t="n">
        <v>65</v>
      </c>
      <c r="S1380" s="112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D1381" t="inlineStr"/>
      <c r="E1381" t="inlineStr">
        <is>
          <t>EQ</t>
        </is>
      </c>
      <c r="F1381" t="inlineStr"/>
      <c r="G1381" t="inlineStr"/>
      <c r="H1381" s="125" t="n">
        <v>46159</v>
      </c>
      <c r="I1381" t="inlineStr"/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N1381" t="inlineStr"/>
      <c r="O1381" t="inlineStr">
        <is>
          <t>TR464</t>
        </is>
      </c>
      <c r="P1381" t="inlineStr"/>
      <c r="Q1381" s="112" t="n">
        <v>0</v>
      </c>
      <c r="R1381" s="112" t="n">
        <v>65</v>
      </c>
      <c r="S1381" s="112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D1382" t="inlineStr"/>
      <c r="E1382" t="inlineStr">
        <is>
          <t>EQ</t>
        </is>
      </c>
      <c r="F1382" t="inlineStr"/>
      <c r="G1382" t="inlineStr"/>
      <c r="H1382" s="125" t="n">
        <v>46159</v>
      </c>
      <c r="I1382" t="inlineStr"/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N1382" t="inlineStr"/>
      <c r="O1382" t="inlineStr">
        <is>
          <t>TR464</t>
        </is>
      </c>
      <c r="P1382" t="inlineStr"/>
      <c r="Q1382" s="112" t="n">
        <v>0</v>
      </c>
      <c r="R1382" s="112" t="n">
        <v>65</v>
      </c>
      <c r="S1382" s="112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D1383" t="inlineStr"/>
      <c r="E1383" t="inlineStr">
        <is>
          <t>EQ</t>
        </is>
      </c>
      <c r="F1383" t="inlineStr"/>
      <c r="G1383" t="inlineStr"/>
      <c r="H1383" s="125" t="n">
        <v>46159</v>
      </c>
      <c r="I1383" t="inlineStr"/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N1383" t="inlineStr"/>
      <c r="O1383" t="inlineStr">
        <is>
          <t>TR464</t>
        </is>
      </c>
      <c r="P1383" t="inlineStr"/>
      <c r="Q1383" s="112" t="n">
        <v>0</v>
      </c>
      <c r="R1383" s="112" t="n">
        <v>65</v>
      </c>
      <c r="S1383" s="112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D1384" t="inlineStr"/>
      <c r="E1384" t="inlineStr">
        <is>
          <t>EQ</t>
        </is>
      </c>
      <c r="F1384" t="inlineStr"/>
      <c r="G1384" t="inlineStr"/>
      <c r="H1384" s="125" t="n">
        <v>46159</v>
      </c>
      <c r="I1384" t="inlineStr"/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N1384" t="inlineStr"/>
      <c r="O1384" t="inlineStr">
        <is>
          <t>TR464</t>
        </is>
      </c>
      <c r="P1384" t="inlineStr"/>
      <c r="Q1384" s="112" t="n">
        <v>0</v>
      </c>
      <c r="R1384" s="112" t="n">
        <v>65</v>
      </c>
      <c r="S1384" s="112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D1385" t="inlineStr"/>
      <c r="E1385" t="inlineStr">
        <is>
          <t>EQ</t>
        </is>
      </c>
      <c r="F1385" t="inlineStr"/>
      <c r="G1385" t="inlineStr"/>
      <c r="H1385" s="125" t="n">
        <v>46159</v>
      </c>
      <c r="I1385" t="inlineStr"/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N1385" t="inlineStr"/>
      <c r="O1385" t="inlineStr">
        <is>
          <t>TR464</t>
        </is>
      </c>
      <c r="P1385" t="inlineStr"/>
      <c r="Q1385" s="112" t="n">
        <v>0</v>
      </c>
      <c r="R1385" s="112" t="n">
        <v>65</v>
      </c>
      <c r="S1385" s="112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D1386" t="inlineStr"/>
      <c r="E1386" t="inlineStr">
        <is>
          <t>EQ</t>
        </is>
      </c>
      <c r="F1386" t="inlineStr"/>
      <c r="G1386" t="inlineStr"/>
      <c r="H1386" s="125" t="n">
        <v>46159</v>
      </c>
      <c r="I1386" t="inlineStr"/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N1386" t="inlineStr"/>
      <c r="O1386" t="inlineStr">
        <is>
          <t>TR464</t>
        </is>
      </c>
      <c r="P1386" t="inlineStr"/>
      <c r="Q1386" s="112" t="n">
        <v>0</v>
      </c>
      <c r="R1386" s="112" t="n">
        <v>65</v>
      </c>
      <c r="S1386" s="112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D1387" t="inlineStr"/>
      <c r="E1387" t="inlineStr">
        <is>
          <t>EQ</t>
        </is>
      </c>
      <c r="F1387" t="inlineStr"/>
      <c r="G1387" t="inlineStr"/>
      <c r="H1387" s="125" t="n">
        <v>46159</v>
      </c>
      <c r="I1387" t="inlineStr"/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N1387" t="inlineStr"/>
      <c r="O1387" t="inlineStr">
        <is>
          <t>TR456</t>
        </is>
      </c>
      <c r="P1387" t="inlineStr"/>
      <c r="Q1387" s="112" t="n">
        <v>0</v>
      </c>
      <c r="R1387" s="112" t="n">
        <v>65</v>
      </c>
      <c r="S1387" s="112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D1388" t="inlineStr"/>
      <c r="E1388" t="inlineStr">
        <is>
          <t>EQ</t>
        </is>
      </c>
      <c r="F1388" t="inlineStr"/>
      <c r="G1388" t="inlineStr"/>
      <c r="H1388" s="125" t="n">
        <v>46159</v>
      </c>
      <c r="I1388" t="inlineStr"/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N1388" t="inlineStr"/>
      <c r="O1388" t="inlineStr">
        <is>
          <t>TR456</t>
        </is>
      </c>
      <c r="P1388" t="inlineStr"/>
      <c r="Q1388" s="112" t="n">
        <v>0</v>
      </c>
      <c r="R1388" s="112" t="n">
        <v>65</v>
      </c>
      <c r="S1388" s="112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D1389" t="inlineStr"/>
      <c r="E1389" t="inlineStr">
        <is>
          <t>EQ</t>
        </is>
      </c>
      <c r="F1389" t="inlineStr"/>
      <c r="G1389" t="inlineStr"/>
      <c r="H1389" s="125" t="n">
        <v>46159</v>
      </c>
      <c r="I1389" t="inlineStr"/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N1389" t="inlineStr"/>
      <c r="O1389" t="inlineStr">
        <is>
          <t>TR456</t>
        </is>
      </c>
      <c r="P1389" t="inlineStr"/>
      <c r="Q1389" s="112" t="n">
        <v>0</v>
      </c>
      <c r="R1389" s="112" t="n">
        <v>65</v>
      </c>
      <c r="S1389" s="112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D1390" t="inlineStr"/>
      <c r="E1390" t="inlineStr">
        <is>
          <t>EQ</t>
        </is>
      </c>
      <c r="F1390" t="inlineStr"/>
      <c r="G1390" t="inlineStr"/>
      <c r="H1390" s="125" t="n">
        <v>46159</v>
      </c>
      <c r="I1390" t="inlineStr"/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N1390" t="inlineStr"/>
      <c r="O1390" t="inlineStr">
        <is>
          <t>TR456</t>
        </is>
      </c>
      <c r="P1390" t="inlineStr"/>
      <c r="Q1390" s="112" t="n">
        <v>0</v>
      </c>
      <c r="R1390" s="112" t="n">
        <v>65</v>
      </c>
      <c r="S1390" s="112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D1391" t="inlineStr"/>
      <c r="E1391" t="inlineStr">
        <is>
          <t>EQ</t>
        </is>
      </c>
      <c r="F1391" t="inlineStr"/>
      <c r="G1391" t="inlineStr"/>
      <c r="H1391" s="125" t="n">
        <v>46159</v>
      </c>
      <c r="I1391" t="inlineStr"/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N1391" t="inlineStr"/>
      <c r="O1391" t="inlineStr">
        <is>
          <t>TR456</t>
        </is>
      </c>
      <c r="P1391" t="inlineStr"/>
      <c r="Q1391" s="112" t="n">
        <v>0</v>
      </c>
      <c r="R1391" s="112" t="n">
        <v>65</v>
      </c>
      <c r="S1391" s="112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D1392" t="inlineStr"/>
      <c r="E1392" t="inlineStr">
        <is>
          <t>EQ</t>
        </is>
      </c>
      <c r="F1392" t="inlineStr"/>
      <c r="G1392" t="inlineStr"/>
      <c r="H1392" s="125" t="n">
        <v>46159</v>
      </c>
      <c r="I1392" t="inlineStr"/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N1392" t="inlineStr"/>
      <c r="O1392" t="inlineStr">
        <is>
          <t>TR456</t>
        </is>
      </c>
      <c r="P1392" t="inlineStr"/>
      <c r="Q1392" s="112" t="n">
        <v>0</v>
      </c>
      <c r="R1392" s="112" t="n">
        <v>65</v>
      </c>
      <c r="S1392" s="112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D1393" t="inlineStr"/>
      <c r="E1393" t="inlineStr">
        <is>
          <t>EQ</t>
        </is>
      </c>
      <c r="F1393" t="inlineStr"/>
      <c r="G1393" t="inlineStr"/>
      <c r="H1393" s="125" t="n">
        <v>46159</v>
      </c>
      <c r="I1393" t="inlineStr"/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N1393" t="inlineStr"/>
      <c r="O1393" t="inlineStr">
        <is>
          <t>WTL002</t>
        </is>
      </c>
      <c r="P1393" t="inlineStr"/>
      <c r="Q1393" s="112" t="n">
        <v>0</v>
      </c>
      <c r="R1393" s="112" t="n">
        <v>55</v>
      </c>
      <c r="S1393" s="112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D1394" t="inlineStr"/>
      <c r="E1394" t="inlineStr">
        <is>
          <t>EQ</t>
        </is>
      </c>
      <c r="F1394" t="inlineStr"/>
      <c r="G1394" t="inlineStr"/>
      <c r="H1394" s="125" t="n">
        <v>46159</v>
      </c>
      <c r="I1394" t="inlineStr"/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N1394" t="inlineStr"/>
      <c r="O1394" t="inlineStr">
        <is>
          <t>WTL002</t>
        </is>
      </c>
      <c r="P1394" t="inlineStr"/>
      <c r="Q1394" s="112" t="n">
        <v>0</v>
      </c>
      <c r="R1394" s="112" t="n">
        <v>55</v>
      </c>
      <c r="S1394" s="112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D1395" t="inlineStr"/>
      <c r="E1395" t="inlineStr">
        <is>
          <t>EQ</t>
        </is>
      </c>
      <c r="F1395" t="inlineStr"/>
      <c r="G1395" t="inlineStr"/>
      <c r="H1395" s="125" t="n">
        <v>46159</v>
      </c>
      <c r="I1395" t="inlineStr"/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N1395" t="inlineStr"/>
      <c r="O1395" t="inlineStr">
        <is>
          <t>WTL002</t>
        </is>
      </c>
      <c r="P1395" t="inlineStr"/>
      <c r="Q1395" s="112" t="n">
        <v>0</v>
      </c>
      <c r="R1395" s="112" t="n">
        <v>55</v>
      </c>
      <c r="S1395" s="112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D1396" t="inlineStr"/>
      <c r="E1396" t="inlineStr">
        <is>
          <t>EQ</t>
        </is>
      </c>
      <c r="F1396" t="inlineStr"/>
      <c r="G1396" t="inlineStr"/>
      <c r="H1396" s="125" t="n">
        <v>46159</v>
      </c>
      <c r="I1396" t="inlineStr"/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N1396" t="inlineStr"/>
      <c r="O1396" t="inlineStr">
        <is>
          <t>WTL002</t>
        </is>
      </c>
      <c r="P1396" t="inlineStr"/>
      <c r="Q1396" s="112" t="n">
        <v>0</v>
      </c>
      <c r="R1396" s="112" t="n">
        <v>55</v>
      </c>
      <c r="S1396" s="112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D1397" t="inlineStr"/>
      <c r="E1397" t="inlineStr">
        <is>
          <t>EQ</t>
        </is>
      </c>
      <c r="F1397" t="inlineStr"/>
      <c r="G1397" t="inlineStr"/>
      <c r="H1397" s="125" t="n">
        <v>46159</v>
      </c>
      <c r="I1397" t="inlineStr"/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N1397" t="inlineStr"/>
      <c r="O1397" t="inlineStr">
        <is>
          <t>WTL002</t>
        </is>
      </c>
      <c r="P1397" t="inlineStr"/>
      <c r="Q1397" s="112" t="n">
        <v>0</v>
      </c>
      <c r="R1397" s="112" t="n">
        <v>55</v>
      </c>
      <c r="S1397" s="112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D1398" t="inlineStr"/>
      <c r="E1398" t="inlineStr">
        <is>
          <t>EQ</t>
        </is>
      </c>
      <c r="F1398" t="inlineStr"/>
      <c r="G1398" t="inlineStr"/>
      <c r="H1398" s="125" t="n">
        <v>46159</v>
      </c>
      <c r="I1398" t="inlineStr"/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N1398" t="inlineStr"/>
      <c r="O1398" t="inlineStr">
        <is>
          <t>WTL002</t>
        </is>
      </c>
      <c r="P1398" t="inlineStr"/>
      <c r="Q1398" s="112" t="n">
        <v>0</v>
      </c>
      <c r="R1398" s="112" t="n">
        <v>55</v>
      </c>
      <c r="S1398" s="112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D1399" t="inlineStr"/>
      <c r="E1399" t="inlineStr">
        <is>
          <t>EQ</t>
        </is>
      </c>
      <c r="F1399" t="inlineStr"/>
      <c r="G1399" t="inlineStr"/>
      <c r="H1399" s="125" t="n">
        <v>46159</v>
      </c>
      <c r="I1399" t="inlineStr"/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N1399" t="inlineStr"/>
      <c r="O1399" t="inlineStr">
        <is>
          <t>WLD133</t>
        </is>
      </c>
      <c r="P1399" t="inlineStr"/>
      <c r="Q1399" s="112" t="n">
        <v>0</v>
      </c>
      <c r="R1399" s="112" t="n">
        <v>259.22</v>
      </c>
      <c r="S1399" s="112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D1400" t="inlineStr"/>
      <c r="E1400" t="inlineStr">
        <is>
          <t>EQ</t>
        </is>
      </c>
      <c r="F1400" t="inlineStr"/>
      <c r="G1400" t="inlineStr"/>
      <c r="H1400" s="125" t="n">
        <v>46159</v>
      </c>
      <c r="I1400" t="inlineStr"/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N1400" t="inlineStr"/>
      <c r="O1400" t="inlineStr">
        <is>
          <t>WLD133</t>
        </is>
      </c>
      <c r="P1400" t="inlineStr"/>
      <c r="Q1400" s="112" t="n">
        <v>0</v>
      </c>
      <c r="R1400" s="112" t="n">
        <v>259.22</v>
      </c>
      <c r="S1400" s="112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D1401" t="inlineStr"/>
      <c r="E1401" t="inlineStr">
        <is>
          <t>EQ</t>
        </is>
      </c>
      <c r="F1401" t="inlineStr"/>
      <c r="G1401" t="inlineStr"/>
      <c r="H1401" s="125" t="n">
        <v>46159</v>
      </c>
      <c r="I1401" t="inlineStr"/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N1401" t="inlineStr"/>
      <c r="O1401" t="inlineStr">
        <is>
          <t>WLD133</t>
        </is>
      </c>
      <c r="P1401" t="inlineStr"/>
      <c r="Q1401" s="112" t="n">
        <v>0</v>
      </c>
      <c r="R1401" s="112" t="n">
        <v>259.22</v>
      </c>
      <c r="S1401" s="112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D1402" t="inlineStr"/>
      <c r="E1402" t="inlineStr">
        <is>
          <t>EQ</t>
        </is>
      </c>
      <c r="F1402" t="inlineStr"/>
      <c r="G1402" t="inlineStr"/>
      <c r="H1402" s="125" t="n">
        <v>46159</v>
      </c>
      <c r="I1402" t="inlineStr"/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N1402" t="inlineStr"/>
      <c r="O1402" t="inlineStr">
        <is>
          <t>WLD133</t>
        </is>
      </c>
      <c r="P1402" t="inlineStr"/>
      <c r="Q1402" s="112" t="n">
        <v>0</v>
      </c>
      <c r="R1402" s="112" t="n">
        <v>259.22</v>
      </c>
      <c r="S1402" s="112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D1403" t="inlineStr"/>
      <c r="E1403" t="inlineStr">
        <is>
          <t>EQ</t>
        </is>
      </c>
      <c r="F1403" t="inlineStr"/>
      <c r="G1403" t="inlineStr"/>
      <c r="H1403" s="125" t="n">
        <v>46159</v>
      </c>
      <c r="I1403" t="inlineStr"/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N1403" t="inlineStr"/>
      <c r="O1403" t="inlineStr">
        <is>
          <t>WLD133</t>
        </is>
      </c>
      <c r="P1403" t="inlineStr"/>
      <c r="Q1403" s="112" t="n">
        <v>0</v>
      </c>
      <c r="R1403" s="112" t="n">
        <v>259.22</v>
      </c>
      <c r="S1403" s="112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D1404" t="inlineStr"/>
      <c r="E1404" t="inlineStr">
        <is>
          <t>EQ</t>
        </is>
      </c>
      <c r="F1404" t="inlineStr"/>
      <c r="G1404" t="inlineStr"/>
      <c r="H1404" s="125" t="n">
        <v>46159</v>
      </c>
      <c r="I1404" t="inlineStr"/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N1404" t="inlineStr"/>
      <c r="O1404" t="inlineStr">
        <is>
          <t>WLD133</t>
        </is>
      </c>
      <c r="P1404" t="inlineStr"/>
      <c r="Q1404" s="112" t="n">
        <v>0</v>
      </c>
      <c r="R1404" s="112" t="n">
        <v>259.22</v>
      </c>
      <c r="S1404" s="112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D1405" t="inlineStr"/>
      <c r="E1405" t="inlineStr">
        <is>
          <t>EQ</t>
        </is>
      </c>
      <c r="F1405" t="inlineStr"/>
      <c r="G1405" t="inlineStr"/>
      <c r="H1405" s="125" t="n">
        <v>46159</v>
      </c>
      <c r="I1405" t="inlineStr"/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N1405" t="inlineStr"/>
      <c r="O1405" t="inlineStr">
        <is>
          <t>RT1242</t>
        </is>
      </c>
      <c r="P1405" t="inlineStr"/>
      <c r="Q1405" s="112" t="n">
        <v>0</v>
      </c>
      <c r="R1405" s="112" t="n">
        <v>79.14</v>
      </c>
      <c r="S1405" s="112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D1406" t="inlineStr"/>
      <c r="E1406" t="inlineStr">
        <is>
          <t>EQ</t>
        </is>
      </c>
      <c r="F1406" t="inlineStr"/>
      <c r="G1406" t="inlineStr"/>
      <c r="H1406" s="125" t="n">
        <v>46159</v>
      </c>
      <c r="I1406" t="inlineStr"/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N1406" t="inlineStr"/>
      <c r="O1406" t="inlineStr">
        <is>
          <t>RT1242</t>
        </is>
      </c>
      <c r="P1406" t="inlineStr"/>
      <c r="Q1406" s="112" t="n">
        <v>0</v>
      </c>
      <c r="R1406" s="112" t="n">
        <v>79.14</v>
      </c>
      <c r="S1406" s="112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D1407" t="inlineStr"/>
      <c r="E1407" t="inlineStr">
        <is>
          <t>EQ</t>
        </is>
      </c>
      <c r="F1407" t="inlineStr"/>
      <c r="G1407" t="inlineStr"/>
      <c r="H1407" s="125" t="n">
        <v>46159</v>
      </c>
      <c r="I1407" t="inlineStr"/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N1407" t="inlineStr"/>
      <c r="O1407" t="inlineStr">
        <is>
          <t>RT1242</t>
        </is>
      </c>
      <c r="P1407" t="inlineStr"/>
      <c r="Q1407" s="112" t="n">
        <v>0</v>
      </c>
      <c r="R1407" s="112" t="n">
        <v>79.14</v>
      </c>
      <c r="S1407" s="112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D1408" t="inlineStr"/>
      <c r="E1408" t="inlineStr">
        <is>
          <t>EQ</t>
        </is>
      </c>
      <c r="F1408" t="inlineStr"/>
      <c r="G1408" t="inlineStr"/>
      <c r="H1408" s="125" t="n">
        <v>46159</v>
      </c>
      <c r="I1408" t="inlineStr"/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N1408" t="inlineStr"/>
      <c r="O1408" t="inlineStr">
        <is>
          <t>RT1242</t>
        </is>
      </c>
      <c r="P1408" t="inlineStr"/>
      <c r="Q1408" s="112" t="n">
        <v>0</v>
      </c>
      <c r="R1408" s="112" t="n">
        <v>79.14</v>
      </c>
      <c r="S1408" s="112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D1409" t="inlineStr"/>
      <c r="E1409" t="inlineStr">
        <is>
          <t>EQ</t>
        </is>
      </c>
      <c r="F1409" t="inlineStr"/>
      <c r="G1409" t="inlineStr"/>
      <c r="H1409" s="125" t="n">
        <v>46159</v>
      </c>
      <c r="I1409" t="inlineStr"/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N1409" t="inlineStr"/>
      <c r="O1409" t="inlineStr">
        <is>
          <t>TR436</t>
        </is>
      </c>
      <c r="P1409" t="inlineStr"/>
      <c r="Q1409" s="112" t="n">
        <v>0</v>
      </c>
      <c r="R1409" s="112" t="n">
        <v>65</v>
      </c>
      <c r="S1409" s="112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D1410" t="inlineStr"/>
      <c r="E1410" t="inlineStr">
        <is>
          <t>EQ</t>
        </is>
      </c>
      <c r="F1410" t="inlineStr"/>
      <c r="G1410" t="inlineStr"/>
      <c r="H1410" s="125" t="n">
        <v>46159</v>
      </c>
      <c r="I1410" t="inlineStr"/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N1410" t="inlineStr"/>
      <c r="O1410" t="inlineStr">
        <is>
          <t>TR436</t>
        </is>
      </c>
      <c r="P1410" t="inlineStr"/>
      <c r="Q1410" s="112" t="n">
        <v>0</v>
      </c>
      <c r="R1410" s="112" t="n">
        <v>65</v>
      </c>
      <c r="S1410" s="112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D1411" t="inlineStr"/>
      <c r="E1411" t="inlineStr">
        <is>
          <t>EQ</t>
        </is>
      </c>
      <c r="F1411" t="inlineStr"/>
      <c r="G1411" t="inlineStr"/>
      <c r="H1411" s="125" t="n">
        <v>46159</v>
      </c>
      <c r="I1411" t="inlineStr"/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N1411" t="inlineStr"/>
      <c r="O1411" t="inlineStr">
        <is>
          <t>TR436</t>
        </is>
      </c>
      <c r="P1411" t="inlineStr"/>
      <c r="Q1411" s="112" t="n">
        <v>0</v>
      </c>
      <c r="R1411" s="112" t="n">
        <v>65</v>
      </c>
      <c r="S1411" s="112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D1412" t="inlineStr"/>
      <c r="E1412" t="inlineStr">
        <is>
          <t>EQ</t>
        </is>
      </c>
      <c r="F1412" t="inlineStr"/>
      <c r="G1412" t="inlineStr"/>
      <c r="H1412" s="125" t="n">
        <v>46166</v>
      </c>
      <c r="I1412" t="inlineStr"/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N1412" t="inlineStr"/>
      <c r="O1412" t="inlineStr">
        <is>
          <t>TR436</t>
        </is>
      </c>
      <c r="P1412" t="inlineStr"/>
      <c r="Q1412" s="112" t="n">
        <v>0</v>
      </c>
      <c r="R1412" s="112" t="n">
        <v>65</v>
      </c>
      <c r="S1412" s="112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D1413" t="inlineStr"/>
      <c r="E1413" t="inlineStr">
        <is>
          <t>EQ</t>
        </is>
      </c>
      <c r="F1413" t="inlineStr"/>
      <c r="G1413" t="inlineStr"/>
      <c r="H1413" s="125" t="n">
        <v>46166</v>
      </c>
      <c r="I1413" t="inlineStr"/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N1413" t="inlineStr"/>
      <c r="O1413" t="inlineStr">
        <is>
          <t>TR436</t>
        </is>
      </c>
      <c r="P1413" t="inlineStr"/>
      <c r="Q1413" s="112" t="n">
        <v>0</v>
      </c>
      <c r="R1413" s="112" t="n">
        <v>65</v>
      </c>
      <c r="S1413" s="112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D1414" t="inlineStr"/>
      <c r="E1414" t="inlineStr">
        <is>
          <t>EQ</t>
        </is>
      </c>
      <c r="F1414" t="inlineStr"/>
      <c r="G1414" t="inlineStr"/>
      <c r="H1414" s="125" t="n">
        <v>46166</v>
      </c>
      <c r="I1414" t="inlineStr"/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N1414" t="inlineStr"/>
      <c r="O1414" t="inlineStr">
        <is>
          <t>TR436</t>
        </is>
      </c>
      <c r="P1414" t="inlineStr"/>
      <c r="Q1414" s="112" t="n">
        <v>0</v>
      </c>
      <c r="R1414" s="112" t="n">
        <v>65</v>
      </c>
      <c r="S1414" s="112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D1415" t="inlineStr"/>
      <c r="E1415" t="inlineStr">
        <is>
          <t>EQ</t>
        </is>
      </c>
      <c r="F1415" t="inlineStr"/>
      <c r="G1415" t="inlineStr"/>
      <c r="H1415" s="125" t="n">
        <v>46166</v>
      </c>
      <c r="I1415" t="inlineStr"/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N1415" t="inlineStr"/>
      <c r="O1415" t="inlineStr">
        <is>
          <t>TR436</t>
        </is>
      </c>
      <c r="P1415" t="inlineStr"/>
      <c r="Q1415" s="112" t="n">
        <v>0</v>
      </c>
      <c r="R1415" s="112" t="n">
        <v>65</v>
      </c>
      <c r="S1415" s="112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D1416" t="inlineStr"/>
      <c r="E1416" t="inlineStr">
        <is>
          <t>EQ</t>
        </is>
      </c>
      <c r="F1416" t="inlineStr"/>
      <c r="G1416" t="inlineStr"/>
      <c r="H1416" s="125" t="n">
        <v>46166</v>
      </c>
      <c r="I1416" t="inlineStr"/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N1416" t="inlineStr"/>
      <c r="O1416" t="inlineStr">
        <is>
          <t>TR436</t>
        </is>
      </c>
      <c r="P1416" t="inlineStr"/>
      <c r="Q1416" s="112" t="n">
        <v>0</v>
      </c>
      <c r="R1416" s="112" t="n">
        <v>65</v>
      </c>
      <c r="S1416" s="112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D1417" t="inlineStr"/>
      <c r="E1417" t="inlineStr">
        <is>
          <t>EQ</t>
        </is>
      </c>
      <c r="F1417" t="inlineStr"/>
      <c r="G1417" t="inlineStr"/>
      <c r="H1417" s="125" t="n">
        <v>46166</v>
      </c>
      <c r="I1417" t="inlineStr"/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N1417" t="inlineStr"/>
      <c r="O1417" t="inlineStr">
        <is>
          <t>TR436</t>
        </is>
      </c>
      <c r="P1417" t="inlineStr"/>
      <c r="Q1417" s="112" t="n">
        <v>0</v>
      </c>
      <c r="R1417" s="112" t="n">
        <v>65</v>
      </c>
      <c r="S1417" s="112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D1418" t="inlineStr"/>
      <c r="E1418" t="inlineStr">
        <is>
          <t>EQ</t>
        </is>
      </c>
      <c r="F1418" t="inlineStr"/>
      <c r="G1418" t="inlineStr"/>
      <c r="H1418" s="125" t="n">
        <v>46166</v>
      </c>
      <c r="I1418" t="inlineStr"/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N1418" t="inlineStr"/>
      <c r="O1418" t="inlineStr">
        <is>
          <t>TR419</t>
        </is>
      </c>
      <c r="P1418" t="inlineStr"/>
      <c r="Q1418" s="112" t="n">
        <v>0</v>
      </c>
      <c r="R1418" s="112" t="n">
        <v>65</v>
      </c>
      <c r="S1418" s="112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D1419" t="inlineStr"/>
      <c r="E1419" t="inlineStr">
        <is>
          <t>EQ</t>
        </is>
      </c>
      <c r="F1419" t="inlineStr"/>
      <c r="G1419" t="inlineStr"/>
      <c r="H1419" s="125" t="n">
        <v>46166</v>
      </c>
      <c r="I1419" t="inlineStr"/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N1419" t="inlineStr"/>
      <c r="O1419" t="inlineStr">
        <is>
          <t>TR419</t>
        </is>
      </c>
      <c r="P1419" t="inlineStr"/>
      <c r="Q1419" s="112" t="n">
        <v>0</v>
      </c>
      <c r="R1419" s="112" t="n">
        <v>65</v>
      </c>
      <c r="S1419" s="112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D1420" t="inlineStr"/>
      <c r="E1420" t="inlineStr">
        <is>
          <t>EQ</t>
        </is>
      </c>
      <c r="F1420" t="inlineStr"/>
      <c r="G1420" t="inlineStr"/>
      <c r="H1420" s="125" t="n">
        <v>46166</v>
      </c>
      <c r="I1420" t="inlineStr"/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N1420" t="inlineStr"/>
      <c r="O1420" t="inlineStr">
        <is>
          <t>TR419</t>
        </is>
      </c>
      <c r="P1420" t="inlineStr"/>
      <c r="Q1420" s="112" t="n">
        <v>0</v>
      </c>
      <c r="R1420" s="112" t="n">
        <v>65</v>
      </c>
      <c r="S1420" s="112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D1421" t="inlineStr"/>
      <c r="E1421" t="inlineStr">
        <is>
          <t>EQ</t>
        </is>
      </c>
      <c r="F1421" t="inlineStr"/>
      <c r="G1421" t="inlineStr"/>
      <c r="H1421" s="125" t="n">
        <v>46166</v>
      </c>
      <c r="I1421" t="inlineStr"/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N1421" t="inlineStr"/>
      <c r="O1421" t="inlineStr">
        <is>
          <t>TR419</t>
        </is>
      </c>
      <c r="P1421" t="inlineStr"/>
      <c r="Q1421" s="112" t="n">
        <v>0</v>
      </c>
      <c r="R1421" s="112" t="n">
        <v>65</v>
      </c>
      <c r="S1421" s="112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D1422" t="inlineStr"/>
      <c r="E1422" t="inlineStr">
        <is>
          <t>EQ</t>
        </is>
      </c>
      <c r="F1422" t="inlineStr"/>
      <c r="G1422" t="inlineStr"/>
      <c r="H1422" s="125" t="n">
        <v>46166</v>
      </c>
      <c r="I1422" t="inlineStr"/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N1422" t="inlineStr"/>
      <c r="O1422" t="inlineStr">
        <is>
          <t>TR419</t>
        </is>
      </c>
      <c r="P1422" t="inlineStr"/>
      <c r="Q1422" s="112" t="n">
        <v>0</v>
      </c>
      <c r="R1422" s="112" t="n">
        <v>65</v>
      </c>
      <c r="S1422" s="112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D1423" t="inlineStr"/>
      <c r="E1423" t="inlineStr">
        <is>
          <t>EQ</t>
        </is>
      </c>
      <c r="F1423" t="inlineStr"/>
      <c r="G1423" t="inlineStr"/>
      <c r="H1423" s="125" t="n">
        <v>46166</v>
      </c>
      <c r="I1423" t="inlineStr"/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N1423" t="inlineStr"/>
      <c r="O1423" t="inlineStr">
        <is>
          <t>TR419</t>
        </is>
      </c>
      <c r="P1423" t="inlineStr"/>
      <c r="Q1423" s="112" t="n">
        <v>0</v>
      </c>
      <c r="R1423" s="112" t="n">
        <v>65</v>
      </c>
      <c r="S1423" s="112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D1424" t="inlineStr"/>
      <c r="E1424" t="inlineStr">
        <is>
          <t>EQ</t>
        </is>
      </c>
      <c r="F1424" t="inlineStr"/>
      <c r="G1424" t="inlineStr"/>
      <c r="H1424" s="125" t="n">
        <v>46166</v>
      </c>
      <c r="I1424" t="inlineStr"/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N1424" t="inlineStr"/>
      <c r="O1424" t="inlineStr">
        <is>
          <t>RT1344</t>
        </is>
      </c>
      <c r="P1424" t="inlineStr"/>
      <c r="Q1424" s="112" t="n">
        <v>0</v>
      </c>
      <c r="R1424" s="112" t="n">
        <v>79.14</v>
      </c>
      <c r="S1424" s="112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D1425" t="inlineStr"/>
      <c r="E1425" t="inlineStr">
        <is>
          <t>EQ</t>
        </is>
      </c>
      <c r="F1425" t="inlineStr"/>
      <c r="G1425" t="inlineStr"/>
      <c r="H1425" s="125" t="n">
        <v>46166</v>
      </c>
      <c r="I1425" t="inlineStr"/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N1425" t="inlineStr"/>
      <c r="O1425" t="inlineStr">
        <is>
          <t>RT1344</t>
        </is>
      </c>
      <c r="P1425" t="inlineStr"/>
      <c r="Q1425" s="112" t="n">
        <v>0</v>
      </c>
      <c r="R1425" s="112" t="n">
        <v>79.14</v>
      </c>
      <c r="S1425" s="112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D1426" t="inlineStr"/>
      <c r="E1426" t="inlineStr">
        <is>
          <t>EQ</t>
        </is>
      </c>
      <c r="F1426" t="inlineStr"/>
      <c r="G1426" t="inlineStr"/>
      <c r="H1426" s="125" t="n">
        <v>46166</v>
      </c>
      <c r="I1426" t="inlineStr"/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N1426" t="inlineStr"/>
      <c r="O1426" t="inlineStr">
        <is>
          <t>RT1344</t>
        </is>
      </c>
      <c r="P1426" t="inlineStr"/>
      <c r="Q1426" s="112" t="n">
        <v>0</v>
      </c>
      <c r="R1426" s="112" t="n">
        <v>79.14</v>
      </c>
      <c r="S1426" s="112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D1427" t="inlineStr"/>
      <c r="E1427" t="inlineStr">
        <is>
          <t>EQ</t>
        </is>
      </c>
      <c r="F1427" t="inlineStr"/>
      <c r="G1427" t="inlineStr"/>
      <c r="H1427" s="125" t="n">
        <v>46166</v>
      </c>
      <c r="I1427" t="inlineStr"/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N1427" t="inlineStr"/>
      <c r="O1427" t="inlineStr">
        <is>
          <t>RT1344</t>
        </is>
      </c>
      <c r="P1427" t="inlineStr"/>
      <c r="Q1427" s="112" t="n">
        <v>0</v>
      </c>
      <c r="R1427" s="112" t="n">
        <v>79.14</v>
      </c>
      <c r="S1427" s="112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D1428" t="inlineStr"/>
      <c r="E1428" t="inlineStr">
        <is>
          <t>EQ</t>
        </is>
      </c>
      <c r="F1428" t="inlineStr"/>
      <c r="G1428" t="inlineStr"/>
      <c r="H1428" s="125" t="n">
        <v>46166</v>
      </c>
      <c r="I1428" t="inlineStr"/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N1428" t="inlineStr"/>
      <c r="O1428" t="inlineStr">
        <is>
          <t>RT1344</t>
        </is>
      </c>
      <c r="P1428" t="inlineStr"/>
      <c r="Q1428" s="112" t="n">
        <v>0</v>
      </c>
      <c r="R1428" s="112" t="n">
        <v>79.14</v>
      </c>
      <c r="S1428" s="112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D1429" t="inlineStr"/>
      <c r="E1429" t="inlineStr">
        <is>
          <t>EQ</t>
        </is>
      </c>
      <c r="F1429" t="inlineStr"/>
      <c r="G1429" t="inlineStr"/>
      <c r="H1429" s="125" t="n">
        <v>46166</v>
      </c>
      <c r="I1429" t="inlineStr"/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N1429" t="inlineStr"/>
      <c r="O1429" t="inlineStr">
        <is>
          <t>TR260</t>
        </is>
      </c>
      <c r="P1429" t="inlineStr"/>
      <c r="Q1429" s="112" t="n">
        <v>0</v>
      </c>
      <c r="R1429" s="112" t="n">
        <v>75</v>
      </c>
      <c r="S1429" s="112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D1430" t="inlineStr"/>
      <c r="E1430" t="inlineStr">
        <is>
          <t>EQ</t>
        </is>
      </c>
      <c r="F1430" t="inlineStr"/>
      <c r="G1430" t="inlineStr"/>
      <c r="H1430" s="125" t="n">
        <v>46166</v>
      </c>
      <c r="I1430" t="inlineStr"/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N1430" t="inlineStr"/>
      <c r="O1430" t="inlineStr">
        <is>
          <t>TR260</t>
        </is>
      </c>
      <c r="P1430" t="inlineStr"/>
      <c r="Q1430" s="112" t="n">
        <v>0</v>
      </c>
      <c r="R1430" s="112" t="n">
        <v>75</v>
      </c>
      <c r="S1430" s="112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D1431" t="inlineStr"/>
      <c r="E1431" t="inlineStr">
        <is>
          <t>EQ</t>
        </is>
      </c>
      <c r="F1431" t="inlineStr"/>
      <c r="G1431" t="inlineStr"/>
      <c r="H1431" s="125" t="n">
        <v>46166</v>
      </c>
      <c r="I1431" t="inlineStr"/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N1431" t="inlineStr"/>
      <c r="O1431" t="inlineStr">
        <is>
          <t>TR260</t>
        </is>
      </c>
      <c r="P1431" t="inlineStr"/>
      <c r="Q1431" s="112" t="n">
        <v>0</v>
      </c>
      <c r="R1431" s="112" t="n">
        <v>75</v>
      </c>
      <c r="S1431" s="112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D1432" t="inlineStr"/>
      <c r="E1432" t="inlineStr">
        <is>
          <t>EQ</t>
        </is>
      </c>
      <c r="F1432" t="inlineStr"/>
      <c r="G1432" t="inlineStr"/>
      <c r="H1432" s="125" t="n">
        <v>46166</v>
      </c>
      <c r="I1432" t="inlineStr"/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N1432" t="inlineStr"/>
      <c r="O1432" t="inlineStr">
        <is>
          <t>TR260</t>
        </is>
      </c>
      <c r="P1432" t="inlineStr"/>
      <c r="Q1432" s="112" t="n">
        <v>0</v>
      </c>
      <c r="R1432" s="112" t="n">
        <v>75</v>
      </c>
      <c r="S1432" s="112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D1433" t="inlineStr"/>
      <c r="E1433" t="inlineStr">
        <is>
          <t>EQ</t>
        </is>
      </c>
      <c r="F1433" t="inlineStr"/>
      <c r="G1433" t="inlineStr"/>
      <c r="H1433" s="125" t="n">
        <v>46166</v>
      </c>
      <c r="I1433" t="inlineStr"/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N1433" t="inlineStr"/>
      <c r="O1433" t="inlineStr">
        <is>
          <t>TR260</t>
        </is>
      </c>
      <c r="P1433" t="inlineStr"/>
      <c r="Q1433" s="112" t="n">
        <v>0</v>
      </c>
      <c r="R1433" s="112" t="n">
        <v>75</v>
      </c>
      <c r="S1433" s="112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D1434" t="inlineStr"/>
      <c r="E1434" t="inlineStr">
        <is>
          <t>EQ</t>
        </is>
      </c>
      <c r="F1434" t="inlineStr"/>
      <c r="G1434" t="inlineStr"/>
      <c r="H1434" s="125" t="n">
        <v>46166</v>
      </c>
      <c r="I1434" t="inlineStr"/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N1434" t="inlineStr"/>
      <c r="O1434" t="inlineStr">
        <is>
          <t>TR260</t>
        </is>
      </c>
      <c r="P1434" t="inlineStr"/>
      <c r="Q1434" s="112" t="n">
        <v>0</v>
      </c>
      <c r="R1434" s="112" t="n">
        <v>75</v>
      </c>
      <c r="S1434" s="112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D1435" t="inlineStr"/>
      <c r="E1435" t="inlineStr">
        <is>
          <t>EQ</t>
        </is>
      </c>
      <c r="F1435" t="inlineStr"/>
      <c r="G1435" t="inlineStr"/>
      <c r="H1435" s="125" t="n">
        <v>46166</v>
      </c>
      <c r="I1435" t="inlineStr"/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N1435" t="inlineStr"/>
      <c r="O1435" t="inlineStr">
        <is>
          <t>TR154</t>
        </is>
      </c>
      <c r="P1435" t="inlineStr"/>
      <c r="Q1435" s="112" t="n">
        <v>0</v>
      </c>
      <c r="R1435" s="112" t="n">
        <v>15</v>
      </c>
      <c r="S1435" s="112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D1436" t="inlineStr"/>
      <c r="E1436" t="inlineStr">
        <is>
          <t>EQ</t>
        </is>
      </c>
      <c r="F1436" t="inlineStr"/>
      <c r="G1436" t="inlineStr"/>
      <c r="H1436" s="125" t="n">
        <v>46166</v>
      </c>
      <c r="I1436" t="inlineStr"/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N1436" t="inlineStr"/>
      <c r="O1436" t="inlineStr">
        <is>
          <t>TR154</t>
        </is>
      </c>
      <c r="P1436" t="inlineStr"/>
      <c r="Q1436" s="112" t="n">
        <v>0</v>
      </c>
      <c r="R1436" s="112" t="n">
        <v>15</v>
      </c>
      <c r="S1436" s="112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D1437" t="inlineStr"/>
      <c r="E1437" t="inlineStr">
        <is>
          <t>EQ</t>
        </is>
      </c>
      <c r="F1437" t="inlineStr"/>
      <c r="G1437" t="inlineStr"/>
      <c r="H1437" s="125" t="n">
        <v>46166</v>
      </c>
      <c r="I1437" t="inlineStr"/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N1437" t="inlineStr"/>
      <c r="O1437" t="inlineStr">
        <is>
          <t>TR154</t>
        </is>
      </c>
      <c r="P1437" t="inlineStr"/>
      <c r="Q1437" s="112" t="n">
        <v>0</v>
      </c>
      <c r="R1437" s="112" t="n">
        <v>15</v>
      </c>
      <c r="S1437" s="112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D1438" t="inlineStr"/>
      <c r="E1438" t="inlineStr">
        <is>
          <t>EQ</t>
        </is>
      </c>
      <c r="F1438" t="inlineStr"/>
      <c r="G1438" t="inlineStr"/>
      <c r="H1438" s="125" t="n">
        <v>46166</v>
      </c>
      <c r="I1438" t="inlineStr"/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N1438" t="inlineStr"/>
      <c r="O1438" t="inlineStr">
        <is>
          <t>TR280</t>
        </is>
      </c>
      <c r="P1438" t="inlineStr"/>
      <c r="Q1438" s="112" t="n">
        <v>0</v>
      </c>
      <c r="R1438" s="112" t="n">
        <v>15</v>
      </c>
      <c r="S1438" s="112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D1439" t="inlineStr"/>
      <c r="E1439" t="inlineStr">
        <is>
          <t>EQ</t>
        </is>
      </c>
      <c r="F1439" t="inlineStr"/>
      <c r="G1439" t="inlineStr"/>
      <c r="H1439" s="125" t="n">
        <v>46166</v>
      </c>
      <c r="I1439" t="inlineStr"/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N1439" t="inlineStr"/>
      <c r="O1439" t="inlineStr">
        <is>
          <t>TR280</t>
        </is>
      </c>
      <c r="P1439" t="inlineStr"/>
      <c r="Q1439" s="112" t="n">
        <v>0</v>
      </c>
      <c r="R1439" s="112" t="n">
        <v>15</v>
      </c>
      <c r="S1439" s="112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D1440" t="inlineStr"/>
      <c r="E1440" t="inlineStr">
        <is>
          <t>EQ</t>
        </is>
      </c>
      <c r="F1440" t="inlineStr"/>
      <c r="G1440" t="inlineStr"/>
      <c r="H1440" s="125" t="n">
        <v>46166</v>
      </c>
      <c r="I1440" t="inlineStr"/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N1440" t="inlineStr"/>
      <c r="O1440" t="inlineStr">
        <is>
          <t>TR280</t>
        </is>
      </c>
      <c r="P1440" t="inlineStr"/>
      <c r="Q1440" s="112" t="n">
        <v>0</v>
      </c>
      <c r="R1440" s="112" t="n">
        <v>15</v>
      </c>
      <c r="S1440" s="112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D1441" t="inlineStr"/>
      <c r="E1441" t="inlineStr">
        <is>
          <t>EQ</t>
        </is>
      </c>
      <c r="F1441" t="inlineStr"/>
      <c r="G1441" t="inlineStr"/>
      <c r="H1441" s="125" t="n">
        <v>46166</v>
      </c>
      <c r="I1441" t="inlineStr"/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N1441" t="inlineStr"/>
      <c r="O1441" t="inlineStr">
        <is>
          <t>TR280</t>
        </is>
      </c>
      <c r="P1441" t="inlineStr"/>
      <c r="Q1441" s="112" t="n">
        <v>0</v>
      </c>
      <c r="R1441" s="112" t="n">
        <v>15</v>
      </c>
      <c r="S1441" s="112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D1442" t="inlineStr"/>
      <c r="E1442" t="inlineStr">
        <is>
          <t>EQ</t>
        </is>
      </c>
      <c r="F1442" t="inlineStr"/>
      <c r="G1442" t="inlineStr"/>
      <c r="H1442" s="125" t="n">
        <v>46166</v>
      </c>
      <c r="I1442" t="inlineStr"/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N1442" t="inlineStr"/>
      <c r="O1442" t="inlineStr">
        <is>
          <t>TR280</t>
        </is>
      </c>
      <c r="P1442" t="inlineStr"/>
      <c r="Q1442" s="112" t="n">
        <v>0</v>
      </c>
      <c r="R1442" s="112" t="n">
        <v>15</v>
      </c>
      <c r="S1442" s="112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D1443" t="inlineStr"/>
      <c r="E1443" t="inlineStr">
        <is>
          <t>EQ</t>
        </is>
      </c>
      <c r="F1443" t="inlineStr"/>
      <c r="G1443" t="inlineStr"/>
      <c r="H1443" s="125" t="n">
        <v>46166</v>
      </c>
      <c r="I1443" t="inlineStr"/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N1443" t="inlineStr"/>
      <c r="O1443" t="inlineStr">
        <is>
          <t>TR280</t>
        </is>
      </c>
      <c r="P1443" t="inlineStr"/>
      <c r="Q1443" s="112" t="n">
        <v>0</v>
      </c>
      <c r="R1443" s="112" t="n">
        <v>15</v>
      </c>
      <c r="S1443" s="112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D1444" t="inlineStr"/>
      <c r="E1444" t="inlineStr">
        <is>
          <t>EQ</t>
        </is>
      </c>
      <c r="F1444" t="inlineStr"/>
      <c r="G1444" t="inlineStr"/>
      <c r="H1444" s="125" t="n">
        <v>46166</v>
      </c>
      <c r="I1444" t="inlineStr"/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N1444" t="inlineStr"/>
      <c r="O1444" t="inlineStr">
        <is>
          <t>WHV001</t>
        </is>
      </c>
      <c r="P1444" t="inlineStr"/>
      <c r="Q1444" s="112" t="n">
        <v>0</v>
      </c>
      <c r="R1444" s="112" t="n">
        <v>250</v>
      </c>
      <c r="S1444" s="112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D1445" t="inlineStr"/>
      <c r="E1445" t="inlineStr">
        <is>
          <t>EQ</t>
        </is>
      </c>
      <c r="F1445" t="inlineStr"/>
      <c r="G1445" t="inlineStr"/>
      <c r="H1445" s="125" t="n">
        <v>46166</v>
      </c>
      <c r="I1445" t="inlineStr"/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N1445" t="inlineStr"/>
      <c r="O1445" t="inlineStr">
        <is>
          <t>WHV001</t>
        </is>
      </c>
      <c r="P1445" t="inlineStr"/>
      <c r="Q1445" s="112" t="n">
        <v>0</v>
      </c>
      <c r="R1445" s="112" t="n">
        <v>250</v>
      </c>
      <c r="S1445" s="112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D1446" t="inlineStr"/>
      <c r="E1446" t="inlineStr">
        <is>
          <t>EQ</t>
        </is>
      </c>
      <c r="F1446" t="inlineStr"/>
      <c r="G1446" t="inlineStr"/>
      <c r="H1446" s="125" t="n">
        <v>46166</v>
      </c>
      <c r="I1446" t="inlineStr"/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N1446" t="inlineStr"/>
      <c r="O1446" t="inlineStr">
        <is>
          <t>WHV001</t>
        </is>
      </c>
      <c r="P1446" t="inlineStr"/>
      <c r="Q1446" s="112" t="n">
        <v>0</v>
      </c>
      <c r="R1446" s="112" t="n">
        <v>250</v>
      </c>
      <c r="S1446" s="112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D1447" t="inlineStr"/>
      <c r="E1447" t="inlineStr">
        <is>
          <t>EQ</t>
        </is>
      </c>
      <c r="F1447" t="inlineStr"/>
      <c r="G1447" t="inlineStr"/>
      <c r="H1447" s="125" t="n">
        <v>46166</v>
      </c>
      <c r="I1447" t="inlineStr"/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N1447" t="inlineStr"/>
      <c r="O1447" t="inlineStr">
        <is>
          <t>WHV001</t>
        </is>
      </c>
      <c r="P1447" t="inlineStr"/>
      <c r="Q1447" s="112" t="n">
        <v>0</v>
      </c>
      <c r="R1447" s="112" t="n">
        <v>250</v>
      </c>
      <c r="S1447" s="112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D1448" t="inlineStr"/>
      <c r="E1448" t="inlineStr">
        <is>
          <t>EQ</t>
        </is>
      </c>
      <c r="F1448" t="inlineStr"/>
      <c r="G1448" t="inlineStr"/>
      <c r="H1448" s="125" t="n">
        <v>46166</v>
      </c>
      <c r="I1448" t="inlineStr"/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N1448" t="inlineStr"/>
      <c r="O1448" t="inlineStr">
        <is>
          <t>WHV001</t>
        </is>
      </c>
      <c r="P1448" t="inlineStr"/>
      <c r="Q1448" s="112" t="n">
        <v>0</v>
      </c>
      <c r="R1448" s="112" t="n">
        <v>250</v>
      </c>
      <c r="S1448" s="112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D1449" t="inlineStr"/>
      <c r="E1449" t="inlineStr">
        <is>
          <t>EQ</t>
        </is>
      </c>
      <c r="F1449" t="inlineStr"/>
      <c r="G1449" t="inlineStr"/>
      <c r="H1449" s="125" t="n">
        <v>46166</v>
      </c>
      <c r="I1449" t="inlineStr"/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N1449" t="inlineStr"/>
      <c r="O1449" t="inlineStr">
        <is>
          <t>WHV001</t>
        </is>
      </c>
      <c r="P1449" t="inlineStr"/>
      <c r="Q1449" s="112" t="n">
        <v>0</v>
      </c>
      <c r="R1449" s="112" t="n">
        <v>250</v>
      </c>
      <c r="S1449" s="112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D1450" t="inlineStr"/>
      <c r="E1450" t="inlineStr">
        <is>
          <t>EQ</t>
        </is>
      </c>
      <c r="F1450" t="inlineStr"/>
      <c r="G1450" t="inlineStr"/>
      <c r="H1450" s="125" t="n">
        <v>46166</v>
      </c>
      <c r="I1450" t="inlineStr"/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N1450" t="inlineStr"/>
      <c r="O1450" t="inlineStr">
        <is>
          <t>TR473</t>
        </is>
      </c>
      <c r="P1450" t="inlineStr"/>
      <c r="Q1450" s="112" t="n">
        <v>0</v>
      </c>
      <c r="R1450" s="112" t="n">
        <v>0</v>
      </c>
      <c r="S1450" s="112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D1451" t="inlineStr"/>
      <c r="E1451" t="inlineStr">
        <is>
          <t>EQ</t>
        </is>
      </c>
      <c r="F1451" t="inlineStr"/>
      <c r="G1451" t="inlineStr"/>
      <c r="H1451" s="125" t="n">
        <v>46166</v>
      </c>
      <c r="I1451" t="inlineStr"/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N1451" t="inlineStr"/>
      <c r="O1451" t="inlineStr">
        <is>
          <t>TR473</t>
        </is>
      </c>
      <c r="P1451" t="inlineStr"/>
      <c r="Q1451" s="112" t="n">
        <v>0</v>
      </c>
      <c r="R1451" s="112" t="n">
        <v>0</v>
      </c>
      <c r="S1451" s="112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D1452" t="inlineStr"/>
      <c r="E1452" t="inlineStr">
        <is>
          <t>EQ</t>
        </is>
      </c>
      <c r="F1452" t="inlineStr"/>
      <c r="G1452" t="inlineStr"/>
      <c r="H1452" s="125" t="n">
        <v>46166</v>
      </c>
      <c r="I1452" t="inlineStr"/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N1452" t="inlineStr"/>
      <c r="O1452" t="inlineStr">
        <is>
          <t>TR473</t>
        </is>
      </c>
      <c r="P1452" t="inlineStr"/>
      <c r="Q1452" s="112" t="n">
        <v>0</v>
      </c>
      <c r="R1452" s="112" t="n">
        <v>0</v>
      </c>
      <c r="S1452" s="112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D1453" t="inlineStr"/>
      <c r="E1453" t="inlineStr">
        <is>
          <t>EQ</t>
        </is>
      </c>
      <c r="F1453" t="inlineStr"/>
      <c r="G1453" t="inlineStr"/>
      <c r="H1453" s="125" t="n">
        <v>46166</v>
      </c>
      <c r="I1453" t="inlineStr"/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N1453" t="inlineStr"/>
      <c r="O1453" t="inlineStr">
        <is>
          <t>TR473</t>
        </is>
      </c>
      <c r="P1453" t="inlineStr"/>
      <c r="Q1453" s="112" t="n">
        <v>0</v>
      </c>
      <c r="R1453" s="112" t="n">
        <v>0</v>
      </c>
      <c r="S1453" s="112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D1454" t="inlineStr"/>
      <c r="E1454" t="inlineStr">
        <is>
          <t>EQ</t>
        </is>
      </c>
      <c r="F1454" t="inlineStr"/>
      <c r="G1454" t="inlineStr"/>
      <c r="H1454" s="125" t="n">
        <v>46166</v>
      </c>
      <c r="I1454" t="inlineStr"/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N1454" t="inlineStr"/>
      <c r="O1454" t="inlineStr">
        <is>
          <t>TR473</t>
        </is>
      </c>
      <c r="P1454" t="inlineStr"/>
      <c r="Q1454" s="112" t="n">
        <v>0</v>
      </c>
      <c r="R1454" s="112" t="n">
        <v>0</v>
      </c>
      <c r="S1454" s="112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D1455" t="inlineStr"/>
      <c r="E1455" t="inlineStr">
        <is>
          <t>EQ</t>
        </is>
      </c>
      <c r="F1455" t="inlineStr"/>
      <c r="G1455" t="inlineStr"/>
      <c r="H1455" s="125" t="n">
        <v>46166</v>
      </c>
      <c r="I1455" t="inlineStr"/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N1455" t="inlineStr"/>
      <c r="O1455" t="inlineStr">
        <is>
          <t>TR473</t>
        </is>
      </c>
      <c r="P1455" t="inlineStr"/>
      <c r="Q1455" s="112" t="n">
        <v>0</v>
      </c>
      <c r="R1455" s="112" t="n">
        <v>0</v>
      </c>
      <c r="S1455" s="112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D1456" t="inlineStr"/>
      <c r="E1456" t="inlineStr">
        <is>
          <t>EQ</t>
        </is>
      </c>
      <c r="F1456" t="inlineStr"/>
      <c r="G1456" t="inlineStr"/>
      <c r="H1456" s="125" t="n">
        <v>46166</v>
      </c>
      <c r="I1456" t="inlineStr"/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N1456" t="inlineStr"/>
      <c r="O1456" t="inlineStr">
        <is>
          <t>TR461</t>
        </is>
      </c>
      <c r="P1456" t="inlineStr"/>
      <c r="Q1456" s="112" t="n">
        <v>0</v>
      </c>
      <c r="R1456" s="112" t="n">
        <v>65</v>
      </c>
      <c r="S1456" s="112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D1457" t="inlineStr"/>
      <c r="E1457" t="inlineStr">
        <is>
          <t>EQ</t>
        </is>
      </c>
      <c r="F1457" t="inlineStr"/>
      <c r="G1457" t="inlineStr"/>
      <c r="H1457" s="125" t="n">
        <v>46166</v>
      </c>
      <c r="I1457" t="inlineStr"/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N1457" t="inlineStr"/>
      <c r="O1457" t="inlineStr">
        <is>
          <t>TR461</t>
        </is>
      </c>
      <c r="P1457" t="inlineStr"/>
      <c r="Q1457" s="112" t="n">
        <v>0</v>
      </c>
      <c r="R1457" s="112" t="n">
        <v>65</v>
      </c>
      <c r="S1457" s="112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D1458" t="inlineStr"/>
      <c r="E1458" t="inlineStr">
        <is>
          <t>EQ</t>
        </is>
      </c>
      <c r="F1458" t="inlineStr"/>
      <c r="G1458" t="inlineStr"/>
      <c r="H1458" s="125" t="n">
        <v>46166</v>
      </c>
      <c r="I1458" t="inlineStr"/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N1458" t="inlineStr"/>
      <c r="O1458" t="inlineStr">
        <is>
          <t>TR461</t>
        </is>
      </c>
      <c r="P1458" t="inlineStr"/>
      <c r="Q1458" s="112" t="n">
        <v>0</v>
      </c>
      <c r="R1458" s="112" t="n">
        <v>65</v>
      </c>
      <c r="S1458" s="112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D1459" t="inlineStr"/>
      <c r="E1459" t="inlineStr">
        <is>
          <t>EQ</t>
        </is>
      </c>
      <c r="F1459" t="inlineStr"/>
      <c r="G1459" t="inlineStr"/>
      <c r="H1459" s="125" t="n">
        <v>46166</v>
      </c>
      <c r="I1459" t="inlineStr"/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N1459" t="inlineStr"/>
      <c r="O1459" t="inlineStr">
        <is>
          <t>TR461</t>
        </is>
      </c>
      <c r="P1459" t="inlineStr"/>
      <c r="Q1459" s="112" t="n">
        <v>0</v>
      </c>
      <c r="R1459" s="112" t="n">
        <v>65</v>
      </c>
      <c r="S1459" s="112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D1460" t="inlineStr"/>
      <c r="E1460" t="inlineStr">
        <is>
          <t>EQ</t>
        </is>
      </c>
      <c r="F1460" t="inlineStr"/>
      <c r="G1460" t="inlineStr"/>
      <c r="H1460" s="125" t="n">
        <v>46166</v>
      </c>
      <c r="I1460" t="inlineStr"/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N1460" t="inlineStr"/>
      <c r="O1460" t="inlineStr">
        <is>
          <t>TR461</t>
        </is>
      </c>
      <c r="P1460" t="inlineStr"/>
      <c r="Q1460" s="112" t="n">
        <v>0</v>
      </c>
      <c r="R1460" s="112" t="n">
        <v>65</v>
      </c>
      <c r="S1460" s="112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D1461" t="inlineStr"/>
      <c r="E1461" t="inlineStr">
        <is>
          <t>EQ</t>
        </is>
      </c>
      <c r="F1461" t="inlineStr"/>
      <c r="G1461" t="inlineStr"/>
      <c r="H1461" s="125" t="n">
        <v>46166</v>
      </c>
      <c r="I1461" t="inlineStr"/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N1461" t="inlineStr"/>
      <c r="O1461" t="inlineStr">
        <is>
          <t>TR461</t>
        </is>
      </c>
      <c r="P1461" t="inlineStr"/>
      <c r="Q1461" s="112" t="n">
        <v>0</v>
      </c>
      <c r="R1461" s="112" t="n">
        <v>65</v>
      </c>
      <c r="S1461" s="112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D1462" t="inlineStr"/>
      <c r="E1462" t="inlineStr">
        <is>
          <t>EQ</t>
        </is>
      </c>
      <c r="F1462" t="inlineStr"/>
      <c r="G1462" t="inlineStr"/>
      <c r="H1462" s="125" t="n">
        <v>46166</v>
      </c>
      <c r="I1462" t="inlineStr"/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N1462" t="inlineStr"/>
      <c r="O1462" t="inlineStr">
        <is>
          <t>TR462</t>
        </is>
      </c>
      <c r="P1462" t="inlineStr"/>
      <c r="Q1462" s="112" t="n">
        <v>0</v>
      </c>
      <c r="R1462" s="112" t="n">
        <v>65</v>
      </c>
      <c r="S1462" s="112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D1463" t="inlineStr"/>
      <c r="E1463" t="inlineStr">
        <is>
          <t>EQ</t>
        </is>
      </c>
      <c r="F1463" t="inlineStr"/>
      <c r="G1463" t="inlineStr"/>
      <c r="H1463" s="125" t="n">
        <v>46166</v>
      </c>
      <c r="I1463" t="inlineStr"/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N1463" t="inlineStr"/>
      <c r="O1463" t="inlineStr">
        <is>
          <t>TR462</t>
        </is>
      </c>
      <c r="P1463" t="inlineStr"/>
      <c r="Q1463" s="112" t="n">
        <v>0</v>
      </c>
      <c r="R1463" s="112" t="n">
        <v>65</v>
      </c>
      <c r="S1463" s="112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D1464" t="inlineStr"/>
      <c r="E1464" t="inlineStr">
        <is>
          <t>EQ</t>
        </is>
      </c>
      <c r="F1464" t="inlineStr"/>
      <c r="G1464" t="inlineStr"/>
      <c r="H1464" s="125" t="n">
        <v>46166</v>
      </c>
      <c r="I1464" t="inlineStr"/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N1464" t="inlineStr"/>
      <c r="O1464" t="inlineStr">
        <is>
          <t>TR462</t>
        </is>
      </c>
      <c r="P1464" t="inlineStr"/>
      <c r="Q1464" s="112" t="n">
        <v>0</v>
      </c>
      <c r="R1464" s="112" t="n">
        <v>65</v>
      </c>
      <c r="S1464" s="112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D1465" t="inlineStr"/>
      <c r="E1465" t="inlineStr">
        <is>
          <t>EQ</t>
        </is>
      </c>
      <c r="F1465" t="inlineStr"/>
      <c r="G1465" t="inlineStr"/>
      <c r="H1465" s="125" t="n">
        <v>46166</v>
      </c>
      <c r="I1465" t="inlineStr"/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N1465" t="inlineStr"/>
      <c r="O1465" t="inlineStr">
        <is>
          <t>TR462</t>
        </is>
      </c>
      <c r="P1465" t="inlineStr"/>
      <c r="Q1465" s="112" t="n">
        <v>0</v>
      </c>
      <c r="R1465" s="112" t="n">
        <v>65</v>
      </c>
      <c r="S1465" s="112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D1466" t="inlineStr"/>
      <c r="E1466" t="inlineStr">
        <is>
          <t>EQ</t>
        </is>
      </c>
      <c r="F1466" t="inlineStr"/>
      <c r="G1466" t="inlineStr"/>
      <c r="H1466" s="125" t="n">
        <v>46166</v>
      </c>
      <c r="I1466" t="inlineStr"/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N1466" t="inlineStr"/>
      <c r="O1466" t="inlineStr">
        <is>
          <t>TR462</t>
        </is>
      </c>
      <c r="P1466" t="inlineStr"/>
      <c r="Q1466" s="112" t="n">
        <v>0</v>
      </c>
      <c r="R1466" s="112" t="n">
        <v>65</v>
      </c>
      <c r="S1466" s="112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D1467" t="inlineStr"/>
      <c r="E1467" t="inlineStr">
        <is>
          <t>EQ</t>
        </is>
      </c>
      <c r="F1467" t="inlineStr"/>
      <c r="G1467" t="inlineStr"/>
      <c r="H1467" s="125" t="n">
        <v>46166</v>
      </c>
      <c r="I1467" t="inlineStr"/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N1467" t="inlineStr"/>
      <c r="O1467" t="inlineStr">
        <is>
          <t>TR462</t>
        </is>
      </c>
      <c r="P1467" t="inlineStr"/>
      <c r="Q1467" s="112" t="n">
        <v>0</v>
      </c>
      <c r="R1467" s="112" t="n">
        <v>65</v>
      </c>
      <c r="S1467" s="112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D1468" t="inlineStr"/>
      <c r="E1468" t="inlineStr">
        <is>
          <t>EQ</t>
        </is>
      </c>
      <c r="F1468" t="inlineStr"/>
      <c r="G1468" t="inlineStr"/>
      <c r="H1468" s="125" t="n">
        <v>46166</v>
      </c>
      <c r="I1468" t="inlineStr"/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N1468" t="inlineStr"/>
      <c r="O1468" t="inlineStr">
        <is>
          <t>TR463</t>
        </is>
      </c>
      <c r="P1468" t="inlineStr"/>
      <c r="Q1468" s="112" t="n">
        <v>0</v>
      </c>
      <c r="R1468" s="112" t="n">
        <v>65</v>
      </c>
      <c r="S1468" s="112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D1469" t="inlineStr"/>
      <c r="E1469" t="inlineStr">
        <is>
          <t>EQ</t>
        </is>
      </c>
      <c r="F1469" t="inlineStr"/>
      <c r="G1469" t="inlineStr"/>
      <c r="H1469" s="125" t="n">
        <v>46166</v>
      </c>
      <c r="I1469" t="inlineStr"/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N1469" t="inlineStr"/>
      <c r="O1469" t="inlineStr">
        <is>
          <t>TR463</t>
        </is>
      </c>
      <c r="P1469" t="inlineStr"/>
      <c r="Q1469" s="112" t="n">
        <v>0</v>
      </c>
      <c r="R1469" s="112" t="n">
        <v>65</v>
      </c>
      <c r="S1469" s="112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D1470" t="inlineStr"/>
      <c r="E1470" t="inlineStr">
        <is>
          <t>EQ</t>
        </is>
      </c>
      <c r="F1470" t="inlineStr"/>
      <c r="G1470" t="inlineStr"/>
      <c r="H1470" s="125" t="n">
        <v>46166</v>
      </c>
      <c r="I1470" t="inlineStr"/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N1470" t="inlineStr"/>
      <c r="O1470" t="inlineStr">
        <is>
          <t>TR463</t>
        </is>
      </c>
      <c r="P1470" t="inlineStr"/>
      <c r="Q1470" s="112" t="n">
        <v>0</v>
      </c>
      <c r="R1470" s="112" t="n">
        <v>65</v>
      </c>
      <c r="S1470" s="112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D1471" t="inlineStr"/>
      <c r="E1471" t="inlineStr">
        <is>
          <t>EQ</t>
        </is>
      </c>
      <c r="F1471" t="inlineStr"/>
      <c r="G1471" t="inlineStr"/>
      <c r="H1471" s="125" t="n">
        <v>46166</v>
      </c>
      <c r="I1471" t="inlineStr"/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N1471" t="inlineStr"/>
      <c r="O1471" t="inlineStr">
        <is>
          <t>TR463</t>
        </is>
      </c>
      <c r="P1471" t="inlineStr"/>
      <c r="Q1471" s="112" t="n">
        <v>0</v>
      </c>
      <c r="R1471" s="112" t="n">
        <v>65</v>
      </c>
      <c r="S1471" s="112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D1472" t="inlineStr"/>
      <c r="E1472" t="inlineStr">
        <is>
          <t>EQ</t>
        </is>
      </c>
      <c r="F1472" t="inlineStr"/>
      <c r="G1472" t="inlineStr"/>
      <c r="H1472" s="125" t="n">
        <v>46166</v>
      </c>
      <c r="I1472" t="inlineStr"/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N1472" t="inlineStr"/>
      <c r="O1472" t="inlineStr">
        <is>
          <t>TR463</t>
        </is>
      </c>
      <c r="P1472" t="inlineStr"/>
      <c r="Q1472" s="112" t="n">
        <v>0</v>
      </c>
      <c r="R1472" s="112" t="n">
        <v>65</v>
      </c>
      <c r="S1472" s="112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D1473" t="inlineStr"/>
      <c r="E1473" t="inlineStr">
        <is>
          <t>EQ</t>
        </is>
      </c>
      <c r="F1473" t="inlineStr"/>
      <c r="G1473" t="inlineStr"/>
      <c r="H1473" s="125" t="n">
        <v>46166</v>
      </c>
      <c r="I1473" t="inlineStr"/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N1473" t="inlineStr"/>
      <c r="O1473" t="inlineStr">
        <is>
          <t>TR463</t>
        </is>
      </c>
      <c r="P1473" t="inlineStr"/>
      <c r="Q1473" s="112" t="n">
        <v>0</v>
      </c>
      <c r="R1473" s="112" t="n">
        <v>65</v>
      </c>
      <c r="S1473" s="112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D1474" t="inlineStr"/>
      <c r="E1474" t="inlineStr">
        <is>
          <t>EQ</t>
        </is>
      </c>
      <c r="F1474" t="inlineStr"/>
      <c r="G1474" t="inlineStr"/>
      <c r="H1474" s="125" t="n">
        <v>46166</v>
      </c>
      <c r="I1474" t="inlineStr"/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N1474" t="inlineStr"/>
      <c r="O1474" t="inlineStr">
        <is>
          <t>TR464</t>
        </is>
      </c>
      <c r="P1474" t="inlineStr"/>
      <c r="Q1474" s="112" t="n">
        <v>0</v>
      </c>
      <c r="R1474" s="112" t="n">
        <v>65</v>
      </c>
      <c r="S1474" s="112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D1475" t="inlineStr"/>
      <c r="E1475" t="inlineStr">
        <is>
          <t>EQ</t>
        </is>
      </c>
      <c r="F1475" t="inlineStr"/>
      <c r="G1475" t="inlineStr"/>
      <c r="H1475" s="125" t="n">
        <v>46166</v>
      </c>
      <c r="I1475" t="inlineStr"/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N1475" t="inlineStr"/>
      <c r="O1475" t="inlineStr">
        <is>
          <t>TR464</t>
        </is>
      </c>
      <c r="P1475" t="inlineStr"/>
      <c r="Q1475" s="112" t="n">
        <v>0</v>
      </c>
      <c r="R1475" s="112" t="n">
        <v>65</v>
      </c>
      <c r="S1475" s="112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D1476" t="inlineStr"/>
      <c r="E1476" t="inlineStr">
        <is>
          <t>EQ</t>
        </is>
      </c>
      <c r="F1476" t="inlineStr"/>
      <c r="G1476" t="inlineStr"/>
      <c r="H1476" s="125" t="n">
        <v>46166</v>
      </c>
      <c r="I1476" t="inlineStr"/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N1476" t="inlineStr"/>
      <c r="O1476" t="inlineStr">
        <is>
          <t>TR464</t>
        </is>
      </c>
      <c r="P1476" t="inlineStr"/>
      <c r="Q1476" s="112" t="n">
        <v>0</v>
      </c>
      <c r="R1476" s="112" t="n">
        <v>65</v>
      </c>
      <c r="S1476" s="112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D1477" t="inlineStr"/>
      <c r="E1477" t="inlineStr">
        <is>
          <t>EQ</t>
        </is>
      </c>
      <c r="F1477" t="inlineStr"/>
      <c r="G1477" t="inlineStr"/>
      <c r="H1477" s="125" t="n">
        <v>46166</v>
      </c>
      <c r="I1477" t="inlineStr"/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N1477" t="inlineStr"/>
      <c r="O1477" t="inlineStr">
        <is>
          <t>TR464</t>
        </is>
      </c>
      <c r="P1477" t="inlineStr"/>
      <c r="Q1477" s="112" t="n">
        <v>0</v>
      </c>
      <c r="R1477" s="112" t="n">
        <v>65</v>
      </c>
      <c r="S1477" s="112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D1478" t="inlineStr"/>
      <c r="E1478" t="inlineStr">
        <is>
          <t>EQ</t>
        </is>
      </c>
      <c r="F1478" t="inlineStr"/>
      <c r="G1478" t="inlineStr"/>
      <c r="H1478" s="125" t="n">
        <v>46166</v>
      </c>
      <c r="I1478" t="inlineStr"/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N1478" t="inlineStr"/>
      <c r="O1478" t="inlineStr">
        <is>
          <t>TR464</t>
        </is>
      </c>
      <c r="P1478" t="inlineStr"/>
      <c r="Q1478" s="112" t="n">
        <v>0</v>
      </c>
      <c r="R1478" s="112" t="n">
        <v>65</v>
      </c>
      <c r="S1478" s="112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D1479" t="inlineStr"/>
      <c r="E1479" t="inlineStr">
        <is>
          <t>EQ</t>
        </is>
      </c>
      <c r="F1479" t="inlineStr"/>
      <c r="G1479" t="inlineStr"/>
      <c r="H1479" s="125" t="n">
        <v>46166</v>
      </c>
      <c r="I1479" t="inlineStr"/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N1479" t="inlineStr"/>
      <c r="O1479" t="inlineStr">
        <is>
          <t>TR464</t>
        </is>
      </c>
      <c r="P1479" t="inlineStr"/>
      <c r="Q1479" s="112" t="n">
        <v>0</v>
      </c>
      <c r="R1479" s="112" t="n">
        <v>65</v>
      </c>
      <c r="S1479" s="112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D1480" t="inlineStr"/>
      <c r="E1480" t="inlineStr">
        <is>
          <t>EQ</t>
        </is>
      </c>
      <c r="F1480" t="inlineStr"/>
      <c r="G1480" t="inlineStr"/>
      <c r="H1480" s="125" t="n">
        <v>46166</v>
      </c>
      <c r="I1480" t="inlineStr"/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N1480" t="inlineStr"/>
      <c r="O1480" t="inlineStr">
        <is>
          <t>TR456</t>
        </is>
      </c>
      <c r="P1480" t="inlineStr"/>
      <c r="Q1480" s="112" t="n">
        <v>0</v>
      </c>
      <c r="R1480" s="112" t="n">
        <v>65</v>
      </c>
      <c r="S1480" s="112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D1481" t="inlineStr"/>
      <c r="E1481" t="inlineStr">
        <is>
          <t>EQ</t>
        </is>
      </c>
      <c r="F1481" t="inlineStr"/>
      <c r="G1481" t="inlineStr"/>
      <c r="H1481" s="125" t="n">
        <v>46166</v>
      </c>
      <c r="I1481" t="inlineStr"/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N1481" t="inlineStr"/>
      <c r="O1481" t="inlineStr">
        <is>
          <t>TR456</t>
        </is>
      </c>
      <c r="P1481" t="inlineStr"/>
      <c r="Q1481" s="112" t="n">
        <v>0</v>
      </c>
      <c r="R1481" s="112" t="n">
        <v>65</v>
      </c>
      <c r="S1481" s="112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D1482" t="inlineStr"/>
      <c r="E1482" t="inlineStr">
        <is>
          <t>EQ</t>
        </is>
      </c>
      <c r="F1482" t="inlineStr"/>
      <c r="G1482" t="inlineStr"/>
      <c r="H1482" s="125" t="n">
        <v>46166</v>
      </c>
      <c r="I1482" t="inlineStr"/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N1482" t="inlineStr"/>
      <c r="O1482" t="inlineStr">
        <is>
          <t>TR456</t>
        </is>
      </c>
      <c r="P1482" t="inlineStr"/>
      <c r="Q1482" s="112" t="n">
        <v>0</v>
      </c>
      <c r="R1482" s="112" t="n">
        <v>65</v>
      </c>
      <c r="S1482" s="112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D1483" t="inlineStr"/>
      <c r="E1483" t="inlineStr">
        <is>
          <t>EQ</t>
        </is>
      </c>
      <c r="F1483" t="inlineStr"/>
      <c r="G1483" t="inlineStr"/>
      <c r="H1483" s="125" t="n">
        <v>46166</v>
      </c>
      <c r="I1483" t="inlineStr"/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N1483" t="inlineStr"/>
      <c r="O1483" t="inlineStr">
        <is>
          <t>TR456</t>
        </is>
      </c>
      <c r="P1483" t="inlineStr"/>
      <c r="Q1483" s="112" t="n">
        <v>0</v>
      </c>
      <c r="R1483" s="112" t="n">
        <v>65</v>
      </c>
      <c r="S1483" s="112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D1484" t="inlineStr"/>
      <c r="E1484" t="inlineStr">
        <is>
          <t>EQ</t>
        </is>
      </c>
      <c r="F1484" t="inlineStr"/>
      <c r="G1484" t="inlineStr"/>
      <c r="H1484" s="125" t="n">
        <v>46166</v>
      </c>
      <c r="I1484" t="inlineStr"/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N1484" t="inlineStr"/>
      <c r="O1484" t="inlineStr">
        <is>
          <t>TR456</t>
        </is>
      </c>
      <c r="P1484" t="inlineStr"/>
      <c r="Q1484" s="112" t="n">
        <v>0</v>
      </c>
      <c r="R1484" s="112" t="n">
        <v>65</v>
      </c>
      <c r="S1484" s="112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D1485" t="inlineStr"/>
      <c r="E1485" t="inlineStr">
        <is>
          <t>EQ</t>
        </is>
      </c>
      <c r="F1485" t="inlineStr"/>
      <c r="G1485" t="inlineStr"/>
      <c r="H1485" s="125" t="n">
        <v>46166</v>
      </c>
      <c r="I1485" t="inlineStr"/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N1485" t="inlineStr"/>
      <c r="O1485" t="inlineStr">
        <is>
          <t>TR456</t>
        </is>
      </c>
      <c r="P1485" t="inlineStr"/>
      <c r="Q1485" s="112" t="n">
        <v>0</v>
      </c>
      <c r="R1485" s="112" t="n">
        <v>65</v>
      </c>
      <c r="S1485" s="112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D1486" t="inlineStr"/>
      <c r="E1486" t="inlineStr">
        <is>
          <t>EQ</t>
        </is>
      </c>
      <c r="F1486" t="inlineStr"/>
      <c r="G1486" t="inlineStr"/>
      <c r="H1486" s="125" t="n">
        <v>46166</v>
      </c>
      <c r="I1486" t="inlineStr"/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N1486" t="inlineStr"/>
      <c r="O1486" t="inlineStr">
        <is>
          <t>WTL002</t>
        </is>
      </c>
      <c r="P1486" t="inlineStr"/>
      <c r="Q1486" s="112" t="n">
        <v>0</v>
      </c>
      <c r="R1486" s="112" t="n">
        <v>55</v>
      </c>
      <c r="S1486" s="112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D1487" t="inlineStr"/>
      <c r="E1487" t="inlineStr">
        <is>
          <t>EQ</t>
        </is>
      </c>
      <c r="F1487" t="inlineStr"/>
      <c r="G1487" t="inlineStr"/>
      <c r="H1487" s="125" t="n">
        <v>46166</v>
      </c>
      <c r="I1487" t="inlineStr"/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N1487" t="inlineStr"/>
      <c r="O1487" t="inlineStr">
        <is>
          <t>WTL002</t>
        </is>
      </c>
      <c r="P1487" t="inlineStr"/>
      <c r="Q1487" s="112" t="n">
        <v>0</v>
      </c>
      <c r="R1487" s="112" t="n">
        <v>55</v>
      </c>
      <c r="S1487" s="112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D1488" t="inlineStr"/>
      <c r="E1488" t="inlineStr">
        <is>
          <t>EQ</t>
        </is>
      </c>
      <c r="F1488" t="inlineStr"/>
      <c r="G1488" t="inlineStr"/>
      <c r="H1488" s="125" t="n">
        <v>46166</v>
      </c>
      <c r="I1488" t="inlineStr"/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N1488" t="inlineStr"/>
      <c r="O1488" t="inlineStr">
        <is>
          <t>WTL002</t>
        </is>
      </c>
      <c r="P1488" t="inlineStr"/>
      <c r="Q1488" s="112" t="n">
        <v>0</v>
      </c>
      <c r="R1488" s="112" t="n">
        <v>55</v>
      </c>
      <c r="S1488" s="112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D1489" t="inlineStr"/>
      <c r="E1489" t="inlineStr">
        <is>
          <t>EQ</t>
        </is>
      </c>
      <c r="F1489" t="inlineStr"/>
      <c r="G1489" t="inlineStr"/>
      <c r="H1489" s="125" t="n">
        <v>46166</v>
      </c>
      <c r="I1489" t="inlineStr"/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N1489" t="inlineStr"/>
      <c r="O1489" t="inlineStr">
        <is>
          <t>WTL002</t>
        </is>
      </c>
      <c r="P1489" t="inlineStr"/>
      <c r="Q1489" s="112" t="n">
        <v>0</v>
      </c>
      <c r="R1489" s="112" t="n">
        <v>55</v>
      </c>
      <c r="S1489" s="112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D1490" t="inlineStr"/>
      <c r="E1490" t="inlineStr">
        <is>
          <t>EQ</t>
        </is>
      </c>
      <c r="F1490" t="inlineStr"/>
      <c r="G1490" t="inlineStr"/>
      <c r="H1490" s="125" t="n">
        <v>46166</v>
      </c>
      <c r="I1490" t="inlineStr"/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N1490" t="inlineStr"/>
      <c r="O1490" t="inlineStr">
        <is>
          <t>WTL002</t>
        </is>
      </c>
      <c r="P1490" t="inlineStr"/>
      <c r="Q1490" s="112" t="n">
        <v>0</v>
      </c>
      <c r="R1490" s="112" t="n">
        <v>55</v>
      </c>
      <c r="S1490" s="112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D1491" t="inlineStr"/>
      <c r="E1491" t="inlineStr">
        <is>
          <t>EQ</t>
        </is>
      </c>
      <c r="F1491" t="inlineStr"/>
      <c r="G1491" t="inlineStr"/>
      <c r="H1491" s="125" t="n">
        <v>46166</v>
      </c>
      <c r="I1491" t="inlineStr"/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N1491" t="inlineStr"/>
      <c r="O1491" t="inlineStr">
        <is>
          <t>WTL002</t>
        </is>
      </c>
      <c r="P1491" t="inlineStr"/>
      <c r="Q1491" s="112" t="n">
        <v>0</v>
      </c>
      <c r="R1491" s="112" t="n">
        <v>55</v>
      </c>
      <c r="S1491" s="112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D1492" t="inlineStr"/>
      <c r="E1492" t="inlineStr">
        <is>
          <t>EQ</t>
        </is>
      </c>
      <c r="F1492" t="inlineStr"/>
      <c r="G1492" t="inlineStr"/>
      <c r="H1492" s="125" t="n">
        <v>46166</v>
      </c>
      <c r="I1492" t="inlineStr"/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N1492" t="inlineStr"/>
      <c r="O1492" t="inlineStr">
        <is>
          <t>WLD133</t>
        </is>
      </c>
      <c r="P1492" t="inlineStr"/>
      <c r="Q1492" s="112" t="n">
        <v>0</v>
      </c>
      <c r="R1492" s="112" t="n">
        <v>259.22</v>
      </c>
      <c r="S1492" s="112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D1493" t="inlineStr"/>
      <c r="E1493" t="inlineStr">
        <is>
          <t>EQ</t>
        </is>
      </c>
      <c r="F1493" t="inlineStr"/>
      <c r="G1493" t="inlineStr"/>
      <c r="H1493" s="125" t="n">
        <v>46166</v>
      </c>
      <c r="I1493" t="inlineStr"/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N1493" t="inlineStr"/>
      <c r="O1493" t="inlineStr">
        <is>
          <t>WLD133</t>
        </is>
      </c>
      <c r="P1493" t="inlineStr"/>
      <c r="Q1493" s="112" t="n">
        <v>0</v>
      </c>
      <c r="R1493" s="112" t="n">
        <v>259.22</v>
      </c>
      <c r="S1493" s="112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D1494" t="inlineStr"/>
      <c r="E1494" t="inlineStr">
        <is>
          <t>EQ</t>
        </is>
      </c>
      <c r="F1494" t="inlineStr"/>
      <c r="G1494" t="inlineStr"/>
      <c r="H1494" s="125" t="n">
        <v>46166</v>
      </c>
      <c r="I1494" t="inlineStr"/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N1494" t="inlineStr"/>
      <c r="O1494" t="inlineStr">
        <is>
          <t>WLD133</t>
        </is>
      </c>
      <c r="P1494" t="inlineStr"/>
      <c r="Q1494" s="112" t="n">
        <v>0</v>
      </c>
      <c r="R1494" s="112" t="n">
        <v>259.22</v>
      </c>
      <c r="S1494" s="112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D1495" t="inlineStr"/>
      <c r="E1495" t="inlineStr">
        <is>
          <t>EQ</t>
        </is>
      </c>
      <c r="F1495" t="inlineStr"/>
      <c r="G1495" t="inlineStr"/>
      <c r="H1495" s="125" t="n">
        <v>46166</v>
      </c>
      <c r="I1495" t="inlineStr"/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N1495" t="inlineStr"/>
      <c r="O1495" t="inlineStr">
        <is>
          <t>WLD133</t>
        </is>
      </c>
      <c r="P1495" t="inlineStr"/>
      <c r="Q1495" s="112" t="n">
        <v>0</v>
      </c>
      <c r="R1495" s="112" t="n">
        <v>259.22</v>
      </c>
      <c r="S1495" s="112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D1496" t="inlineStr"/>
      <c r="E1496" t="inlineStr">
        <is>
          <t>EQ</t>
        </is>
      </c>
      <c r="F1496" t="inlineStr"/>
      <c r="G1496" t="inlineStr"/>
      <c r="H1496" s="125" t="n">
        <v>46166</v>
      </c>
      <c r="I1496" t="inlineStr"/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N1496" t="inlineStr"/>
      <c r="O1496" t="inlineStr">
        <is>
          <t>WLD133</t>
        </is>
      </c>
      <c r="P1496" t="inlineStr"/>
      <c r="Q1496" s="112" t="n">
        <v>0</v>
      </c>
      <c r="R1496" s="112" t="n">
        <v>259.22</v>
      </c>
      <c r="S1496" s="112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D1497" t="inlineStr"/>
      <c r="E1497" t="inlineStr">
        <is>
          <t>EQ</t>
        </is>
      </c>
      <c r="F1497" t="inlineStr"/>
      <c r="G1497" t="inlineStr"/>
      <c r="H1497" s="125" t="n">
        <v>46166</v>
      </c>
      <c r="I1497" t="inlineStr"/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N1497" t="inlineStr"/>
      <c r="O1497" t="inlineStr">
        <is>
          <t>WLD133</t>
        </is>
      </c>
      <c r="P1497" t="inlineStr"/>
      <c r="Q1497" s="112" t="n">
        <v>0</v>
      </c>
      <c r="R1497" s="112" t="n">
        <v>259.22</v>
      </c>
      <c r="S1497" s="112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D1498" t="inlineStr"/>
      <c r="E1498" t="inlineStr">
        <is>
          <t>EQ</t>
        </is>
      </c>
      <c r="F1498" t="inlineStr"/>
      <c r="G1498" t="inlineStr"/>
      <c r="H1498" s="125" t="n">
        <v>46166</v>
      </c>
      <c r="I1498" t="inlineStr"/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N1498" t="inlineStr"/>
      <c r="O1498" t="inlineStr">
        <is>
          <t>RT1242</t>
        </is>
      </c>
      <c r="P1498" t="inlineStr"/>
      <c r="Q1498" s="112" t="n">
        <v>0</v>
      </c>
      <c r="R1498" s="112" t="n">
        <v>79.14</v>
      </c>
      <c r="S1498" s="112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D1499" t="inlineStr"/>
      <c r="E1499" t="inlineStr">
        <is>
          <t>EQ</t>
        </is>
      </c>
      <c r="F1499" t="inlineStr"/>
      <c r="G1499" t="inlineStr"/>
      <c r="H1499" s="125" t="n">
        <v>46166</v>
      </c>
      <c r="I1499" t="inlineStr"/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N1499" t="inlineStr"/>
      <c r="O1499" t="inlineStr">
        <is>
          <t>RT1242</t>
        </is>
      </c>
      <c r="P1499" t="inlineStr"/>
      <c r="Q1499" s="112" t="n">
        <v>0</v>
      </c>
      <c r="R1499" s="112" t="n">
        <v>79.14</v>
      </c>
      <c r="S1499" s="112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D1500" t="inlineStr"/>
      <c r="E1500" t="inlineStr">
        <is>
          <t>EQ</t>
        </is>
      </c>
      <c r="F1500" t="inlineStr"/>
      <c r="G1500" t="inlineStr"/>
      <c r="H1500" s="125" t="n">
        <v>46166</v>
      </c>
      <c r="I1500" t="inlineStr"/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N1500" t="inlineStr"/>
      <c r="O1500" t="inlineStr">
        <is>
          <t>RT1242</t>
        </is>
      </c>
      <c r="P1500" t="inlineStr"/>
      <c r="Q1500" s="112" t="n">
        <v>0</v>
      </c>
      <c r="R1500" s="112" t="n">
        <v>79.14</v>
      </c>
      <c r="S1500" s="112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D1501" t="inlineStr"/>
      <c r="E1501" t="inlineStr">
        <is>
          <t>EQ</t>
        </is>
      </c>
      <c r="F1501" t="inlineStr"/>
      <c r="G1501" t="inlineStr"/>
      <c r="H1501" s="125" t="n">
        <v>46166</v>
      </c>
      <c r="I1501" t="inlineStr"/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N1501" t="inlineStr"/>
      <c r="O1501" t="inlineStr">
        <is>
          <t>RT1242</t>
        </is>
      </c>
      <c r="P1501" t="inlineStr"/>
      <c r="Q1501" s="112" t="n">
        <v>0</v>
      </c>
      <c r="R1501" s="112" t="n">
        <v>79.14</v>
      </c>
      <c r="S1501" s="112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D1502" t="inlineStr"/>
      <c r="E1502" t="inlineStr">
        <is>
          <t>ER</t>
        </is>
      </c>
      <c r="F1502" t="inlineStr"/>
      <c r="G1502" t="inlineStr"/>
      <c r="H1502" s="125" t="n">
        <v>46124</v>
      </c>
      <c r="I1502" t="inlineStr"/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N1502" t="inlineStr"/>
      <c r="O1502" t="inlineStr">
        <is>
          <t>REX665</t>
        </is>
      </c>
      <c r="P1502" t="inlineStr"/>
      <c r="Q1502" s="112" t="n">
        <v>0</v>
      </c>
      <c r="R1502" s="112" t="n">
        <v>458.33</v>
      </c>
      <c r="S1502" s="112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D1503" t="inlineStr"/>
      <c r="E1503" t="inlineStr">
        <is>
          <t>ER</t>
        </is>
      </c>
      <c r="F1503" t="inlineStr"/>
      <c r="G1503" t="inlineStr"/>
      <c r="H1503" s="125" t="n">
        <v>46124</v>
      </c>
      <c r="I1503" t="inlineStr"/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N1503" t="inlineStr"/>
      <c r="O1503" t="inlineStr">
        <is>
          <t>RDZ318</t>
        </is>
      </c>
      <c r="P1503" t="inlineStr"/>
      <c r="Q1503" s="112" t="n">
        <v>0</v>
      </c>
      <c r="R1503" s="112" t="n">
        <v>778.74</v>
      </c>
      <c r="S1503" s="112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D1504" t="inlineStr"/>
      <c r="E1504" t="inlineStr">
        <is>
          <t>ER</t>
        </is>
      </c>
      <c r="F1504" t="inlineStr"/>
      <c r="G1504" t="inlineStr"/>
      <c r="H1504" s="125" t="n">
        <v>46124</v>
      </c>
      <c r="I1504" t="inlineStr"/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N1504" t="inlineStr"/>
      <c r="O1504" t="inlineStr">
        <is>
          <t>RDZ318</t>
        </is>
      </c>
      <c r="P1504" t="inlineStr"/>
      <c r="Q1504" s="112" t="n">
        <v>0</v>
      </c>
      <c r="R1504" s="112" t="n">
        <v>778.74</v>
      </c>
      <c r="S1504" s="112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D1505" t="inlineStr"/>
      <c r="E1505" t="inlineStr">
        <is>
          <t>ER</t>
        </is>
      </c>
      <c r="F1505" t="inlineStr"/>
      <c r="G1505" t="inlineStr"/>
      <c r="H1505" s="125" t="n">
        <v>46124</v>
      </c>
      <c r="I1505" t="inlineStr"/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N1505" t="inlineStr"/>
      <c r="O1505" t="inlineStr">
        <is>
          <t>RDZ318</t>
        </is>
      </c>
      <c r="P1505" t="inlineStr"/>
      <c r="Q1505" s="112" t="n">
        <v>0</v>
      </c>
      <c r="R1505" s="112" t="n">
        <v>778.74</v>
      </c>
      <c r="S1505" s="112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D1506" t="inlineStr"/>
      <c r="E1506" t="inlineStr">
        <is>
          <t>ER</t>
        </is>
      </c>
      <c r="F1506" t="inlineStr"/>
      <c r="G1506" t="inlineStr"/>
      <c r="H1506" s="125" t="n">
        <v>46124</v>
      </c>
      <c r="I1506" t="inlineStr"/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N1506" t="inlineStr"/>
      <c r="O1506" t="inlineStr">
        <is>
          <t>RDZ318</t>
        </is>
      </c>
      <c r="P1506" t="inlineStr"/>
      <c r="Q1506" s="112" t="n">
        <v>0</v>
      </c>
      <c r="R1506" s="112" t="n">
        <v>778.74</v>
      </c>
      <c r="S1506" s="112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D1507" t="inlineStr"/>
      <c r="E1507" t="inlineStr">
        <is>
          <t>ER</t>
        </is>
      </c>
      <c r="F1507" t="inlineStr"/>
      <c r="G1507" t="inlineStr"/>
      <c r="H1507" s="125" t="n">
        <v>46124</v>
      </c>
      <c r="I1507" t="inlineStr"/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N1507" t="inlineStr"/>
      <c r="O1507" t="inlineStr">
        <is>
          <t>RDZ318</t>
        </is>
      </c>
      <c r="P1507" t="inlineStr"/>
      <c r="Q1507" s="112" t="n">
        <v>0</v>
      </c>
      <c r="R1507" s="112" t="n">
        <v>778.74</v>
      </c>
      <c r="S1507" s="112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D1508" t="inlineStr"/>
      <c r="E1508" t="inlineStr">
        <is>
          <t>ER</t>
        </is>
      </c>
      <c r="F1508" t="inlineStr"/>
      <c r="G1508" t="inlineStr"/>
      <c r="H1508" s="125" t="n">
        <v>46124</v>
      </c>
      <c r="I1508" t="inlineStr"/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N1508" t="inlineStr"/>
      <c r="O1508" t="inlineStr">
        <is>
          <t>RGR114</t>
        </is>
      </c>
      <c r="P1508" t="inlineStr"/>
      <c r="Q1508" s="112" t="n">
        <v>0</v>
      </c>
      <c r="R1508" s="112" t="n">
        <v>604.17</v>
      </c>
      <c r="S1508" s="112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D1509" t="inlineStr"/>
      <c r="E1509" t="inlineStr">
        <is>
          <t>ER</t>
        </is>
      </c>
      <c r="F1509" t="inlineStr"/>
      <c r="G1509" t="inlineStr"/>
      <c r="H1509" s="125" t="n">
        <v>46124</v>
      </c>
      <c r="I1509" t="inlineStr"/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N1509" t="inlineStr"/>
      <c r="O1509" t="inlineStr">
        <is>
          <t>RGR114</t>
        </is>
      </c>
      <c r="P1509" t="inlineStr"/>
      <c r="Q1509" s="112" t="n">
        <v>0</v>
      </c>
      <c r="R1509" s="112" t="n">
        <v>604.17</v>
      </c>
      <c r="S1509" s="112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D1510" t="inlineStr"/>
      <c r="E1510" t="inlineStr">
        <is>
          <t>ER</t>
        </is>
      </c>
      <c r="F1510" t="inlineStr"/>
      <c r="G1510" t="inlineStr"/>
      <c r="H1510" s="125" t="n">
        <v>46124</v>
      </c>
      <c r="I1510" t="inlineStr"/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N1510" t="inlineStr"/>
      <c r="O1510" t="inlineStr">
        <is>
          <t>RGR114</t>
        </is>
      </c>
      <c r="P1510" t="inlineStr"/>
      <c r="Q1510" s="112" t="n">
        <v>0</v>
      </c>
      <c r="R1510" s="112" t="n">
        <v>604.17</v>
      </c>
      <c r="S1510" s="112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D1511" t="inlineStr"/>
      <c r="E1511" t="inlineStr">
        <is>
          <t>ER</t>
        </is>
      </c>
      <c r="F1511" t="inlineStr"/>
      <c r="G1511" t="inlineStr"/>
      <c r="H1511" s="125" t="n">
        <v>46124</v>
      </c>
      <c r="I1511" t="inlineStr"/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N1511" t="inlineStr"/>
      <c r="O1511" t="inlineStr">
        <is>
          <t>RFT890</t>
        </is>
      </c>
      <c r="P1511" t="inlineStr"/>
      <c r="Q1511" s="112" t="n">
        <v>0</v>
      </c>
      <c r="R1511" s="112" t="n">
        <v>500</v>
      </c>
      <c r="S1511" s="112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D1512" t="inlineStr"/>
      <c r="E1512" t="inlineStr">
        <is>
          <t>ER</t>
        </is>
      </c>
      <c r="F1512" t="inlineStr"/>
      <c r="G1512" t="inlineStr"/>
      <c r="H1512" s="125" t="n">
        <v>46124</v>
      </c>
      <c r="I1512" t="inlineStr"/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N1512" t="inlineStr"/>
      <c r="O1512" t="inlineStr">
        <is>
          <t>RFT890</t>
        </is>
      </c>
      <c r="P1512" t="inlineStr"/>
      <c r="Q1512" s="112" t="n">
        <v>0</v>
      </c>
      <c r="R1512" s="112" t="n">
        <v>500</v>
      </c>
      <c r="S1512" s="112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D1513" t="inlineStr"/>
      <c r="E1513" t="inlineStr">
        <is>
          <t>ER</t>
        </is>
      </c>
      <c r="F1513" t="inlineStr"/>
      <c r="G1513" t="inlineStr"/>
      <c r="H1513" s="125" t="n">
        <v>46124</v>
      </c>
      <c r="I1513" t="inlineStr"/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N1513" t="inlineStr"/>
      <c r="O1513" t="inlineStr">
        <is>
          <t>RFT890</t>
        </is>
      </c>
      <c r="P1513" t="inlineStr"/>
      <c r="Q1513" s="112" t="n">
        <v>0</v>
      </c>
      <c r="R1513" s="112" t="n">
        <v>500</v>
      </c>
      <c r="S1513" s="112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D1514" t="inlineStr"/>
      <c r="E1514" t="inlineStr">
        <is>
          <t>ER</t>
        </is>
      </c>
      <c r="F1514" t="inlineStr"/>
      <c r="G1514" t="inlineStr"/>
      <c r="H1514" s="125" t="n">
        <v>46124</v>
      </c>
      <c r="I1514" t="inlineStr"/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N1514" t="inlineStr"/>
      <c r="O1514" t="inlineStr">
        <is>
          <t>RFT890</t>
        </is>
      </c>
      <c r="P1514" t="inlineStr"/>
      <c r="Q1514" s="112" t="n">
        <v>0</v>
      </c>
      <c r="R1514" s="112" t="n">
        <v>500</v>
      </c>
      <c r="S1514" s="112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D1515" t="inlineStr"/>
      <c r="E1515" t="inlineStr">
        <is>
          <t>ER</t>
        </is>
      </c>
      <c r="F1515" t="inlineStr"/>
      <c r="G1515" t="inlineStr"/>
      <c r="H1515" s="125" t="n">
        <v>46124</v>
      </c>
      <c r="I1515" t="inlineStr"/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N1515" t="inlineStr"/>
      <c r="O1515" t="inlineStr">
        <is>
          <t>RFT890</t>
        </is>
      </c>
      <c r="P1515" t="inlineStr"/>
      <c r="Q1515" s="112" t="n">
        <v>0</v>
      </c>
      <c r="R1515" s="112" t="n">
        <v>500</v>
      </c>
      <c r="S1515" s="112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D1516" t="inlineStr"/>
      <c r="E1516" t="inlineStr">
        <is>
          <t>ER</t>
        </is>
      </c>
      <c r="F1516" t="inlineStr"/>
      <c r="G1516" t="inlineStr"/>
      <c r="H1516" s="125" t="n">
        <v>46124</v>
      </c>
      <c r="I1516" t="inlineStr"/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N1516" t="inlineStr"/>
      <c r="O1516" t="inlineStr">
        <is>
          <t>RFT892</t>
        </is>
      </c>
      <c r="P1516" t="inlineStr"/>
      <c r="Q1516" s="112" t="n">
        <v>0</v>
      </c>
      <c r="R1516" s="112" t="n">
        <v>508.33</v>
      </c>
      <c r="S1516" s="112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D1517" t="inlineStr"/>
      <c r="E1517" t="inlineStr">
        <is>
          <t>ER</t>
        </is>
      </c>
      <c r="F1517" t="inlineStr"/>
      <c r="G1517" t="inlineStr"/>
      <c r="H1517" s="125" t="n">
        <v>46124</v>
      </c>
      <c r="I1517" t="inlineStr"/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N1517" t="inlineStr"/>
      <c r="O1517" t="inlineStr">
        <is>
          <t>RFT892</t>
        </is>
      </c>
      <c r="P1517" t="inlineStr"/>
      <c r="Q1517" s="112" t="n">
        <v>0</v>
      </c>
      <c r="R1517" s="112" t="n">
        <v>508.33</v>
      </c>
      <c r="S1517" s="112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D1518" t="inlineStr"/>
      <c r="E1518" t="inlineStr">
        <is>
          <t>ER</t>
        </is>
      </c>
      <c r="F1518" t="inlineStr"/>
      <c r="G1518" t="inlineStr"/>
      <c r="H1518" s="125" t="n">
        <v>46124</v>
      </c>
      <c r="I1518" t="inlineStr"/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N1518" t="inlineStr"/>
      <c r="O1518" t="inlineStr">
        <is>
          <t>RFT892</t>
        </is>
      </c>
      <c r="P1518" t="inlineStr"/>
      <c r="Q1518" s="112" t="n">
        <v>0</v>
      </c>
      <c r="R1518" s="112" t="n">
        <v>508.33</v>
      </c>
      <c r="S1518" s="112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D1519" t="inlineStr"/>
      <c r="E1519" t="inlineStr">
        <is>
          <t>ER</t>
        </is>
      </c>
      <c r="F1519" t="inlineStr"/>
      <c r="G1519" t="inlineStr"/>
      <c r="H1519" s="125" t="n">
        <v>46124</v>
      </c>
      <c r="I1519" t="inlineStr"/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N1519" t="inlineStr"/>
      <c r="O1519" t="inlineStr">
        <is>
          <t>RFT892</t>
        </is>
      </c>
      <c r="P1519" t="inlineStr"/>
      <c r="Q1519" s="112" t="n">
        <v>0</v>
      </c>
      <c r="R1519" s="112" t="n">
        <v>508.33</v>
      </c>
      <c r="S1519" s="112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D1520" t="inlineStr"/>
      <c r="E1520" t="inlineStr">
        <is>
          <t>ER</t>
        </is>
      </c>
      <c r="F1520" t="inlineStr"/>
      <c r="G1520" t="inlineStr"/>
      <c r="H1520" s="125" t="n">
        <v>46124</v>
      </c>
      <c r="I1520" t="inlineStr"/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N1520" t="inlineStr"/>
      <c r="O1520" t="inlineStr">
        <is>
          <t>RFT892</t>
        </is>
      </c>
      <c r="P1520" t="inlineStr"/>
      <c r="Q1520" s="112" t="n">
        <v>0</v>
      </c>
      <c r="R1520" s="112" t="n">
        <v>508.33</v>
      </c>
      <c r="S1520" s="112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D1521" t="inlineStr"/>
      <c r="E1521" t="inlineStr">
        <is>
          <t>ER</t>
        </is>
      </c>
      <c r="F1521" t="inlineStr"/>
      <c r="G1521" t="inlineStr"/>
      <c r="H1521" s="125" t="n">
        <v>46124</v>
      </c>
      <c r="I1521" t="inlineStr"/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N1521" t="inlineStr"/>
      <c r="O1521" t="inlineStr">
        <is>
          <t>RFT891</t>
        </is>
      </c>
      <c r="P1521" t="inlineStr"/>
      <c r="Q1521" s="112" t="n">
        <v>0</v>
      </c>
      <c r="R1521" s="112" t="n">
        <v>500</v>
      </c>
      <c r="S1521" s="112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D1522" t="inlineStr"/>
      <c r="E1522" t="inlineStr">
        <is>
          <t>ER</t>
        </is>
      </c>
      <c r="F1522" t="inlineStr"/>
      <c r="G1522" t="inlineStr"/>
      <c r="H1522" s="125" t="n">
        <v>46124</v>
      </c>
      <c r="I1522" t="inlineStr"/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N1522" t="inlineStr"/>
      <c r="O1522" t="inlineStr">
        <is>
          <t>RFT891</t>
        </is>
      </c>
      <c r="P1522" t="inlineStr"/>
      <c r="Q1522" s="112" t="n">
        <v>0</v>
      </c>
      <c r="R1522" s="112" t="n">
        <v>500</v>
      </c>
      <c r="S1522" s="112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D1523" t="inlineStr"/>
      <c r="E1523" t="inlineStr">
        <is>
          <t>ER</t>
        </is>
      </c>
      <c r="F1523" t="inlineStr"/>
      <c r="G1523" t="inlineStr"/>
      <c r="H1523" s="125" t="n">
        <v>46124</v>
      </c>
      <c r="I1523" t="inlineStr"/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N1523" t="inlineStr"/>
      <c r="O1523" t="inlineStr">
        <is>
          <t>RFT891</t>
        </is>
      </c>
      <c r="P1523" t="inlineStr"/>
      <c r="Q1523" s="112" t="n">
        <v>0</v>
      </c>
      <c r="R1523" s="112" t="n">
        <v>500</v>
      </c>
      <c r="S1523" s="112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D1524" t="inlineStr"/>
      <c r="E1524" t="inlineStr">
        <is>
          <t>ER</t>
        </is>
      </c>
      <c r="F1524" t="inlineStr"/>
      <c r="G1524" t="inlineStr"/>
      <c r="H1524" s="125" t="n">
        <v>46124</v>
      </c>
      <c r="I1524" t="inlineStr"/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N1524" t="inlineStr"/>
      <c r="O1524" t="inlineStr">
        <is>
          <t>RFT891</t>
        </is>
      </c>
      <c r="P1524" t="inlineStr"/>
      <c r="Q1524" s="112" t="n">
        <v>0</v>
      </c>
      <c r="R1524" s="112" t="n">
        <v>500</v>
      </c>
      <c r="S1524" s="112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D1525" t="inlineStr"/>
      <c r="E1525" t="inlineStr">
        <is>
          <t>ER</t>
        </is>
      </c>
      <c r="F1525" t="inlineStr"/>
      <c r="G1525" t="inlineStr"/>
      <c r="H1525" s="125" t="n">
        <v>46124</v>
      </c>
      <c r="I1525" t="inlineStr"/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N1525" t="inlineStr"/>
      <c r="O1525" t="inlineStr">
        <is>
          <t>RFT891</t>
        </is>
      </c>
      <c r="P1525" t="inlineStr"/>
      <c r="Q1525" s="112" t="n">
        <v>0</v>
      </c>
      <c r="R1525" s="112" t="n">
        <v>500</v>
      </c>
      <c r="S1525" s="112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D1526" t="inlineStr"/>
      <c r="E1526" t="inlineStr">
        <is>
          <t>ER</t>
        </is>
      </c>
      <c r="F1526" t="inlineStr"/>
      <c r="G1526" t="inlineStr"/>
      <c r="H1526" s="125" t="n">
        <v>46124</v>
      </c>
      <c r="I1526" t="inlineStr"/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N1526" t="inlineStr"/>
      <c r="O1526" t="inlineStr">
        <is>
          <t>RMS2319</t>
        </is>
      </c>
      <c r="P1526" t="inlineStr"/>
      <c r="Q1526" s="112" t="n">
        <v>0</v>
      </c>
      <c r="R1526" s="112" t="n">
        <v>179.6</v>
      </c>
      <c r="S1526" s="112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D1527" t="inlineStr"/>
      <c r="E1527" t="inlineStr">
        <is>
          <t>ER</t>
        </is>
      </c>
      <c r="F1527" t="inlineStr"/>
      <c r="G1527" t="inlineStr"/>
      <c r="H1527" s="125" t="n">
        <v>46124</v>
      </c>
      <c r="I1527" t="inlineStr"/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N1527" t="inlineStr"/>
      <c r="O1527" t="inlineStr">
        <is>
          <t>RMS2319</t>
        </is>
      </c>
      <c r="P1527" t="inlineStr"/>
      <c r="Q1527" s="112" t="n">
        <v>0</v>
      </c>
      <c r="R1527" s="112" t="n">
        <v>179.6</v>
      </c>
      <c r="S1527" s="112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D1528" t="inlineStr"/>
      <c r="E1528" t="inlineStr">
        <is>
          <t>ER</t>
        </is>
      </c>
      <c r="F1528" t="inlineStr"/>
      <c r="G1528" t="inlineStr"/>
      <c r="H1528" s="125" t="n">
        <v>46124</v>
      </c>
      <c r="I1528" t="inlineStr"/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N1528" t="inlineStr"/>
      <c r="O1528" t="inlineStr">
        <is>
          <t>RMS2319</t>
        </is>
      </c>
      <c r="P1528" t="inlineStr"/>
      <c r="Q1528" s="112" t="n">
        <v>0</v>
      </c>
      <c r="R1528" s="112" t="n">
        <v>179.6</v>
      </c>
      <c r="S1528" s="112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D1529" t="inlineStr"/>
      <c r="E1529" t="inlineStr">
        <is>
          <t>ER</t>
        </is>
      </c>
      <c r="F1529" t="inlineStr"/>
      <c r="G1529" t="inlineStr"/>
      <c r="H1529" s="125" t="n">
        <v>46124</v>
      </c>
      <c r="I1529" t="inlineStr"/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N1529" t="inlineStr"/>
      <c r="O1529" t="inlineStr">
        <is>
          <t>RMS2319</t>
        </is>
      </c>
      <c r="P1529" t="inlineStr"/>
      <c r="Q1529" s="112" t="n">
        <v>0</v>
      </c>
      <c r="R1529" s="112" t="n">
        <v>179.6</v>
      </c>
      <c r="S1529" s="112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D1530" t="inlineStr"/>
      <c r="E1530" t="inlineStr">
        <is>
          <t>ER</t>
        </is>
      </c>
      <c r="F1530" t="inlineStr"/>
      <c r="G1530" t="inlineStr"/>
      <c r="H1530" s="125" t="n">
        <v>46124</v>
      </c>
      <c r="I1530" t="inlineStr"/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N1530" t="inlineStr"/>
      <c r="O1530" t="inlineStr">
        <is>
          <t>RMS2319</t>
        </is>
      </c>
      <c r="P1530" t="inlineStr"/>
      <c r="Q1530" s="112" t="n">
        <v>0</v>
      </c>
      <c r="R1530" s="112" t="n">
        <v>179.6</v>
      </c>
      <c r="S1530" s="112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D1531" t="inlineStr"/>
      <c r="E1531" t="inlineStr">
        <is>
          <t>ER</t>
        </is>
      </c>
      <c r="F1531" t="inlineStr"/>
      <c r="G1531" t="inlineStr"/>
      <c r="H1531" s="125" t="n">
        <v>46124</v>
      </c>
      <c r="I1531" t="inlineStr"/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N1531" t="inlineStr"/>
      <c r="O1531" t="inlineStr">
        <is>
          <t>RMS2321</t>
        </is>
      </c>
      <c r="P1531" t="inlineStr"/>
      <c r="Q1531" s="112" t="n">
        <v>0</v>
      </c>
      <c r="R1531" s="112" t="n">
        <v>1077.59</v>
      </c>
      <c r="S1531" s="112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D1532" t="inlineStr"/>
      <c r="E1532" t="inlineStr">
        <is>
          <t>ER</t>
        </is>
      </c>
      <c r="F1532" t="inlineStr"/>
      <c r="G1532" t="inlineStr"/>
      <c r="H1532" s="125" t="n">
        <v>46124</v>
      </c>
      <c r="I1532" t="inlineStr"/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N1532" t="inlineStr"/>
      <c r="O1532" t="inlineStr">
        <is>
          <t>RMS2321</t>
        </is>
      </c>
      <c r="P1532" t="inlineStr"/>
      <c r="Q1532" s="112" t="n">
        <v>0</v>
      </c>
      <c r="R1532" s="112" t="n">
        <v>1077.59</v>
      </c>
      <c r="S1532" s="112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D1533" t="inlineStr"/>
      <c r="E1533" t="inlineStr">
        <is>
          <t>ER</t>
        </is>
      </c>
      <c r="F1533" t="inlineStr"/>
      <c r="G1533" t="inlineStr"/>
      <c r="H1533" s="125" t="n">
        <v>46124</v>
      </c>
      <c r="I1533" t="inlineStr"/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N1533" t="inlineStr"/>
      <c r="O1533" t="inlineStr">
        <is>
          <t>RMS2321</t>
        </is>
      </c>
      <c r="P1533" t="inlineStr"/>
      <c r="Q1533" s="112" t="n">
        <v>0</v>
      </c>
      <c r="R1533" s="112" t="n">
        <v>1077.59</v>
      </c>
      <c r="S1533" s="112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D1534" t="inlineStr"/>
      <c r="E1534" t="inlineStr">
        <is>
          <t>ER</t>
        </is>
      </c>
      <c r="F1534" t="inlineStr"/>
      <c r="G1534" s="42" t="inlineStr"/>
      <c r="H1534" s="125" t="n">
        <v>46124</v>
      </c>
      <c r="I1534" t="inlineStr"/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N1534" t="inlineStr"/>
      <c r="O1534" t="inlineStr">
        <is>
          <t>RMS2321</t>
        </is>
      </c>
      <c r="P1534" t="inlineStr"/>
      <c r="Q1534" s="112" t="n">
        <v>0</v>
      </c>
      <c r="R1534" s="112" t="n">
        <v>1077.59</v>
      </c>
      <c r="S1534" s="112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D1535" t="inlineStr"/>
      <c r="E1535" t="inlineStr">
        <is>
          <t>ER</t>
        </is>
      </c>
      <c r="F1535" t="inlineStr"/>
      <c r="G1535" s="42" t="inlineStr"/>
      <c r="H1535" s="125" t="n">
        <v>46124</v>
      </c>
      <c r="I1535" t="inlineStr"/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N1535" t="inlineStr"/>
      <c r="O1535" t="inlineStr">
        <is>
          <t>RMS2321</t>
        </is>
      </c>
      <c r="P1535" t="inlineStr"/>
      <c r="Q1535" s="112" t="n">
        <v>0</v>
      </c>
      <c r="R1535" s="112" t="n">
        <v>1077.59</v>
      </c>
      <c r="S1535" s="112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D1536" t="inlineStr"/>
      <c r="E1536" t="inlineStr">
        <is>
          <t>ER</t>
        </is>
      </c>
      <c r="F1536" t="inlineStr"/>
      <c r="G1536" s="42" t="inlineStr"/>
      <c r="H1536" s="125" t="n">
        <v>46124</v>
      </c>
      <c r="I1536" t="inlineStr"/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N1536" t="inlineStr"/>
      <c r="O1536" t="inlineStr">
        <is>
          <t>RLD293</t>
        </is>
      </c>
      <c r="P1536" t="inlineStr"/>
      <c r="Q1536" s="112" t="n">
        <v>0</v>
      </c>
      <c r="R1536" s="112" t="n">
        <v>282.06</v>
      </c>
      <c r="S1536" s="112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D1537" t="inlineStr"/>
      <c r="E1537" t="inlineStr">
        <is>
          <t>ER</t>
        </is>
      </c>
      <c r="F1537" t="inlineStr"/>
      <c r="G1537" s="42" t="inlineStr"/>
      <c r="H1537" s="125" t="n">
        <v>46124</v>
      </c>
      <c r="I1537" t="inlineStr"/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N1537" t="inlineStr"/>
      <c r="O1537" t="inlineStr">
        <is>
          <t>RLD293</t>
        </is>
      </c>
      <c r="P1537" t="inlineStr"/>
      <c r="Q1537" s="112" t="n">
        <v>0</v>
      </c>
      <c r="R1537" s="112" t="n">
        <v>282.06</v>
      </c>
      <c r="S1537" s="112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D1538" t="inlineStr"/>
      <c r="E1538" t="inlineStr">
        <is>
          <t>ER</t>
        </is>
      </c>
      <c r="F1538" t="inlineStr"/>
      <c r="G1538" s="42" t="inlineStr"/>
      <c r="H1538" s="125" t="n">
        <v>46124</v>
      </c>
      <c r="I1538" t="inlineStr"/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N1538" t="inlineStr"/>
      <c r="O1538" t="inlineStr">
        <is>
          <t>RLD293</t>
        </is>
      </c>
      <c r="P1538" t="inlineStr"/>
      <c r="Q1538" s="112" t="n">
        <v>0</v>
      </c>
      <c r="R1538" s="112" t="n">
        <v>282.06</v>
      </c>
      <c r="S1538" s="112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D1539" t="inlineStr"/>
      <c r="E1539" t="inlineStr">
        <is>
          <t>ER</t>
        </is>
      </c>
      <c r="F1539" t="inlineStr"/>
      <c r="G1539" s="42" t="inlineStr"/>
      <c r="H1539" s="125" t="n">
        <v>46124</v>
      </c>
      <c r="I1539" t="inlineStr"/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N1539" t="inlineStr"/>
      <c r="O1539" t="inlineStr">
        <is>
          <t>RLD293</t>
        </is>
      </c>
      <c r="P1539" t="inlineStr"/>
      <c r="Q1539" s="112" t="n">
        <v>0</v>
      </c>
      <c r="R1539" s="112" t="n">
        <v>282.06</v>
      </c>
      <c r="S1539" s="112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D1540" t="inlineStr"/>
      <c r="E1540" t="inlineStr">
        <is>
          <t>ER</t>
        </is>
      </c>
      <c r="F1540" t="inlineStr"/>
      <c r="G1540" s="42" t="inlineStr"/>
      <c r="H1540" s="125" t="n">
        <v>46124</v>
      </c>
      <c r="I1540" t="inlineStr"/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N1540" t="inlineStr"/>
      <c r="O1540" t="inlineStr">
        <is>
          <t>RLD293</t>
        </is>
      </c>
      <c r="P1540" t="inlineStr"/>
      <c r="Q1540" s="112" t="n">
        <v>0</v>
      </c>
      <c r="R1540" s="112" t="n">
        <v>282.06</v>
      </c>
      <c r="S1540" s="112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D1541" t="inlineStr"/>
      <c r="E1541" t="inlineStr">
        <is>
          <t>ER</t>
        </is>
      </c>
      <c r="F1541" t="inlineStr"/>
      <c r="G1541" s="42" t="inlineStr"/>
      <c r="H1541" s="125" t="n">
        <v>46124</v>
      </c>
      <c r="I1541" t="inlineStr"/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N1541" t="inlineStr"/>
      <c r="O1541" t="inlineStr">
        <is>
          <t>RLD293</t>
        </is>
      </c>
      <c r="P1541" t="inlineStr"/>
      <c r="Q1541" s="112" t="n">
        <v>0</v>
      </c>
      <c r="R1541" s="112" t="n">
        <v>282.06</v>
      </c>
      <c r="S1541" s="112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D1542" t="inlineStr"/>
      <c r="E1542" t="inlineStr">
        <is>
          <t>ER</t>
        </is>
      </c>
      <c r="F1542" t="inlineStr"/>
      <c r="G1542" s="42" t="inlineStr"/>
      <c r="H1542" s="125" t="n">
        <v>46124</v>
      </c>
      <c r="I1542" t="inlineStr"/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N1542" t="inlineStr"/>
      <c r="O1542" t="inlineStr">
        <is>
          <t>RHV96</t>
        </is>
      </c>
      <c r="P1542" t="inlineStr"/>
      <c r="Q1542" s="112" t="n">
        <v>0</v>
      </c>
      <c r="R1542" s="112" t="n">
        <v>200</v>
      </c>
      <c r="S1542" s="112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D1543" t="inlineStr"/>
      <c r="E1543" t="inlineStr">
        <is>
          <t>ER</t>
        </is>
      </c>
      <c r="F1543" t="inlineStr"/>
      <c r="G1543" s="42" t="inlineStr"/>
      <c r="H1543" s="125" t="n">
        <v>46124</v>
      </c>
      <c r="I1543" t="inlineStr"/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N1543" t="inlineStr"/>
      <c r="O1543" t="inlineStr">
        <is>
          <t>RMS2320</t>
        </is>
      </c>
      <c r="P1543" t="inlineStr"/>
      <c r="Q1543" s="112" t="n">
        <v>0</v>
      </c>
      <c r="R1543" s="112" t="n">
        <v>1077.59</v>
      </c>
      <c r="S1543" s="112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D1544" t="inlineStr"/>
      <c r="E1544" t="inlineStr">
        <is>
          <t>ER</t>
        </is>
      </c>
      <c r="F1544" t="inlineStr"/>
      <c r="G1544" s="42" t="inlineStr"/>
      <c r="H1544" s="125" t="n">
        <v>46124</v>
      </c>
      <c r="I1544" t="inlineStr"/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N1544" t="inlineStr"/>
      <c r="O1544" t="inlineStr">
        <is>
          <t>RMS2320</t>
        </is>
      </c>
      <c r="P1544" t="inlineStr"/>
      <c r="Q1544" s="112" t="n">
        <v>0</v>
      </c>
      <c r="R1544" s="112" t="n">
        <v>1077.59</v>
      </c>
      <c r="S1544" s="112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D1545" t="inlineStr"/>
      <c r="E1545" t="inlineStr">
        <is>
          <t>ER</t>
        </is>
      </c>
      <c r="F1545" t="inlineStr"/>
      <c r="G1545" s="42" t="inlineStr"/>
      <c r="H1545" s="125" t="n">
        <v>46124</v>
      </c>
      <c r="I1545" t="inlineStr"/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N1545" t="inlineStr"/>
      <c r="O1545" t="inlineStr">
        <is>
          <t>RMS2320</t>
        </is>
      </c>
      <c r="P1545" t="inlineStr"/>
      <c r="Q1545" s="112" t="n">
        <v>0</v>
      </c>
      <c r="R1545" s="112" t="n">
        <v>1077.59</v>
      </c>
      <c r="S1545" s="112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D1546" t="inlineStr"/>
      <c r="E1546" t="inlineStr">
        <is>
          <t>ER</t>
        </is>
      </c>
      <c r="F1546" t="inlineStr"/>
      <c r="G1546" s="42" t="inlineStr"/>
      <c r="H1546" s="125" t="n">
        <v>46124</v>
      </c>
      <c r="I1546" t="inlineStr"/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N1546" t="inlineStr"/>
      <c r="O1546" t="inlineStr">
        <is>
          <t>RMS2320</t>
        </is>
      </c>
      <c r="P1546" t="inlineStr"/>
      <c r="Q1546" s="112" t="n">
        <v>0</v>
      </c>
      <c r="R1546" s="112" t="n">
        <v>1077.59</v>
      </c>
      <c r="S1546" s="112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D1547" t="inlineStr"/>
      <c r="E1547" t="inlineStr">
        <is>
          <t>ER</t>
        </is>
      </c>
      <c r="F1547" t="inlineStr"/>
      <c r="G1547" s="42" t="inlineStr"/>
      <c r="H1547" s="125" t="n">
        <v>46124</v>
      </c>
      <c r="I1547" t="inlineStr"/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N1547" t="inlineStr"/>
      <c r="O1547" t="inlineStr">
        <is>
          <t>RMS2320</t>
        </is>
      </c>
      <c r="P1547" t="inlineStr"/>
      <c r="Q1547" s="112" t="n">
        <v>0</v>
      </c>
      <c r="R1547" s="112" t="n">
        <v>1077.59</v>
      </c>
      <c r="S1547" s="112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D1548" t="inlineStr"/>
      <c r="E1548" t="inlineStr">
        <is>
          <t>ER</t>
        </is>
      </c>
      <c r="F1548" t="inlineStr"/>
      <c r="G1548" s="42" t="inlineStr"/>
      <c r="H1548" s="125" t="n">
        <v>46124</v>
      </c>
      <c r="I1548" t="inlineStr"/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N1548" t="inlineStr"/>
      <c r="O1548" t="inlineStr">
        <is>
          <t>REX665</t>
        </is>
      </c>
      <c r="P1548" t="inlineStr"/>
      <c r="Q1548" s="112" t="n">
        <v>0</v>
      </c>
      <c r="R1548" s="112" t="n">
        <v>458.33</v>
      </c>
      <c r="S1548" s="112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D1549" t="inlineStr"/>
      <c r="E1549" t="inlineStr">
        <is>
          <t>ER</t>
        </is>
      </c>
      <c r="F1549" t="inlineStr"/>
      <c r="G1549" s="42" t="inlineStr"/>
      <c r="H1549" s="125" t="n">
        <v>46124</v>
      </c>
      <c r="I1549" t="inlineStr"/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N1549" t="inlineStr"/>
      <c r="O1549" t="inlineStr">
        <is>
          <t>REX665</t>
        </is>
      </c>
      <c r="P1549" t="inlineStr"/>
      <c r="Q1549" s="112" t="n">
        <v>0</v>
      </c>
      <c r="R1549" s="112" t="n">
        <v>458.33</v>
      </c>
      <c r="S1549" s="112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D1550" t="inlineStr"/>
      <c r="E1550" t="inlineStr">
        <is>
          <t>ER</t>
        </is>
      </c>
      <c r="F1550" t="inlineStr"/>
      <c r="G1550" s="42" t="inlineStr"/>
      <c r="H1550" s="125" t="n">
        <v>46124</v>
      </c>
      <c r="I1550" t="inlineStr"/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N1550" t="inlineStr"/>
      <c r="O1550" t="inlineStr">
        <is>
          <t>REX665</t>
        </is>
      </c>
      <c r="P1550" t="inlineStr"/>
      <c r="Q1550" s="112" t="n">
        <v>0</v>
      </c>
      <c r="R1550" s="112" t="n">
        <v>458.33</v>
      </c>
      <c r="S1550" s="112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D1551" t="inlineStr"/>
      <c r="E1551" t="inlineStr">
        <is>
          <t>ER</t>
        </is>
      </c>
      <c r="F1551" t="inlineStr"/>
      <c r="G1551" s="42" t="inlineStr"/>
      <c r="H1551" s="125" t="n">
        <v>46124</v>
      </c>
      <c r="I1551" t="inlineStr"/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N1551" t="inlineStr"/>
      <c r="O1551" t="inlineStr">
        <is>
          <t>REX665</t>
        </is>
      </c>
      <c r="P1551" t="inlineStr"/>
      <c r="Q1551" s="112" t="n">
        <v>0</v>
      </c>
      <c r="R1551" s="112" t="n">
        <v>458.33</v>
      </c>
      <c r="S1551" s="112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D1552" t="inlineStr"/>
      <c r="E1552" t="inlineStr">
        <is>
          <t>ER</t>
        </is>
      </c>
      <c r="F1552" t="inlineStr"/>
      <c r="G1552" s="42" t="inlineStr"/>
      <c r="H1552" s="125" t="n">
        <v>46124</v>
      </c>
      <c r="I1552" t="inlineStr"/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N1552" t="inlineStr"/>
      <c r="O1552" t="inlineStr">
        <is>
          <t>RPK482</t>
        </is>
      </c>
      <c r="P1552" t="inlineStr"/>
      <c r="Q1552" s="112" t="n">
        <v>0</v>
      </c>
      <c r="R1552" s="112" t="n">
        <v>300</v>
      </c>
      <c r="S1552" s="112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D1553" t="inlineStr"/>
      <c r="E1553" t="inlineStr">
        <is>
          <t>ER</t>
        </is>
      </c>
      <c r="F1553" t="inlineStr"/>
      <c r="G1553" s="42" t="inlineStr"/>
      <c r="H1553" s="125" t="n">
        <v>46124</v>
      </c>
      <c r="I1553" t="inlineStr"/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N1553" t="inlineStr"/>
      <c r="O1553" t="inlineStr">
        <is>
          <t>RPK482</t>
        </is>
      </c>
      <c r="P1553" t="inlineStr"/>
      <c r="Q1553" s="112" t="n">
        <v>0</v>
      </c>
      <c r="R1553" s="112" t="n">
        <v>300</v>
      </c>
      <c r="S1553" s="112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D1554" t="inlineStr"/>
      <c r="E1554" t="inlineStr">
        <is>
          <t>ER</t>
        </is>
      </c>
      <c r="F1554" t="inlineStr"/>
      <c r="G1554" s="42" t="inlineStr"/>
      <c r="H1554" s="125" t="n">
        <v>46124</v>
      </c>
      <c r="I1554" t="inlineStr"/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N1554" t="inlineStr"/>
      <c r="O1554" t="inlineStr">
        <is>
          <t>RPK482</t>
        </is>
      </c>
      <c r="P1554" t="inlineStr"/>
      <c r="Q1554" s="112" t="n">
        <v>0</v>
      </c>
      <c r="R1554" s="112" t="n">
        <v>300</v>
      </c>
      <c r="S1554" s="112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D1555" t="inlineStr"/>
      <c r="E1555" t="inlineStr">
        <is>
          <t>ER</t>
        </is>
      </c>
      <c r="F1555" t="inlineStr"/>
      <c r="G1555" s="42" t="inlineStr"/>
      <c r="H1555" s="125" t="n">
        <v>46124</v>
      </c>
      <c r="I1555" t="inlineStr"/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N1555" t="inlineStr"/>
      <c r="O1555" t="inlineStr">
        <is>
          <t>RPK482</t>
        </is>
      </c>
      <c r="P1555" t="inlineStr"/>
      <c r="Q1555" s="112" t="n">
        <v>0</v>
      </c>
      <c r="R1555" s="112" t="n">
        <v>300</v>
      </c>
      <c r="S1555" s="112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D1556" t="inlineStr"/>
      <c r="E1556" t="inlineStr">
        <is>
          <t>ER</t>
        </is>
      </c>
      <c r="F1556" t="inlineStr"/>
      <c r="G1556" s="42" t="inlineStr"/>
      <c r="H1556" s="125" t="n">
        <v>46124</v>
      </c>
      <c r="I1556" t="inlineStr"/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N1556" t="inlineStr"/>
      <c r="O1556" t="inlineStr">
        <is>
          <t>RMS2318</t>
        </is>
      </c>
      <c r="P1556" t="inlineStr"/>
      <c r="Q1556" s="112" t="n">
        <v>0</v>
      </c>
      <c r="R1556" s="112" t="n">
        <v>200</v>
      </c>
      <c r="S1556" s="112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D1557" t="inlineStr"/>
      <c r="E1557" t="inlineStr">
        <is>
          <t>ER</t>
        </is>
      </c>
      <c r="F1557" t="inlineStr"/>
      <c r="G1557" s="42" t="inlineStr"/>
      <c r="H1557" s="125" t="n">
        <v>46124</v>
      </c>
      <c r="I1557" t="inlineStr"/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N1557" t="inlineStr"/>
      <c r="O1557" t="inlineStr">
        <is>
          <t>RMS2318</t>
        </is>
      </c>
      <c r="P1557" t="inlineStr"/>
      <c r="Q1557" s="112" t="n">
        <v>0</v>
      </c>
      <c r="R1557" s="112" t="n">
        <v>200</v>
      </c>
      <c r="S1557" s="112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D1558" t="inlineStr"/>
      <c r="E1558" t="inlineStr">
        <is>
          <t>ER</t>
        </is>
      </c>
      <c r="F1558" t="inlineStr"/>
      <c r="G1558" s="42" t="inlineStr"/>
      <c r="H1558" s="125" t="n">
        <v>46124</v>
      </c>
      <c r="I1558" t="inlineStr"/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N1558" t="inlineStr"/>
      <c r="O1558" t="inlineStr">
        <is>
          <t>RMS2318</t>
        </is>
      </c>
      <c r="P1558" t="inlineStr"/>
      <c r="Q1558" s="112" t="n">
        <v>0</v>
      </c>
      <c r="R1558" s="112" t="n">
        <v>200</v>
      </c>
      <c r="S1558" s="112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D1559" t="inlineStr"/>
      <c r="E1559" t="inlineStr">
        <is>
          <t>ER</t>
        </is>
      </c>
      <c r="F1559" t="inlineStr"/>
      <c r="G1559" t="inlineStr"/>
      <c r="H1559" s="125" t="n">
        <v>46124</v>
      </c>
      <c r="I1559" t="inlineStr"/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N1559" t="inlineStr"/>
      <c r="O1559" t="inlineStr">
        <is>
          <t>RMS2318</t>
        </is>
      </c>
      <c r="P1559" t="inlineStr"/>
      <c r="Q1559" s="112" t="n">
        <v>0</v>
      </c>
      <c r="R1559" s="112" t="n">
        <v>200</v>
      </c>
      <c r="S1559" s="112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D1560" t="inlineStr"/>
      <c r="E1560" t="inlineStr">
        <is>
          <t>ER</t>
        </is>
      </c>
      <c r="F1560" t="inlineStr"/>
      <c r="G1560" t="inlineStr"/>
      <c r="H1560" s="125" t="n">
        <v>46124</v>
      </c>
      <c r="I1560" t="inlineStr"/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N1560" t="inlineStr"/>
      <c r="O1560" t="inlineStr">
        <is>
          <t>RMS2318</t>
        </is>
      </c>
      <c r="P1560" t="inlineStr"/>
      <c r="Q1560" s="112" t="n">
        <v>0</v>
      </c>
      <c r="R1560" s="112" t="n">
        <v>200</v>
      </c>
      <c r="S1560" s="112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D1561" t="inlineStr"/>
      <c r="E1561" t="inlineStr">
        <is>
          <t>ER</t>
        </is>
      </c>
      <c r="F1561" t="inlineStr"/>
      <c r="G1561" t="inlineStr"/>
      <c r="H1561" s="125" t="n">
        <v>46124</v>
      </c>
      <c r="I1561" t="inlineStr"/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N1561" t="inlineStr"/>
      <c r="O1561" t="inlineStr">
        <is>
          <t>RMS2317</t>
        </is>
      </c>
      <c r="P1561" t="inlineStr"/>
      <c r="Q1561" s="112" t="n">
        <v>0</v>
      </c>
      <c r="R1561" s="112" t="n">
        <v>287.36</v>
      </c>
      <c r="S1561" s="112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D1562" t="inlineStr"/>
      <c r="E1562" t="inlineStr">
        <is>
          <t>ER</t>
        </is>
      </c>
      <c r="F1562" t="inlineStr"/>
      <c r="G1562" s="42" t="inlineStr"/>
      <c r="H1562" s="125" t="n">
        <v>46124</v>
      </c>
      <c r="I1562" t="inlineStr"/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N1562" t="inlineStr"/>
      <c r="O1562" t="inlineStr">
        <is>
          <t>RMS2317</t>
        </is>
      </c>
      <c r="P1562" t="inlineStr"/>
      <c r="Q1562" s="112" t="n">
        <v>0</v>
      </c>
      <c r="R1562" s="112" t="n">
        <v>287.36</v>
      </c>
      <c r="S1562" s="112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D1563" t="inlineStr"/>
      <c r="E1563" t="inlineStr">
        <is>
          <t>ER</t>
        </is>
      </c>
      <c r="F1563" t="inlineStr"/>
      <c r="G1563" s="42" t="inlineStr"/>
      <c r="H1563" s="125" t="n">
        <v>46124</v>
      </c>
      <c r="I1563" t="inlineStr"/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N1563" t="inlineStr"/>
      <c r="O1563" t="inlineStr">
        <is>
          <t>RMS2317</t>
        </is>
      </c>
      <c r="P1563" t="inlineStr"/>
      <c r="Q1563" s="112" t="n">
        <v>0</v>
      </c>
      <c r="R1563" s="112" t="n">
        <v>287.36</v>
      </c>
      <c r="S1563" s="112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D1564" t="inlineStr"/>
      <c r="E1564" t="inlineStr">
        <is>
          <t>ER</t>
        </is>
      </c>
      <c r="F1564" t="inlineStr"/>
      <c r="G1564" t="inlineStr"/>
      <c r="H1564" s="125" t="n">
        <v>46131</v>
      </c>
      <c r="I1564" t="inlineStr"/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N1564" t="inlineStr"/>
      <c r="O1564" t="inlineStr">
        <is>
          <t>RDZ318</t>
        </is>
      </c>
      <c r="P1564" t="inlineStr"/>
      <c r="Q1564" s="112" t="n">
        <v>0</v>
      </c>
      <c r="R1564" s="112" t="n">
        <v>778.74</v>
      </c>
      <c r="S1564" s="112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D1565" t="inlineStr"/>
      <c r="E1565" t="inlineStr">
        <is>
          <t>ER</t>
        </is>
      </c>
      <c r="F1565" t="inlineStr"/>
      <c r="G1565" t="inlineStr"/>
      <c r="H1565" s="125" t="n">
        <v>46131</v>
      </c>
      <c r="I1565" t="inlineStr"/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N1565" t="inlineStr"/>
      <c r="O1565" t="inlineStr">
        <is>
          <t>RDZ318</t>
        </is>
      </c>
      <c r="P1565" t="inlineStr"/>
      <c r="Q1565" s="112" t="n">
        <v>0</v>
      </c>
      <c r="R1565" s="112" t="n">
        <v>778.74</v>
      </c>
      <c r="S1565" s="112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D1566" t="inlineStr"/>
      <c r="E1566" t="inlineStr">
        <is>
          <t>ER</t>
        </is>
      </c>
      <c r="F1566" t="inlineStr"/>
      <c r="G1566" s="42" t="inlineStr"/>
      <c r="H1566" s="125" t="n">
        <v>46131</v>
      </c>
      <c r="I1566" t="inlineStr"/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N1566" t="inlineStr"/>
      <c r="O1566" t="inlineStr">
        <is>
          <t>RDZ318</t>
        </is>
      </c>
      <c r="P1566" t="inlineStr"/>
      <c r="Q1566" s="112" t="n">
        <v>0</v>
      </c>
      <c r="R1566" s="112" t="n">
        <v>778.74</v>
      </c>
      <c r="S1566" s="112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D1567" t="inlineStr"/>
      <c r="E1567" t="inlineStr">
        <is>
          <t>ER</t>
        </is>
      </c>
      <c r="F1567" t="inlineStr"/>
      <c r="G1567" s="42" t="inlineStr"/>
      <c r="H1567" s="125" t="n">
        <v>46131</v>
      </c>
      <c r="I1567" t="inlineStr"/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N1567" t="inlineStr"/>
      <c r="O1567" t="inlineStr">
        <is>
          <t>RDZ318</t>
        </is>
      </c>
      <c r="P1567" t="inlineStr"/>
      <c r="Q1567" s="112" t="n">
        <v>0</v>
      </c>
      <c r="R1567" s="112" t="n">
        <v>778.74</v>
      </c>
      <c r="S1567" s="112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D1568" t="inlineStr"/>
      <c r="E1568" t="inlineStr">
        <is>
          <t>ER</t>
        </is>
      </c>
      <c r="F1568" t="inlineStr"/>
      <c r="G1568" s="42" t="inlineStr"/>
      <c r="H1568" s="125" t="n">
        <v>46131</v>
      </c>
      <c r="I1568" t="inlineStr"/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N1568" t="inlineStr"/>
      <c r="O1568" t="inlineStr">
        <is>
          <t>RDZ318</t>
        </is>
      </c>
      <c r="P1568" t="inlineStr"/>
      <c r="Q1568" s="112" t="n">
        <v>0</v>
      </c>
      <c r="R1568" s="112" t="n">
        <v>778.74</v>
      </c>
      <c r="S1568" s="112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D1569" t="inlineStr"/>
      <c r="E1569" t="inlineStr">
        <is>
          <t>ER</t>
        </is>
      </c>
      <c r="F1569" t="inlineStr"/>
      <c r="G1569" s="42" t="inlineStr"/>
      <c r="H1569" s="125" t="n">
        <v>46131</v>
      </c>
      <c r="I1569" t="inlineStr"/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N1569" t="inlineStr"/>
      <c r="O1569" t="inlineStr">
        <is>
          <t>RDZ318</t>
        </is>
      </c>
      <c r="P1569" t="inlineStr"/>
      <c r="Q1569" s="112" t="n">
        <v>0</v>
      </c>
      <c r="R1569" s="112" t="n">
        <v>778.74</v>
      </c>
      <c r="S1569" s="112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D1570" t="inlineStr"/>
      <c r="E1570" t="inlineStr">
        <is>
          <t>ER</t>
        </is>
      </c>
      <c r="F1570" t="inlineStr"/>
      <c r="G1570" s="42" t="inlineStr"/>
      <c r="H1570" s="125" t="n">
        <v>46131</v>
      </c>
      <c r="I1570" t="inlineStr"/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N1570" t="inlineStr"/>
      <c r="O1570" t="inlineStr">
        <is>
          <t>RGR114</t>
        </is>
      </c>
      <c r="P1570" t="inlineStr"/>
      <c r="Q1570" s="112" t="n">
        <v>0</v>
      </c>
      <c r="R1570" s="112" t="n">
        <v>604.17</v>
      </c>
      <c r="S1570" s="112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D1571" t="inlineStr"/>
      <c r="E1571" t="inlineStr">
        <is>
          <t>ER</t>
        </is>
      </c>
      <c r="F1571" t="inlineStr"/>
      <c r="G1571" s="42" t="inlineStr"/>
      <c r="H1571" s="125" t="n">
        <v>46131</v>
      </c>
      <c r="I1571" t="inlineStr"/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N1571" t="inlineStr"/>
      <c r="O1571" t="inlineStr">
        <is>
          <t>RGR114</t>
        </is>
      </c>
      <c r="P1571" t="inlineStr"/>
      <c r="Q1571" s="112" t="n">
        <v>0</v>
      </c>
      <c r="R1571" s="112" t="n">
        <v>604.17</v>
      </c>
      <c r="S1571" s="112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D1572" t="inlineStr"/>
      <c r="E1572" t="inlineStr">
        <is>
          <t>ER</t>
        </is>
      </c>
      <c r="F1572" t="inlineStr"/>
      <c r="G1572" s="42" t="inlineStr"/>
      <c r="H1572" s="125" t="n">
        <v>46131</v>
      </c>
      <c r="I1572" t="inlineStr"/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N1572" t="inlineStr"/>
      <c r="O1572" t="inlineStr">
        <is>
          <t>RGR114</t>
        </is>
      </c>
      <c r="P1572" t="inlineStr"/>
      <c r="Q1572" s="112" t="n">
        <v>0</v>
      </c>
      <c r="R1572" s="112" t="n">
        <v>604.17</v>
      </c>
      <c r="S1572" s="112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D1573" t="inlineStr"/>
      <c r="E1573" t="inlineStr">
        <is>
          <t>ER</t>
        </is>
      </c>
      <c r="F1573" t="inlineStr"/>
      <c r="G1573" s="42" t="inlineStr"/>
      <c r="H1573" s="125" t="n">
        <v>46131</v>
      </c>
      <c r="I1573" t="inlineStr"/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N1573" t="inlineStr"/>
      <c r="O1573" t="inlineStr">
        <is>
          <t>RGR114</t>
        </is>
      </c>
      <c r="P1573" t="inlineStr"/>
      <c r="Q1573" s="112" t="n">
        <v>0</v>
      </c>
      <c r="R1573" s="112" t="n">
        <v>604.17</v>
      </c>
      <c r="S1573" s="112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D1574" t="inlineStr"/>
      <c r="E1574" t="inlineStr">
        <is>
          <t>ER</t>
        </is>
      </c>
      <c r="F1574" t="inlineStr"/>
      <c r="G1574" s="42" t="inlineStr"/>
      <c r="H1574" s="125" t="n">
        <v>46131</v>
      </c>
      <c r="I1574" t="inlineStr"/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N1574" t="inlineStr"/>
      <c r="O1574" t="inlineStr">
        <is>
          <t>RGR114</t>
        </is>
      </c>
      <c r="P1574" t="inlineStr"/>
      <c r="Q1574" s="112" t="n">
        <v>0</v>
      </c>
      <c r="R1574" s="112" t="n">
        <v>604.17</v>
      </c>
      <c r="S1574" s="112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D1575" t="inlineStr"/>
      <c r="E1575" t="inlineStr">
        <is>
          <t>ER</t>
        </is>
      </c>
      <c r="F1575" t="inlineStr"/>
      <c r="G1575" s="42" t="inlineStr"/>
      <c r="H1575" s="125" t="n">
        <v>46131</v>
      </c>
      <c r="I1575" t="inlineStr"/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N1575" t="inlineStr"/>
      <c r="O1575" t="inlineStr">
        <is>
          <t>RGR114</t>
        </is>
      </c>
      <c r="P1575" t="inlineStr"/>
      <c r="Q1575" s="112" t="n">
        <v>0</v>
      </c>
      <c r="R1575" s="112" t="n">
        <v>604.17</v>
      </c>
      <c r="S1575" s="112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D1576" t="inlineStr"/>
      <c r="E1576" t="inlineStr">
        <is>
          <t>ER</t>
        </is>
      </c>
      <c r="F1576" t="inlineStr"/>
      <c r="G1576" s="42" t="inlineStr"/>
      <c r="H1576" s="125" t="n">
        <v>46131</v>
      </c>
      <c r="I1576" t="inlineStr"/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N1576" t="inlineStr"/>
      <c r="O1576" t="inlineStr">
        <is>
          <t>RFT890</t>
        </is>
      </c>
      <c r="P1576" t="inlineStr"/>
      <c r="Q1576" s="112" t="n">
        <v>0</v>
      </c>
      <c r="R1576" s="112" t="n">
        <v>500</v>
      </c>
      <c r="S1576" s="112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D1577" t="inlineStr"/>
      <c r="E1577" t="inlineStr">
        <is>
          <t>ER</t>
        </is>
      </c>
      <c r="F1577" t="inlineStr"/>
      <c r="G1577" s="42" t="inlineStr"/>
      <c r="H1577" s="125" t="n">
        <v>46131</v>
      </c>
      <c r="I1577" t="inlineStr"/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N1577" t="inlineStr"/>
      <c r="O1577" t="inlineStr">
        <is>
          <t>RFT890</t>
        </is>
      </c>
      <c r="P1577" t="inlineStr"/>
      <c r="Q1577" s="112" t="n">
        <v>0</v>
      </c>
      <c r="R1577" s="112" t="n">
        <v>500</v>
      </c>
      <c r="S1577" s="112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D1578" t="inlineStr"/>
      <c r="E1578" t="inlineStr">
        <is>
          <t>ER</t>
        </is>
      </c>
      <c r="F1578" t="inlineStr"/>
      <c r="G1578" s="42" t="inlineStr"/>
      <c r="H1578" s="125" t="n">
        <v>46131</v>
      </c>
      <c r="I1578" t="inlineStr"/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N1578" t="inlineStr"/>
      <c r="O1578" t="inlineStr">
        <is>
          <t>RFT890</t>
        </is>
      </c>
      <c r="P1578" t="inlineStr"/>
      <c r="Q1578" s="112" t="n">
        <v>0</v>
      </c>
      <c r="R1578" s="112" t="n">
        <v>500</v>
      </c>
      <c r="S1578" s="112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D1579" t="inlineStr"/>
      <c r="E1579" t="inlineStr">
        <is>
          <t>ER</t>
        </is>
      </c>
      <c r="F1579" t="inlineStr"/>
      <c r="G1579" s="42" t="inlineStr"/>
      <c r="H1579" s="125" t="n">
        <v>46131</v>
      </c>
      <c r="I1579" t="inlineStr"/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N1579" t="inlineStr"/>
      <c r="O1579" t="inlineStr">
        <is>
          <t>RFT890</t>
        </is>
      </c>
      <c r="P1579" t="inlineStr"/>
      <c r="Q1579" s="112" t="n">
        <v>0</v>
      </c>
      <c r="R1579" s="112" t="n">
        <v>500</v>
      </c>
      <c r="S1579" s="112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D1580" t="inlineStr"/>
      <c r="E1580" t="inlineStr">
        <is>
          <t>ER</t>
        </is>
      </c>
      <c r="F1580" t="inlineStr"/>
      <c r="G1580" t="inlineStr"/>
      <c r="H1580" s="125" t="n">
        <v>46131</v>
      </c>
      <c r="I1580" t="inlineStr"/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N1580" t="inlineStr"/>
      <c r="O1580" t="inlineStr">
        <is>
          <t>RFT890</t>
        </is>
      </c>
      <c r="P1580" t="inlineStr"/>
      <c r="Q1580" s="112" t="n">
        <v>0</v>
      </c>
      <c r="R1580" s="112" t="n">
        <v>500</v>
      </c>
      <c r="S1580" s="112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D1581" t="inlineStr"/>
      <c r="E1581" t="inlineStr">
        <is>
          <t>ER</t>
        </is>
      </c>
      <c r="F1581" t="inlineStr"/>
      <c r="G1581" s="42" t="inlineStr"/>
      <c r="H1581" s="125" t="n">
        <v>46131</v>
      </c>
      <c r="I1581" t="inlineStr"/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N1581" t="inlineStr"/>
      <c r="O1581" t="inlineStr">
        <is>
          <t>RFT890</t>
        </is>
      </c>
      <c r="P1581" t="inlineStr"/>
      <c r="Q1581" s="112" t="n">
        <v>0</v>
      </c>
      <c r="R1581" s="112" t="n">
        <v>500</v>
      </c>
      <c r="S1581" s="112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D1582" t="inlineStr"/>
      <c r="E1582" t="inlineStr">
        <is>
          <t>ER</t>
        </is>
      </c>
      <c r="F1582" t="inlineStr"/>
      <c r="G1582" s="42" t="inlineStr"/>
      <c r="H1582" s="125" t="n">
        <v>46131</v>
      </c>
      <c r="I1582" t="inlineStr"/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N1582" t="inlineStr"/>
      <c r="O1582" t="inlineStr">
        <is>
          <t>RFT891</t>
        </is>
      </c>
      <c r="P1582" t="inlineStr"/>
      <c r="Q1582" s="112" t="n">
        <v>0</v>
      </c>
      <c r="R1582" s="112" t="n">
        <v>500</v>
      </c>
      <c r="S1582" s="112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D1583" t="inlineStr"/>
      <c r="E1583" t="inlineStr">
        <is>
          <t>ER</t>
        </is>
      </c>
      <c r="F1583" t="inlineStr"/>
      <c r="G1583" s="42" t="inlineStr"/>
      <c r="H1583" s="125" t="n">
        <v>46131</v>
      </c>
      <c r="I1583" t="inlineStr"/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N1583" t="inlineStr"/>
      <c r="O1583" t="inlineStr">
        <is>
          <t>RFT891</t>
        </is>
      </c>
      <c r="P1583" t="inlineStr"/>
      <c r="Q1583" s="112" t="n">
        <v>0</v>
      </c>
      <c r="R1583" s="112" t="n">
        <v>500</v>
      </c>
      <c r="S1583" s="112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D1584" t="inlineStr"/>
      <c r="E1584" t="inlineStr">
        <is>
          <t>ER</t>
        </is>
      </c>
      <c r="F1584" t="inlineStr"/>
      <c r="G1584" s="42" t="inlineStr"/>
      <c r="H1584" s="125" t="n">
        <v>46131</v>
      </c>
      <c r="I1584" t="inlineStr"/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N1584" t="inlineStr"/>
      <c r="O1584" t="inlineStr">
        <is>
          <t>RFT891</t>
        </is>
      </c>
      <c r="P1584" t="inlineStr"/>
      <c r="Q1584" s="112" t="n">
        <v>0</v>
      </c>
      <c r="R1584" s="112" t="n">
        <v>500</v>
      </c>
      <c r="S1584" s="112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D1585" t="inlineStr"/>
      <c r="E1585" t="inlineStr">
        <is>
          <t>ER</t>
        </is>
      </c>
      <c r="F1585" t="inlineStr"/>
      <c r="G1585" s="42" t="inlineStr"/>
      <c r="H1585" s="125" t="n">
        <v>46131</v>
      </c>
      <c r="I1585" t="inlineStr"/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N1585" t="inlineStr"/>
      <c r="O1585" t="inlineStr">
        <is>
          <t>RFT891</t>
        </is>
      </c>
      <c r="P1585" t="inlineStr"/>
      <c r="Q1585" s="112" t="n">
        <v>0</v>
      </c>
      <c r="R1585" s="112" t="n">
        <v>500</v>
      </c>
      <c r="S1585" s="112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D1586" t="inlineStr"/>
      <c r="E1586" t="inlineStr">
        <is>
          <t>ER</t>
        </is>
      </c>
      <c r="F1586" t="inlineStr"/>
      <c r="G1586" s="42" t="inlineStr"/>
      <c r="H1586" s="125" t="n">
        <v>46131</v>
      </c>
      <c r="I1586" t="inlineStr"/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N1586" t="inlineStr"/>
      <c r="O1586" t="inlineStr">
        <is>
          <t>RFT891</t>
        </is>
      </c>
      <c r="P1586" t="inlineStr"/>
      <c r="Q1586" s="112" t="n">
        <v>0</v>
      </c>
      <c r="R1586" s="112" t="n">
        <v>500</v>
      </c>
      <c r="S1586" s="112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D1587" t="inlineStr"/>
      <c r="E1587" t="inlineStr">
        <is>
          <t>ER</t>
        </is>
      </c>
      <c r="F1587" t="inlineStr"/>
      <c r="G1587" s="42" t="inlineStr"/>
      <c r="H1587" s="125" t="n">
        <v>46131</v>
      </c>
      <c r="I1587" t="inlineStr"/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N1587" t="inlineStr"/>
      <c r="O1587" t="inlineStr">
        <is>
          <t>RFT891</t>
        </is>
      </c>
      <c r="P1587" t="inlineStr"/>
      <c r="Q1587" s="112" t="n">
        <v>0</v>
      </c>
      <c r="R1587" s="112" t="n">
        <v>500</v>
      </c>
      <c r="S1587" s="112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D1588" t="inlineStr"/>
      <c r="E1588" t="inlineStr">
        <is>
          <t>ER</t>
        </is>
      </c>
      <c r="F1588" t="inlineStr"/>
      <c r="G1588" s="42" t="inlineStr"/>
      <c r="H1588" s="125" t="n">
        <v>46131</v>
      </c>
      <c r="I1588" t="inlineStr"/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N1588" t="inlineStr"/>
      <c r="O1588" t="inlineStr">
        <is>
          <t>RMS2319</t>
        </is>
      </c>
      <c r="P1588" t="inlineStr"/>
      <c r="Q1588" s="112" t="n">
        <v>0</v>
      </c>
      <c r="R1588" s="112" t="n">
        <v>179.6</v>
      </c>
      <c r="S1588" s="112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D1589" t="inlineStr"/>
      <c r="E1589" t="inlineStr">
        <is>
          <t>ER</t>
        </is>
      </c>
      <c r="F1589" t="inlineStr"/>
      <c r="G1589" s="42" t="inlineStr"/>
      <c r="H1589" s="125" t="n">
        <v>46131</v>
      </c>
      <c r="I1589" t="inlineStr"/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N1589" t="inlineStr"/>
      <c r="O1589" t="inlineStr">
        <is>
          <t>RMS2319</t>
        </is>
      </c>
      <c r="P1589" t="inlineStr"/>
      <c r="Q1589" s="112" t="n">
        <v>0</v>
      </c>
      <c r="R1589" s="112" t="n">
        <v>179.6</v>
      </c>
      <c r="S1589" s="112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D1590" t="inlineStr"/>
      <c r="E1590" t="inlineStr">
        <is>
          <t>ER</t>
        </is>
      </c>
      <c r="F1590" t="inlineStr"/>
      <c r="G1590" s="42" t="inlineStr"/>
      <c r="H1590" s="125" t="n">
        <v>46131</v>
      </c>
      <c r="I1590" t="inlineStr"/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N1590" t="inlineStr"/>
      <c r="O1590" t="inlineStr">
        <is>
          <t>RMS2319</t>
        </is>
      </c>
      <c r="P1590" t="inlineStr"/>
      <c r="Q1590" s="112" t="n">
        <v>0</v>
      </c>
      <c r="R1590" s="112" t="n">
        <v>179.6</v>
      </c>
      <c r="S1590" s="112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D1591" t="inlineStr"/>
      <c r="E1591" t="inlineStr">
        <is>
          <t>ER</t>
        </is>
      </c>
      <c r="F1591" t="inlineStr"/>
      <c r="G1591" s="42" t="inlineStr"/>
      <c r="H1591" s="125" t="n">
        <v>46131</v>
      </c>
      <c r="I1591" t="inlineStr"/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N1591" t="inlineStr"/>
      <c r="O1591" t="inlineStr">
        <is>
          <t>RMS2319</t>
        </is>
      </c>
      <c r="P1591" t="inlineStr"/>
      <c r="Q1591" s="112" t="n">
        <v>0</v>
      </c>
      <c r="R1591" s="112" t="n">
        <v>179.6</v>
      </c>
      <c r="S1591" s="112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D1592" t="inlineStr"/>
      <c r="E1592" t="inlineStr">
        <is>
          <t>ER</t>
        </is>
      </c>
      <c r="F1592" t="inlineStr"/>
      <c r="G1592" s="42" t="inlineStr"/>
      <c r="H1592" s="125" t="n">
        <v>46131</v>
      </c>
      <c r="I1592" t="inlineStr"/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N1592" t="inlineStr"/>
      <c r="O1592" t="inlineStr">
        <is>
          <t>RMS2319</t>
        </is>
      </c>
      <c r="P1592" t="inlineStr"/>
      <c r="Q1592" s="112" t="n">
        <v>0</v>
      </c>
      <c r="R1592" s="112" t="n">
        <v>179.6</v>
      </c>
      <c r="S1592" s="112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D1593" t="inlineStr"/>
      <c r="E1593" t="inlineStr">
        <is>
          <t>ER</t>
        </is>
      </c>
      <c r="F1593" t="inlineStr"/>
      <c r="G1593" s="42" t="inlineStr"/>
      <c r="H1593" s="125" t="n">
        <v>46131</v>
      </c>
      <c r="I1593" t="inlineStr"/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N1593" t="inlineStr"/>
      <c r="O1593" t="inlineStr">
        <is>
          <t>RMS2319</t>
        </is>
      </c>
      <c r="P1593" t="inlineStr"/>
      <c r="Q1593" s="112" t="n">
        <v>0</v>
      </c>
      <c r="R1593" s="112" t="n">
        <v>179.6</v>
      </c>
      <c r="S1593" s="112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D1594" t="inlineStr"/>
      <c r="E1594" t="inlineStr">
        <is>
          <t>ER</t>
        </is>
      </c>
      <c r="F1594" t="inlineStr"/>
      <c r="G1594" s="42" t="inlineStr"/>
      <c r="H1594" s="125" t="n">
        <v>46131</v>
      </c>
      <c r="I1594" t="inlineStr"/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N1594" t="inlineStr"/>
      <c r="O1594" t="inlineStr">
        <is>
          <t>RLD293</t>
        </is>
      </c>
      <c r="P1594" t="inlineStr"/>
      <c r="Q1594" s="112" t="n">
        <v>0</v>
      </c>
      <c r="R1594" s="112" t="n">
        <v>282.06</v>
      </c>
      <c r="S1594" s="112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D1595" t="inlineStr"/>
      <c r="E1595" t="inlineStr">
        <is>
          <t>ER</t>
        </is>
      </c>
      <c r="F1595" t="inlineStr"/>
      <c r="G1595" s="42" t="inlineStr"/>
      <c r="H1595" s="125" t="n">
        <v>46131</v>
      </c>
      <c r="I1595" t="inlineStr"/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N1595" t="inlineStr"/>
      <c r="O1595" t="inlineStr">
        <is>
          <t>RLD293</t>
        </is>
      </c>
      <c r="P1595" t="inlineStr"/>
      <c r="Q1595" s="112" t="n">
        <v>0</v>
      </c>
      <c r="R1595" s="112" t="n">
        <v>282.06</v>
      </c>
      <c r="S1595" s="112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D1596" t="inlineStr"/>
      <c r="E1596" t="inlineStr">
        <is>
          <t>ER</t>
        </is>
      </c>
      <c r="F1596" t="inlineStr"/>
      <c r="G1596" s="42" t="inlineStr"/>
      <c r="H1596" s="125" t="n">
        <v>46131</v>
      </c>
      <c r="I1596" t="inlineStr"/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N1596" t="inlineStr"/>
      <c r="O1596" t="inlineStr">
        <is>
          <t>RLD293</t>
        </is>
      </c>
      <c r="P1596" t="inlineStr"/>
      <c r="Q1596" s="112" t="n">
        <v>0</v>
      </c>
      <c r="R1596" s="112" t="n">
        <v>282.06</v>
      </c>
      <c r="S1596" s="112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D1597" t="inlineStr"/>
      <c r="E1597" t="inlineStr">
        <is>
          <t>ER</t>
        </is>
      </c>
      <c r="F1597" t="inlineStr"/>
      <c r="G1597" s="42" t="inlineStr"/>
      <c r="H1597" s="125" t="n">
        <v>46131</v>
      </c>
      <c r="I1597" t="inlineStr"/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N1597" t="inlineStr"/>
      <c r="O1597" t="inlineStr">
        <is>
          <t>RLD293</t>
        </is>
      </c>
      <c r="P1597" t="inlineStr"/>
      <c r="Q1597" s="112" t="n">
        <v>0</v>
      </c>
      <c r="R1597" s="112" t="n">
        <v>282.06</v>
      </c>
      <c r="S1597" s="112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D1598" t="inlineStr"/>
      <c r="E1598" t="inlineStr">
        <is>
          <t>ER</t>
        </is>
      </c>
      <c r="F1598" t="inlineStr"/>
      <c r="G1598" s="42" t="inlineStr"/>
      <c r="H1598" s="125" t="n">
        <v>46131</v>
      </c>
      <c r="I1598" t="inlineStr"/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N1598" t="inlineStr"/>
      <c r="O1598" t="inlineStr">
        <is>
          <t>RLD293</t>
        </is>
      </c>
      <c r="P1598" t="inlineStr"/>
      <c r="Q1598" s="112" t="n">
        <v>0</v>
      </c>
      <c r="R1598" s="112" t="n">
        <v>282.06</v>
      </c>
      <c r="S1598" s="112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D1599" t="inlineStr"/>
      <c r="E1599" t="inlineStr">
        <is>
          <t>ER</t>
        </is>
      </c>
      <c r="F1599" t="inlineStr"/>
      <c r="G1599" t="inlineStr"/>
      <c r="H1599" s="125" t="n">
        <v>46131</v>
      </c>
      <c r="I1599" t="inlineStr"/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N1599" t="inlineStr"/>
      <c r="O1599" t="inlineStr">
        <is>
          <t>RLD293</t>
        </is>
      </c>
      <c r="P1599" t="inlineStr"/>
      <c r="Q1599" s="112" t="n">
        <v>0</v>
      </c>
      <c r="R1599" s="112" t="n">
        <v>282.06</v>
      </c>
      <c r="S1599" s="112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D1600" t="inlineStr"/>
      <c r="E1600" t="inlineStr">
        <is>
          <t>ER</t>
        </is>
      </c>
      <c r="F1600" t="inlineStr"/>
      <c r="G1600" t="inlineStr"/>
      <c r="H1600" s="125" t="n">
        <v>46131</v>
      </c>
      <c r="I1600" t="inlineStr"/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N1600" t="inlineStr"/>
      <c r="O1600" t="inlineStr">
        <is>
          <t>RHV96</t>
        </is>
      </c>
      <c r="P1600" t="inlineStr"/>
      <c r="Q1600" s="112" t="n">
        <v>0</v>
      </c>
      <c r="R1600" s="112" t="n">
        <v>200</v>
      </c>
      <c r="S1600" s="112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D1601" t="inlineStr"/>
      <c r="E1601" t="inlineStr">
        <is>
          <t>ER</t>
        </is>
      </c>
      <c r="F1601" t="inlineStr"/>
      <c r="G1601" t="inlineStr"/>
      <c r="H1601" s="125" t="n">
        <v>46131</v>
      </c>
      <c r="I1601" t="inlineStr"/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N1601" t="inlineStr"/>
      <c r="O1601" t="inlineStr">
        <is>
          <t>RHV96</t>
        </is>
      </c>
      <c r="P1601" t="inlineStr"/>
      <c r="Q1601" s="112" t="n">
        <v>0</v>
      </c>
      <c r="R1601" s="112" t="n">
        <v>200</v>
      </c>
      <c r="S1601" s="112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D1602" t="inlineStr"/>
      <c r="E1602" t="inlineStr">
        <is>
          <t>ER</t>
        </is>
      </c>
      <c r="F1602" t="inlineStr"/>
      <c r="G1602" t="inlineStr"/>
      <c r="H1602" s="125" t="n">
        <v>46131</v>
      </c>
      <c r="I1602" t="inlineStr"/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N1602" t="inlineStr"/>
      <c r="O1602" t="inlineStr">
        <is>
          <t>RHV96</t>
        </is>
      </c>
      <c r="P1602" t="inlineStr"/>
      <c r="Q1602" s="112" t="n">
        <v>0</v>
      </c>
      <c r="R1602" s="112" t="n">
        <v>200</v>
      </c>
      <c r="S1602" s="112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D1603" t="inlineStr"/>
      <c r="E1603" t="inlineStr">
        <is>
          <t>ER</t>
        </is>
      </c>
      <c r="F1603" t="inlineStr"/>
      <c r="G1603" t="inlineStr"/>
      <c r="H1603" s="125" t="n">
        <v>46131</v>
      </c>
      <c r="I1603" t="inlineStr"/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N1603" t="inlineStr"/>
      <c r="O1603" t="inlineStr">
        <is>
          <t>RHV96</t>
        </is>
      </c>
      <c r="P1603" t="inlineStr"/>
      <c r="Q1603" s="112" t="n">
        <v>0</v>
      </c>
      <c r="R1603" s="112" t="n">
        <v>200</v>
      </c>
      <c r="S1603" s="112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D1604" t="inlineStr"/>
      <c r="E1604" t="inlineStr">
        <is>
          <t>ER</t>
        </is>
      </c>
      <c r="F1604" t="inlineStr"/>
      <c r="G1604" t="inlineStr"/>
      <c r="H1604" s="125" t="n">
        <v>46131</v>
      </c>
      <c r="I1604" t="inlineStr"/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N1604" t="inlineStr"/>
      <c r="O1604" t="inlineStr">
        <is>
          <t>RHV96</t>
        </is>
      </c>
      <c r="P1604" t="inlineStr"/>
      <c r="Q1604" s="112" t="n">
        <v>0</v>
      </c>
      <c r="R1604" s="112" t="n">
        <v>200</v>
      </c>
      <c r="S1604" s="112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D1605" t="inlineStr"/>
      <c r="E1605" t="inlineStr">
        <is>
          <t>ER</t>
        </is>
      </c>
      <c r="F1605" t="inlineStr"/>
      <c r="G1605" t="inlineStr"/>
      <c r="H1605" s="125" t="n">
        <v>46131</v>
      </c>
      <c r="I1605" t="inlineStr"/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N1605" t="inlineStr"/>
      <c r="O1605" t="inlineStr">
        <is>
          <t>RHV96</t>
        </is>
      </c>
      <c r="P1605" t="inlineStr"/>
      <c r="Q1605" s="112" t="n">
        <v>0</v>
      </c>
      <c r="R1605" s="112" t="n">
        <v>200</v>
      </c>
      <c r="S1605" s="112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D1606" t="inlineStr"/>
      <c r="E1606" t="inlineStr">
        <is>
          <t>ER</t>
        </is>
      </c>
      <c r="F1606" t="inlineStr"/>
      <c r="G1606" t="inlineStr"/>
      <c r="H1606" s="125" t="n">
        <v>46131</v>
      </c>
      <c r="I1606" t="inlineStr"/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N1606" t="inlineStr"/>
      <c r="O1606" t="inlineStr">
        <is>
          <t>RMS2320</t>
        </is>
      </c>
      <c r="P1606" t="inlineStr"/>
      <c r="Q1606" s="112" t="n">
        <v>0</v>
      </c>
      <c r="R1606" s="112" t="n">
        <v>1077.59</v>
      </c>
      <c r="S1606" s="112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D1607" t="inlineStr"/>
      <c r="E1607" t="inlineStr">
        <is>
          <t>ER</t>
        </is>
      </c>
      <c r="F1607" t="inlineStr"/>
      <c r="G1607" t="inlineStr"/>
      <c r="H1607" s="125" t="n">
        <v>46131</v>
      </c>
      <c r="I1607" t="inlineStr"/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N1607" t="inlineStr"/>
      <c r="O1607" t="inlineStr">
        <is>
          <t>RMS2320</t>
        </is>
      </c>
      <c r="P1607" t="inlineStr"/>
      <c r="Q1607" s="112" t="n">
        <v>0</v>
      </c>
      <c r="R1607" s="112" t="n">
        <v>1077.59</v>
      </c>
      <c r="S1607" s="112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D1608" t="inlineStr"/>
      <c r="E1608" t="inlineStr">
        <is>
          <t>ER</t>
        </is>
      </c>
      <c r="F1608" t="inlineStr"/>
      <c r="G1608" t="inlineStr"/>
      <c r="H1608" s="125" t="n">
        <v>46131</v>
      </c>
      <c r="I1608" t="inlineStr"/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N1608" t="inlineStr"/>
      <c r="O1608" t="inlineStr">
        <is>
          <t>RMS2320</t>
        </is>
      </c>
      <c r="P1608" t="inlineStr"/>
      <c r="Q1608" s="112" t="n">
        <v>0</v>
      </c>
      <c r="R1608" s="112" t="n">
        <v>1077.59</v>
      </c>
      <c r="S1608" s="112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D1609" t="inlineStr"/>
      <c r="E1609" t="inlineStr">
        <is>
          <t>ER</t>
        </is>
      </c>
      <c r="F1609" t="inlineStr"/>
      <c r="G1609" t="inlineStr"/>
      <c r="H1609" s="125" t="n">
        <v>46131</v>
      </c>
      <c r="I1609" t="inlineStr"/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N1609" t="inlineStr"/>
      <c r="O1609" t="inlineStr">
        <is>
          <t>RMS2320</t>
        </is>
      </c>
      <c r="P1609" t="inlineStr"/>
      <c r="Q1609" s="112" t="n">
        <v>0</v>
      </c>
      <c r="R1609" s="112" t="n">
        <v>1077.59</v>
      </c>
      <c r="S1609" s="112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D1610" t="inlineStr"/>
      <c r="E1610" t="inlineStr">
        <is>
          <t>ER</t>
        </is>
      </c>
      <c r="F1610" t="inlineStr"/>
      <c r="G1610" t="inlineStr"/>
      <c r="H1610" s="125" t="n">
        <v>46131</v>
      </c>
      <c r="I1610" t="inlineStr"/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N1610" t="inlineStr"/>
      <c r="O1610" t="inlineStr">
        <is>
          <t>RMS2320</t>
        </is>
      </c>
      <c r="P1610" t="inlineStr"/>
      <c r="Q1610" s="112" t="n">
        <v>0</v>
      </c>
      <c r="R1610" s="112" t="n">
        <v>1077.59</v>
      </c>
      <c r="S1610" s="112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D1611" t="inlineStr"/>
      <c r="E1611" t="inlineStr">
        <is>
          <t>ER</t>
        </is>
      </c>
      <c r="F1611" t="inlineStr"/>
      <c r="G1611" t="inlineStr"/>
      <c r="H1611" s="125" t="n">
        <v>46131</v>
      </c>
      <c r="I1611" t="inlineStr"/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N1611" t="inlineStr"/>
      <c r="O1611" t="inlineStr">
        <is>
          <t>RMS2320</t>
        </is>
      </c>
      <c r="P1611" t="inlineStr"/>
      <c r="Q1611" s="112" t="n">
        <v>0</v>
      </c>
      <c r="R1611" s="112" t="n">
        <v>1077.59</v>
      </c>
      <c r="S1611" s="112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D1612" t="inlineStr"/>
      <c r="E1612" t="inlineStr">
        <is>
          <t>ER</t>
        </is>
      </c>
      <c r="F1612" t="inlineStr"/>
      <c r="G1612" t="inlineStr"/>
      <c r="H1612" s="125" t="n">
        <v>46131</v>
      </c>
      <c r="I1612" t="inlineStr"/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N1612" t="inlineStr"/>
      <c r="O1612" t="inlineStr">
        <is>
          <t>REX665</t>
        </is>
      </c>
      <c r="P1612" t="inlineStr"/>
      <c r="Q1612" s="112" t="n">
        <v>0</v>
      </c>
      <c r="R1612" s="112" t="n">
        <v>458.33</v>
      </c>
      <c r="S1612" s="112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D1613" t="inlineStr"/>
      <c r="E1613" t="inlineStr">
        <is>
          <t>ER</t>
        </is>
      </c>
      <c r="F1613" t="inlineStr"/>
      <c r="G1613" s="42" t="inlineStr"/>
      <c r="H1613" s="125" t="n">
        <v>46131</v>
      </c>
      <c r="I1613" t="inlineStr"/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N1613" t="inlineStr"/>
      <c r="O1613" t="inlineStr">
        <is>
          <t>REX665</t>
        </is>
      </c>
      <c r="P1613" t="inlineStr"/>
      <c r="Q1613" s="112" t="n">
        <v>0</v>
      </c>
      <c r="R1613" s="112" t="n">
        <v>458.33</v>
      </c>
      <c r="S1613" s="112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D1614" t="inlineStr"/>
      <c r="E1614" t="inlineStr">
        <is>
          <t>ER</t>
        </is>
      </c>
      <c r="F1614" t="inlineStr"/>
      <c r="G1614" t="inlineStr"/>
      <c r="H1614" s="125" t="n">
        <v>46131</v>
      </c>
      <c r="I1614" t="inlineStr"/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N1614" t="inlineStr"/>
      <c r="O1614" t="inlineStr">
        <is>
          <t>REX665</t>
        </is>
      </c>
      <c r="P1614" t="inlineStr"/>
      <c r="Q1614" s="112" t="n">
        <v>0</v>
      </c>
      <c r="R1614" s="112" t="n">
        <v>458.33</v>
      </c>
      <c r="S1614" s="112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D1615" t="inlineStr"/>
      <c r="E1615" t="inlineStr">
        <is>
          <t>ER</t>
        </is>
      </c>
      <c r="F1615" t="inlineStr"/>
      <c r="G1615" t="inlineStr"/>
      <c r="H1615" s="125" t="n">
        <v>46131</v>
      </c>
      <c r="I1615" t="inlineStr"/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N1615" t="inlineStr"/>
      <c r="O1615" t="inlineStr">
        <is>
          <t>REX665</t>
        </is>
      </c>
      <c r="P1615" t="inlineStr"/>
      <c r="Q1615" s="112" t="n">
        <v>0</v>
      </c>
      <c r="R1615" s="112" t="n">
        <v>458.33</v>
      </c>
      <c r="S1615" s="112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D1616" t="inlineStr"/>
      <c r="E1616" t="inlineStr">
        <is>
          <t>ER</t>
        </is>
      </c>
      <c r="F1616" t="inlineStr"/>
      <c r="G1616" t="inlineStr"/>
      <c r="H1616" s="125" t="n">
        <v>46131</v>
      </c>
      <c r="I1616" t="inlineStr"/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N1616" t="inlineStr"/>
      <c r="O1616" t="inlineStr">
        <is>
          <t>REX665</t>
        </is>
      </c>
      <c r="P1616" t="inlineStr"/>
      <c r="Q1616" s="112" t="n">
        <v>0</v>
      </c>
      <c r="R1616" s="112" t="n">
        <v>458.33</v>
      </c>
      <c r="S1616" s="112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D1617" t="inlineStr"/>
      <c r="E1617" t="inlineStr">
        <is>
          <t>ER</t>
        </is>
      </c>
      <c r="F1617" t="inlineStr"/>
      <c r="G1617" t="inlineStr"/>
      <c r="H1617" s="125" t="n">
        <v>46131</v>
      </c>
      <c r="I1617" t="inlineStr"/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N1617" t="inlineStr"/>
      <c r="O1617" t="inlineStr">
        <is>
          <t>REX665</t>
        </is>
      </c>
      <c r="P1617" t="inlineStr"/>
      <c r="Q1617" s="112" t="n">
        <v>0</v>
      </c>
      <c r="R1617" s="112" t="n">
        <v>458.33</v>
      </c>
      <c r="S1617" s="112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D1618" t="inlineStr"/>
      <c r="E1618" t="inlineStr">
        <is>
          <t>ER</t>
        </is>
      </c>
      <c r="F1618" t="inlineStr"/>
      <c r="G1618" t="inlineStr"/>
      <c r="H1618" s="125" t="n">
        <v>46131</v>
      </c>
      <c r="I1618" t="inlineStr"/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N1618" t="inlineStr"/>
      <c r="O1618" t="inlineStr">
        <is>
          <t>RPK482</t>
        </is>
      </c>
      <c r="P1618" t="inlineStr"/>
      <c r="Q1618" s="112" t="n">
        <v>0</v>
      </c>
      <c r="R1618" s="112" t="n">
        <v>300</v>
      </c>
      <c r="S1618" s="112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D1619" t="inlineStr"/>
      <c r="E1619" t="inlineStr">
        <is>
          <t>ER</t>
        </is>
      </c>
      <c r="F1619" t="inlineStr"/>
      <c r="G1619" t="inlineStr"/>
      <c r="H1619" s="125" t="n">
        <v>46131</v>
      </c>
      <c r="I1619" t="inlineStr"/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N1619" t="inlineStr"/>
      <c r="O1619" t="inlineStr">
        <is>
          <t>RPK482</t>
        </is>
      </c>
      <c r="P1619" t="inlineStr"/>
      <c r="Q1619" s="112" t="n">
        <v>0</v>
      </c>
      <c r="R1619" s="112" t="n">
        <v>300</v>
      </c>
      <c r="S1619" s="112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D1620" t="inlineStr"/>
      <c r="E1620" t="inlineStr">
        <is>
          <t>ER</t>
        </is>
      </c>
      <c r="F1620" t="inlineStr"/>
      <c r="G1620" t="inlineStr"/>
      <c r="H1620" s="125" t="n">
        <v>46131</v>
      </c>
      <c r="I1620" t="inlineStr"/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N1620" t="inlineStr"/>
      <c r="O1620" t="inlineStr">
        <is>
          <t>RPK482</t>
        </is>
      </c>
      <c r="P1620" t="inlineStr"/>
      <c r="Q1620" s="112" t="n">
        <v>0</v>
      </c>
      <c r="R1620" s="112" t="n">
        <v>300</v>
      </c>
      <c r="S1620" s="112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D1621" t="inlineStr"/>
      <c r="E1621" t="inlineStr">
        <is>
          <t>ER</t>
        </is>
      </c>
      <c r="F1621" t="inlineStr"/>
      <c r="G1621" t="inlineStr"/>
      <c r="H1621" s="125" t="n">
        <v>46131</v>
      </c>
      <c r="I1621" t="inlineStr"/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N1621" t="inlineStr"/>
      <c r="O1621" t="inlineStr">
        <is>
          <t>RPK482</t>
        </is>
      </c>
      <c r="P1621" t="inlineStr"/>
      <c r="Q1621" s="112" t="n">
        <v>0</v>
      </c>
      <c r="R1621" s="112" t="n">
        <v>300</v>
      </c>
      <c r="S1621" s="112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D1622" t="inlineStr"/>
      <c r="E1622" t="inlineStr">
        <is>
          <t>ER</t>
        </is>
      </c>
      <c r="F1622" t="inlineStr"/>
      <c r="G1622" t="inlineStr"/>
      <c r="H1622" s="125" t="n">
        <v>46131</v>
      </c>
      <c r="I1622" t="inlineStr"/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N1622" t="inlineStr"/>
      <c r="O1622" t="inlineStr">
        <is>
          <t>RPK482</t>
        </is>
      </c>
      <c r="P1622" t="inlineStr"/>
      <c r="Q1622" s="112" t="n">
        <v>0</v>
      </c>
      <c r="R1622" s="112" t="n">
        <v>300</v>
      </c>
      <c r="S1622" s="112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D1623" t="inlineStr"/>
      <c r="E1623" t="inlineStr">
        <is>
          <t>ER</t>
        </is>
      </c>
      <c r="F1623" t="inlineStr"/>
      <c r="G1623" t="inlineStr"/>
      <c r="H1623" s="125" t="n">
        <v>46131</v>
      </c>
      <c r="I1623" t="inlineStr"/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N1623" t="inlineStr"/>
      <c r="O1623" t="inlineStr">
        <is>
          <t>RPK482</t>
        </is>
      </c>
      <c r="P1623" t="inlineStr"/>
      <c r="Q1623" s="112" t="n">
        <v>0</v>
      </c>
      <c r="R1623" s="112" t="n">
        <v>300</v>
      </c>
      <c r="S1623" s="112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D1624" t="inlineStr"/>
      <c r="E1624" t="inlineStr">
        <is>
          <t>ER</t>
        </is>
      </c>
      <c r="F1624" t="inlineStr"/>
      <c r="G1624" t="inlineStr"/>
      <c r="H1624" s="125" t="n">
        <v>46131</v>
      </c>
      <c r="I1624" t="inlineStr"/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N1624" t="inlineStr"/>
      <c r="O1624" t="inlineStr">
        <is>
          <t>RMS2318</t>
        </is>
      </c>
      <c r="P1624" t="inlineStr"/>
      <c r="Q1624" s="112" t="n">
        <v>0</v>
      </c>
      <c r="R1624" s="112" t="n">
        <v>200</v>
      </c>
      <c r="S1624" s="112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D1625" t="inlineStr"/>
      <c r="E1625" t="inlineStr">
        <is>
          <t>ER</t>
        </is>
      </c>
      <c r="F1625" t="inlineStr"/>
      <c r="G1625" t="inlineStr"/>
      <c r="H1625" s="125" t="n">
        <v>46131</v>
      </c>
      <c r="I1625" t="inlineStr"/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N1625" t="inlineStr"/>
      <c r="O1625" t="inlineStr">
        <is>
          <t>RMS2318</t>
        </is>
      </c>
      <c r="P1625" t="inlineStr"/>
      <c r="Q1625" s="112" t="n">
        <v>0</v>
      </c>
      <c r="R1625" s="112" t="n">
        <v>200</v>
      </c>
      <c r="S1625" s="112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D1626" t="inlineStr"/>
      <c r="E1626" t="inlineStr">
        <is>
          <t>ER</t>
        </is>
      </c>
      <c r="F1626" t="inlineStr"/>
      <c r="G1626" t="inlineStr"/>
      <c r="H1626" s="125" t="n">
        <v>46131</v>
      </c>
      <c r="I1626" t="inlineStr"/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N1626" t="inlineStr"/>
      <c r="O1626" t="inlineStr">
        <is>
          <t>RMS2318</t>
        </is>
      </c>
      <c r="P1626" t="inlineStr"/>
      <c r="Q1626" s="112" t="n">
        <v>0</v>
      </c>
      <c r="R1626" s="112" t="n">
        <v>200</v>
      </c>
      <c r="S1626" s="112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D1627" t="inlineStr"/>
      <c r="E1627" t="inlineStr">
        <is>
          <t>ER</t>
        </is>
      </c>
      <c r="F1627" t="inlineStr"/>
      <c r="G1627" t="inlineStr"/>
      <c r="H1627" s="125" t="n">
        <v>46131</v>
      </c>
      <c r="I1627" t="inlineStr"/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N1627" t="inlineStr"/>
      <c r="O1627" t="inlineStr">
        <is>
          <t>RMS2318</t>
        </is>
      </c>
      <c r="P1627" t="inlineStr"/>
      <c r="Q1627" s="112" t="n">
        <v>0</v>
      </c>
      <c r="R1627" s="112" t="n">
        <v>200</v>
      </c>
      <c r="S1627" s="112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D1628" t="inlineStr"/>
      <c r="E1628" t="inlineStr">
        <is>
          <t>ER</t>
        </is>
      </c>
      <c r="F1628" t="inlineStr"/>
      <c r="G1628" t="inlineStr"/>
      <c r="H1628" s="125" t="n">
        <v>46131</v>
      </c>
      <c r="I1628" t="inlineStr"/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N1628" t="inlineStr"/>
      <c r="O1628" t="inlineStr">
        <is>
          <t>RMS2318</t>
        </is>
      </c>
      <c r="P1628" t="inlineStr"/>
      <c r="Q1628" s="112" t="n">
        <v>0</v>
      </c>
      <c r="R1628" s="112" t="n">
        <v>200</v>
      </c>
      <c r="S1628" s="112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D1629" t="inlineStr"/>
      <c r="E1629" t="inlineStr">
        <is>
          <t>ER</t>
        </is>
      </c>
      <c r="F1629" t="inlineStr"/>
      <c r="G1629" t="inlineStr"/>
      <c r="H1629" s="125" t="n">
        <v>46131</v>
      </c>
      <c r="I1629" t="inlineStr"/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N1629" t="inlineStr"/>
      <c r="O1629" t="inlineStr">
        <is>
          <t>RMS2318</t>
        </is>
      </c>
      <c r="P1629" t="inlineStr"/>
      <c r="Q1629" s="112" t="n">
        <v>0</v>
      </c>
      <c r="R1629" s="112" t="n">
        <v>200</v>
      </c>
      <c r="S1629" s="112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D1630" t="inlineStr"/>
      <c r="E1630" t="inlineStr">
        <is>
          <t>ER</t>
        </is>
      </c>
      <c r="F1630" t="inlineStr"/>
      <c r="G1630" t="inlineStr"/>
      <c r="H1630" s="125" t="n">
        <v>46131</v>
      </c>
      <c r="I1630" t="inlineStr"/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N1630" t="inlineStr"/>
      <c r="O1630" t="inlineStr">
        <is>
          <t>RMS2317</t>
        </is>
      </c>
      <c r="P1630" t="inlineStr"/>
      <c r="Q1630" s="112" t="n">
        <v>0</v>
      </c>
      <c r="R1630" s="112" t="n">
        <v>287.36</v>
      </c>
      <c r="S1630" s="112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D1631" t="inlineStr"/>
      <c r="E1631" t="inlineStr">
        <is>
          <t>ER</t>
        </is>
      </c>
      <c r="F1631" t="inlineStr"/>
      <c r="G1631" t="inlineStr"/>
      <c r="H1631" s="125" t="n">
        <v>46131</v>
      </c>
      <c r="I1631" t="inlineStr"/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N1631" t="inlineStr"/>
      <c r="O1631" t="inlineStr">
        <is>
          <t>RMS2317</t>
        </is>
      </c>
      <c r="P1631" t="inlineStr"/>
      <c r="Q1631" s="112" t="n">
        <v>0</v>
      </c>
      <c r="R1631" s="112" t="n">
        <v>287.36</v>
      </c>
      <c r="S1631" s="112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D1632" t="inlineStr"/>
      <c r="E1632" t="inlineStr">
        <is>
          <t>ER</t>
        </is>
      </c>
      <c r="F1632" t="inlineStr"/>
      <c r="G1632" t="inlineStr"/>
      <c r="H1632" s="125" t="n">
        <v>46131</v>
      </c>
      <c r="I1632" t="inlineStr"/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N1632" t="inlineStr"/>
      <c r="O1632" t="inlineStr">
        <is>
          <t>RMS2317</t>
        </is>
      </c>
      <c r="P1632" t="inlineStr"/>
      <c r="Q1632" s="112" t="n">
        <v>0</v>
      </c>
      <c r="R1632" s="112" t="n">
        <v>287.36</v>
      </c>
      <c r="S1632" s="112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D1633" t="inlineStr"/>
      <c r="E1633" t="inlineStr">
        <is>
          <t>ER</t>
        </is>
      </c>
      <c r="F1633" t="inlineStr"/>
      <c r="G1633" t="inlineStr"/>
      <c r="H1633" s="125" t="n">
        <v>46131</v>
      </c>
      <c r="I1633" t="inlineStr"/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N1633" t="inlineStr"/>
      <c r="O1633" t="inlineStr">
        <is>
          <t>RMS2317</t>
        </is>
      </c>
      <c r="P1633" t="inlineStr"/>
      <c r="Q1633" s="112" t="n">
        <v>0</v>
      </c>
      <c r="R1633" s="112" t="n">
        <v>287.36</v>
      </c>
      <c r="S1633" s="112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D1634" t="inlineStr"/>
      <c r="E1634" t="inlineStr">
        <is>
          <t>ER</t>
        </is>
      </c>
      <c r="F1634" t="inlineStr"/>
      <c r="G1634" t="inlineStr"/>
      <c r="H1634" s="125" t="n">
        <v>46131</v>
      </c>
      <c r="I1634" t="inlineStr"/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N1634" t="inlineStr"/>
      <c r="O1634" t="inlineStr">
        <is>
          <t>RMS2317</t>
        </is>
      </c>
      <c r="P1634" t="inlineStr"/>
      <c r="Q1634" s="112" t="n">
        <v>0</v>
      </c>
      <c r="R1634" s="112" t="n">
        <v>287.36</v>
      </c>
      <c r="S1634" s="112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D1635" t="inlineStr"/>
      <c r="E1635" t="inlineStr">
        <is>
          <t>ER</t>
        </is>
      </c>
      <c r="F1635" t="inlineStr"/>
      <c r="G1635" t="inlineStr"/>
      <c r="H1635" s="125" t="n">
        <v>46131</v>
      </c>
      <c r="I1635" t="inlineStr"/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N1635" t="inlineStr"/>
      <c r="O1635" t="inlineStr">
        <is>
          <t>RMS2317</t>
        </is>
      </c>
      <c r="P1635" t="inlineStr"/>
      <c r="Q1635" s="112" t="n">
        <v>0</v>
      </c>
      <c r="R1635" s="112" t="n">
        <v>287.36</v>
      </c>
      <c r="S1635" s="112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D1636" t="inlineStr"/>
      <c r="E1636" t="inlineStr">
        <is>
          <t>ER</t>
        </is>
      </c>
      <c r="F1636" t="inlineStr"/>
      <c r="G1636" t="inlineStr"/>
      <c r="H1636" s="125" t="n">
        <v>46131</v>
      </c>
      <c r="I1636" t="inlineStr"/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N1636" t="inlineStr"/>
      <c r="O1636" t="inlineStr">
        <is>
          <t>RAT447</t>
        </is>
      </c>
      <c r="P1636" t="inlineStr"/>
      <c r="Q1636" s="112" t="n">
        <v>0</v>
      </c>
      <c r="R1636" s="112" t="n">
        <v>62.5</v>
      </c>
      <c r="S1636" s="112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D1637" t="inlineStr"/>
      <c r="E1637" t="inlineStr">
        <is>
          <t>ER</t>
        </is>
      </c>
      <c r="F1637" t="inlineStr"/>
      <c r="G1637" t="inlineStr"/>
      <c r="H1637" s="125" t="n">
        <v>46131</v>
      </c>
      <c r="I1637" t="inlineStr"/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N1637" t="inlineStr"/>
      <c r="O1637" t="inlineStr">
        <is>
          <t>RAT447</t>
        </is>
      </c>
      <c r="P1637" t="inlineStr"/>
      <c r="Q1637" s="112" t="n">
        <v>0</v>
      </c>
      <c r="R1637" s="112" t="n">
        <v>62.5</v>
      </c>
      <c r="S1637" s="112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D1638" t="inlineStr"/>
      <c r="E1638" t="inlineStr">
        <is>
          <t>ER</t>
        </is>
      </c>
      <c r="F1638" t="inlineStr"/>
      <c r="G1638" t="inlineStr"/>
      <c r="H1638" s="125" t="n">
        <v>46131</v>
      </c>
      <c r="I1638" t="inlineStr"/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N1638" t="inlineStr"/>
      <c r="O1638" t="inlineStr">
        <is>
          <t>RAT447</t>
        </is>
      </c>
      <c r="P1638" t="inlineStr"/>
      <c r="Q1638" s="112" t="n">
        <v>0</v>
      </c>
      <c r="R1638" s="112" t="n">
        <v>62.5</v>
      </c>
      <c r="S1638" s="112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D1639" t="inlineStr"/>
      <c r="E1639" t="inlineStr">
        <is>
          <t>ER</t>
        </is>
      </c>
      <c r="F1639" t="inlineStr"/>
      <c r="G1639" t="inlineStr"/>
      <c r="H1639" s="125" t="n">
        <v>46138</v>
      </c>
      <c r="I1639" t="inlineStr"/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N1639" t="inlineStr"/>
      <c r="O1639" t="inlineStr">
        <is>
          <t>RDZ318</t>
        </is>
      </c>
      <c r="P1639" t="inlineStr"/>
      <c r="Q1639" s="112" t="n">
        <v>0</v>
      </c>
      <c r="R1639" s="112" t="n">
        <v>778.74</v>
      </c>
      <c r="S1639" s="112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D1640" t="inlineStr"/>
      <c r="E1640" t="inlineStr">
        <is>
          <t>ER</t>
        </is>
      </c>
      <c r="F1640" t="inlineStr"/>
      <c r="G1640" t="inlineStr"/>
      <c r="H1640" s="125" t="n">
        <v>46138</v>
      </c>
      <c r="I1640" t="inlineStr"/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N1640" t="inlineStr"/>
      <c r="O1640" t="inlineStr">
        <is>
          <t>RDZ318</t>
        </is>
      </c>
      <c r="P1640" t="inlineStr"/>
      <c r="Q1640" s="112" t="n">
        <v>0</v>
      </c>
      <c r="R1640" s="112" t="n">
        <v>778.74</v>
      </c>
      <c r="S1640" s="112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D1641" t="inlineStr"/>
      <c r="E1641" t="inlineStr">
        <is>
          <t>ER</t>
        </is>
      </c>
      <c r="F1641" t="inlineStr"/>
      <c r="G1641" t="inlineStr"/>
      <c r="H1641" s="125" t="n">
        <v>46138</v>
      </c>
      <c r="I1641" t="inlineStr"/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N1641" t="inlineStr"/>
      <c r="O1641" t="inlineStr">
        <is>
          <t>RDZ318</t>
        </is>
      </c>
      <c r="P1641" t="inlineStr"/>
      <c r="Q1641" s="112" t="n">
        <v>0</v>
      </c>
      <c r="R1641" s="112" t="n">
        <v>778.74</v>
      </c>
      <c r="S1641" s="112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D1642" t="inlineStr"/>
      <c r="E1642" t="inlineStr">
        <is>
          <t>ER</t>
        </is>
      </c>
      <c r="F1642" t="inlineStr"/>
      <c r="G1642" t="inlineStr"/>
      <c r="H1642" s="125" t="n">
        <v>46138</v>
      </c>
      <c r="I1642" t="inlineStr"/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N1642" t="inlineStr"/>
      <c r="O1642" t="inlineStr">
        <is>
          <t>RGR114</t>
        </is>
      </c>
      <c r="P1642" t="inlineStr"/>
      <c r="Q1642" s="112" t="n">
        <v>0</v>
      </c>
      <c r="R1642" s="112" t="n">
        <v>604.17</v>
      </c>
      <c r="S1642" s="112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D1643" t="inlineStr"/>
      <c r="E1643" t="inlineStr">
        <is>
          <t>ER</t>
        </is>
      </c>
      <c r="F1643" t="inlineStr"/>
      <c r="G1643" t="inlineStr"/>
      <c r="H1643" s="125" t="n">
        <v>46138</v>
      </c>
      <c r="I1643" t="inlineStr"/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N1643" t="inlineStr"/>
      <c r="O1643" t="inlineStr">
        <is>
          <t>RGR114</t>
        </is>
      </c>
      <c r="P1643" t="inlineStr"/>
      <c r="Q1643" s="112" t="n">
        <v>0</v>
      </c>
      <c r="R1643" s="112" t="n">
        <v>604.17</v>
      </c>
      <c r="S1643" s="112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D1644" t="inlineStr"/>
      <c r="E1644" t="inlineStr">
        <is>
          <t>ER</t>
        </is>
      </c>
      <c r="F1644" t="inlineStr"/>
      <c r="G1644" t="inlineStr"/>
      <c r="H1644" s="125" t="n">
        <v>46138</v>
      </c>
      <c r="I1644" t="inlineStr"/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N1644" t="inlineStr"/>
      <c r="O1644" t="inlineStr">
        <is>
          <t>RGR114</t>
        </is>
      </c>
      <c r="P1644" t="inlineStr"/>
      <c r="Q1644" s="112" t="n">
        <v>0</v>
      </c>
      <c r="R1644" s="112" t="n">
        <v>604.17</v>
      </c>
      <c r="S1644" s="112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D1645" t="inlineStr"/>
      <c r="E1645" t="inlineStr">
        <is>
          <t>ER</t>
        </is>
      </c>
      <c r="F1645" t="inlineStr"/>
      <c r="G1645" t="inlineStr"/>
      <c r="H1645" s="125" t="n">
        <v>46138</v>
      </c>
      <c r="I1645" t="inlineStr"/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N1645" t="inlineStr"/>
      <c r="O1645" t="inlineStr">
        <is>
          <t>RFT890</t>
        </is>
      </c>
      <c r="P1645" t="inlineStr"/>
      <c r="Q1645" s="112" t="n">
        <v>0</v>
      </c>
      <c r="R1645" s="112" t="n">
        <v>500</v>
      </c>
      <c r="S1645" s="112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D1646" t="inlineStr"/>
      <c r="E1646" t="inlineStr">
        <is>
          <t>ER</t>
        </is>
      </c>
      <c r="F1646" t="inlineStr"/>
      <c r="G1646" t="inlineStr"/>
      <c r="H1646" s="125" t="n">
        <v>46138</v>
      </c>
      <c r="I1646" t="inlineStr"/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N1646" t="inlineStr"/>
      <c r="O1646" t="inlineStr">
        <is>
          <t>RFT890</t>
        </is>
      </c>
      <c r="P1646" t="inlineStr"/>
      <c r="Q1646" s="112" t="n">
        <v>0</v>
      </c>
      <c r="R1646" s="112" t="n">
        <v>500</v>
      </c>
      <c r="S1646" s="112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D1647" t="inlineStr"/>
      <c r="E1647" t="inlineStr">
        <is>
          <t>ER</t>
        </is>
      </c>
      <c r="F1647" t="inlineStr"/>
      <c r="G1647" t="inlineStr"/>
      <c r="H1647" s="125" t="n">
        <v>46138</v>
      </c>
      <c r="I1647" t="inlineStr"/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N1647" t="inlineStr"/>
      <c r="O1647" t="inlineStr">
        <is>
          <t>RFT890</t>
        </is>
      </c>
      <c r="P1647" t="inlineStr"/>
      <c r="Q1647" s="112" t="n">
        <v>0</v>
      </c>
      <c r="R1647" s="112" t="n">
        <v>500</v>
      </c>
      <c r="S1647" s="112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D1648" t="inlineStr"/>
      <c r="E1648" t="inlineStr">
        <is>
          <t>ER</t>
        </is>
      </c>
      <c r="F1648" t="inlineStr"/>
      <c r="G1648" t="inlineStr"/>
      <c r="H1648" s="125" t="n">
        <v>46138</v>
      </c>
      <c r="I1648" t="inlineStr"/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N1648" t="inlineStr"/>
      <c r="O1648" t="inlineStr">
        <is>
          <t>RFT891</t>
        </is>
      </c>
      <c r="P1648" t="inlineStr"/>
      <c r="Q1648" s="112" t="n">
        <v>0</v>
      </c>
      <c r="R1648" s="112" t="n">
        <v>500</v>
      </c>
      <c r="S1648" s="112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D1649" t="inlineStr"/>
      <c r="E1649" t="inlineStr">
        <is>
          <t>ER</t>
        </is>
      </c>
      <c r="F1649" t="inlineStr"/>
      <c r="G1649" t="inlineStr"/>
      <c r="H1649" s="125" t="n">
        <v>46138</v>
      </c>
      <c r="I1649" t="inlineStr"/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N1649" t="inlineStr"/>
      <c r="O1649" t="inlineStr">
        <is>
          <t>RFT891</t>
        </is>
      </c>
      <c r="P1649" t="inlineStr"/>
      <c r="Q1649" s="112" t="n">
        <v>0</v>
      </c>
      <c r="R1649" s="112" t="n">
        <v>500</v>
      </c>
      <c r="S1649" s="112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D1650" t="inlineStr"/>
      <c r="E1650" t="inlineStr">
        <is>
          <t>ER</t>
        </is>
      </c>
      <c r="F1650" t="inlineStr"/>
      <c r="G1650" t="inlineStr"/>
      <c r="H1650" s="125" t="n">
        <v>46138</v>
      </c>
      <c r="I1650" t="inlineStr"/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N1650" t="inlineStr"/>
      <c r="O1650" t="inlineStr">
        <is>
          <t>RFT891</t>
        </is>
      </c>
      <c r="P1650" t="inlineStr"/>
      <c r="Q1650" s="112" t="n">
        <v>0</v>
      </c>
      <c r="R1650" s="112" t="n">
        <v>500</v>
      </c>
      <c r="S1650" s="112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D1651" t="inlineStr"/>
      <c r="E1651" t="inlineStr">
        <is>
          <t>ER</t>
        </is>
      </c>
      <c r="F1651" t="inlineStr"/>
      <c r="G1651" t="inlineStr"/>
      <c r="H1651" s="125" t="n">
        <v>46138</v>
      </c>
      <c r="I1651" t="inlineStr"/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N1651" t="inlineStr"/>
      <c r="O1651" t="inlineStr">
        <is>
          <t>RMS2319</t>
        </is>
      </c>
      <c r="P1651" t="inlineStr"/>
      <c r="Q1651" s="112" t="n">
        <v>0</v>
      </c>
      <c r="R1651" s="112" t="n">
        <v>179.6</v>
      </c>
      <c r="S1651" s="112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D1652" t="inlineStr"/>
      <c r="E1652" t="inlineStr">
        <is>
          <t>ER</t>
        </is>
      </c>
      <c r="F1652" t="inlineStr"/>
      <c r="G1652" t="inlineStr"/>
      <c r="H1652" s="125" t="n">
        <v>46138</v>
      </c>
      <c r="I1652" t="inlineStr"/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N1652" t="inlineStr"/>
      <c r="O1652" t="inlineStr">
        <is>
          <t>RMS2319</t>
        </is>
      </c>
      <c r="P1652" t="inlineStr"/>
      <c r="Q1652" s="112" t="n">
        <v>0</v>
      </c>
      <c r="R1652" s="112" t="n">
        <v>179.6</v>
      </c>
      <c r="S1652" s="112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D1653" t="inlineStr"/>
      <c r="E1653" t="inlineStr">
        <is>
          <t>ER</t>
        </is>
      </c>
      <c r="F1653" t="inlineStr"/>
      <c r="G1653" t="inlineStr"/>
      <c r="H1653" s="125" t="n">
        <v>46138</v>
      </c>
      <c r="I1653" t="inlineStr"/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N1653" t="inlineStr"/>
      <c r="O1653" t="inlineStr">
        <is>
          <t>RMS2319</t>
        </is>
      </c>
      <c r="P1653" t="inlineStr"/>
      <c r="Q1653" s="112" t="n">
        <v>0</v>
      </c>
      <c r="R1653" s="112" t="n">
        <v>179.6</v>
      </c>
      <c r="S1653" s="112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D1654" t="inlineStr"/>
      <c r="E1654" t="inlineStr">
        <is>
          <t>ER</t>
        </is>
      </c>
      <c r="F1654" t="inlineStr"/>
      <c r="G1654" t="inlineStr"/>
      <c r="H1654" s="125" t="n">
        <v>46138</v>
      </c>
      <c r="I1654" t="inlineStr"/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N1654" t="inlineStr"/>
      <c r="O1654" t="inlineStr">
        <is>
          <t>RLD293</t>
        </is>
      </c>
      <c r="P1654" t="inlineStr"/>
      <c r="Q1654" s="112" t="n">
        <v>0</v>
      </c>
      <c r="R1654" s="112" t="n">
        <v>282.06</v>
      </c>
      <c r="S1654" s="112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D1655" t="inlineStr"/>
      <c r="E1655" t="inlineStr">
        <is>
          <t>ER</t>
        </is>
      </c>
      <c r="F1655" t="inlineStr"/>
      <c r="G1655" t="inlineStr"/>
      <c r="H1655" s="125" t="n">
        <v>46138</v>
      </c>
      <c r="I1655" t="inlineStr"/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N1655" t="inlineStr"/>
      <c r="O1655" t="inlineStr">
        <is>
          <t>RLD293</t>
        </is>
      </c>
      <c r="P1655" t="inlineStr"/>
      <c r="Q1655" s="112" t="n">
        <v>0</v>
      </c>
      <c r="R1655" s="112" t="n">
        <v>282.06</v>
      </c>
      <c r="S1655" s="112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D1656" t="inlineStr"/>
      <c r="E1656" t="inlineStr">
        <is>
          <t>ER</t>
        </is>
      </c>
      <c r="F1656" t="inlineStr"/>
      <c r="G1656" t="inlineStr"/>
      <c r="H1656" s="125" t="n">
        <v>46138</v>
      </c>
      <c r="I1656" t="inlineStr"/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N1656" t="inlineStr"/>
      <c r="O1656" t="inlineStr">
        <is>
          <t>RLD293</t>
        </is>
      </c>
      <c r="P1656" t="inlineStr"/>
      <c r="Q1656" s="112" t="n">
        <v>0</v>
      </c>
      <c r="R1656" s="112" t="n">
        <v>282.06</v>
      </c>
      <c r="S1656" s="112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D1657" t="inlineStr"/>
      <c r="E1657" t="inlineStr">
        <is>
          <t>ER</t>
        </is>
      </c>
      <c r="F1657" t="inlineStr"/>
      <c r="G1657" t="inlineStr"/>
      <c r="H1657" s="125" t="n">
        <v>46138</v>
      </c>
      <c r="I1657" t="inlineStr"/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N1657" t="inlineStr"/>
      <c r="O1657" t="inlineStr">
        <is>
          <t>RHV96</t>
        </is>
      </c>
      <c r="P1657" t="inlineStr"/>
      <c r="Q1657" s="112" t="n">
        <v>0</v>
      </c>
      <c r="R1657" s="112" t="n">
        <v>200</v>
      </c>
      <c r="S1657" s="112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D1658" t="inlineStr"/>
      <c r="E1658" t="inlineStr">
        <is>
          <t>ER</t>
        </is>
      </c>
      <c r="F1658" t="inlineStr"/>
      <c r="G1658" t="inlineStr"/>
      <c r="H1658" s="125" t="n">
        <v>46138</v>
      </c>
      <c r="I1658" t="inlineStr"/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N1658" t="inlineStr"/>
      <c r="O1658" t="inlineStr">
        <is>
          <t>RHV96</t>
        </is>
      </c>
      <c r="P1658" t="inlineStr"/>
      <c r="Q1658" s="112" t="n">
        <v>0</v>
      </c>
      <c r="R1658" s="112" t="n">
        <v>200</v>
      </c>
      <c r="S1658" s="112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D1659" t="inlineStr"/>
      <c r="E1659" t="inlineStr">
        <is>
          <t>ER</t>
        </is>
      </c>
      <c r="F1659" t="inlineStr"/>
      <c r="G1659" t="inlineStr"/>
      <c r="H1659" s="125" t="n">
        <v>46138</v>
      </c>
      <c r="I1659" t="inlineStr"/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N1659" t="inlineStr"/>
      <c r="O1659" t="inlineStr">
        <is>
          <t>RHV96</t>
        </is>
      </c>
      <c r="P1659" t="inlineStr"/>
      <c r="Q1659" s="112" t="n">
        <v>0</v>
      </c>
      <c r="R1659" s="112" t="n">
        <v>200</v>
      </c>
      <c r="S1659" s="112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D1660" t="inlineStr"/>
      <c r="E1660" t="inlineStr">
        <is>
          <t>ER</t>
        </is>
      </c>
      <c r="F1660" t="inlineStr"/>
      <c r="G1660" t="inlineStr"/>
      <c r="H1660" s="125" t="n">
        <v>46138</v>
      </c>
      <c r="I1660" t="inlineStr"/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N1660" t="inlineStr"/>
      <c r="O1660" t="inlineStr">
        <is>
          <t>RMS2320</t>
        </is>
      </c>
      <c r="P1660" t="inlineStr"/>
      <c r="Q1660" s="112" t="n">
        <v>0</v>
      </c>
      <c r="R1660" s="112" t="n">
        <v>1077.59</v>
      </c>
      <c r="S1660" s="112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D1661" t="inlineStr"/>
      <c r="E1661" t="inlineStr">
        <is>
          <t>ER</t>
        </is>
      </c>
      <c r="F1661" t="inlineStr"/>
      <c r="G1661" t="inlineStr"/>
      <c r="H1661" s="125" t="n">
        <v>46138</v>
      </c>
      <c r="I1661" t="inlineStr"/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N1661" t="inlineStr"/>
      <c r="O1661" t="inlineStr">
        <is>
          <t>RMS2320</t>
        </is>
      </c>
      <c r="P1661" t="inlineStr"/>
      <c r="Q1661" s="112" t="n">
        <v>0</v>
      </c>
      <c r="R1661" s="112" t="n">
        <v>1077.59</v>
      </c>
      <c r="S1661" s="112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D1662" t="inlineStr"/>
      <c r="E1662" t="inlineStr">
        <is>
          <t>ER</t>
        </is>
      </c>
      <c r="F1662" t="inlineStr"/>
      <c r="G1662" t="inlineStr"/>
      <c r="H1662" s="125" t="n">
        <v>46138</v>
      </c>
      <c r="I1662" t="inlineStr"/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N1662" t="inlineStr"/>
      <c r="O1662" t="inlineStr">
        <is>
          <t>RMS2320</t>
        </is>
      </c>
      <c r="P1662" t="inlineStr"/>
      <c r="Q1662" s="112" t="n">
        <v>0</v>
      </c>
      <c r="R1662" s="112" t="n">
        <v>1077.59</v>
      </c>
      <c r="S1662" s="112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D1663" t="inlineStr"/>
      <c r="E1663" t="inlineStr">
        <is>
          <t>ER</t>
        </is>
      </c>
      <c r="F1663" t="inlineStr"/>
      <c r="G1663" t="inlineStr"/>
      <c r="H1663" s="125" t="n">
        <v>46138</v>
      </c>
      <c r="I1663" t="inlineStr"/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N1663" t="inlineStr"/>
      <c r="O1663" t="inlineStr">
        <is>
          <t>REX665</t>
        </is>
      </c>
      <c r="P1663" t="inlineStr"/>
      <c r="Q1663" s="112" t="n">
        <v>0</v>
      </c>
      <c r="R1663" s="112" t="n">
        <v>458.33</v>
      </c>
      <c r="S1663" s="112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D1664" t="inlineStr"/>
      <c r="E1664" t="inlineStr">
        <is>
          <t>ER</t>
        </is>
      </c>
      <c r="F1664" t="inlineStr"/>
      <c r="G1664" t="inlineStr"/>
      <c r="H1664" s="125" t="n">
        <v>46138</v>
      </c>
      <c r="I1664" t="inlineStr"/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N1664" t="inlineStr"/>
      <c r="O1664" t="inlineStr">
        <is>
          <t>REX665</t>
        </is>
      </c>
      <c r="P1664" t="inlineStr"/>
      <c r="Q1664" s="112" t="n">
        <v>0</v>
      </c>
      <c r="R1664" s="112" t="n">
        <v>458.33</v>
      </c>
      <c r="S1664" s="112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D1665" t="inlineStr"/>
      <c r="E1665" t="inlineStr">
        <is>
          <t>ER</t>
        </is>
      </c>
      <c r="F1665" t="inlineStr"/>
      <c r="G1665" t="inlineStr"/>
      <c r="H1665" s="125" t="n">
        <v>46138</v>
      </c>
      <c r="I1665" t="inlineStr"/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N1665" t="inlineStr"/>
      <c r="O1665" t="inlineStr">
        <is>
          <t>REX665</t>
        </is>
      </c>
      <c r="P1665" t="inlineStr"/>
      <c r="Q1665" s="112" t="n">
        <v>0</v>
      </c>
      <c r="R1665" s="112" t="n">
        <v>458.33</v>
      </c>
      <c r="S1665" s="112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D1666" t="inlineStr"/>
      <c r="E1666" t="inlineStr">
        <is>
          <t>ER</t>
        </is>
      </c>
      <c r="F1666" t="inlineStr"/>
      <c r="G1666" t="inlineStr"/>
      <c r="H1666" s="125" t="n">
        <v>46138</v>
      </c>
      <c r="I1666" t="inlineStr"/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N1666" t="inlineStr"/>
      <c r="O1666" t="inlineStr">
        <is>
          <t>RPK482</t>
        </is>
      </c>
      <c r="P1666" t="inlineStr"/>
      <c r="Q1666" s="112" t="n">
        <v>0</v>
      </c>
      <c r="R1666" s="112" t="n">
        <v>300</v>
      </c>
      <c r="S1666" s="112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D1667" t="inlineStr"/>
      <c r="E1667" t="inlineStr">
        <is>
          <t>ER</t>
        </is>
      </c>
      <c r="F1667" t="inlineStr"/>
      <c r="G1667" t="inlineStr"/>
      <c r="H1667" s="125" t="n">
        <v>46138</v>
      </c>
      <c r="I1667" t="inlineStr"/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N1667" t="inlineStr"/>
      <c r="O1667" t="inlineStr">
        <is>
          <t>RPK482</t>
        </is>
      </c>
      <c r="P1667" t="inlineStr"/>
      <c r="Q1667" s="112" t="n">
        <v>0</v>
      </c>
      <c r="R1667" s="112" t="n">
        <v>300</v>
      </c>
      <c r="S1667" s="112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D1668" t="inlineStr"/>
      <c r="E1668" t="inlineStr">
        <is>
          <t>ER</t>
        </is>
      </c>
      <c r="F1668" t="inlineStr"/>
      <c r="G1668" t="inlineStr"/>
      <c r="H1668" s="125" t="n">
        <v>46138</v>
      </c>
      <c r="I1668" t="inlineStr"/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N1668" t="inlineStr"/>
      <c r="O1668" t="inlineStr">
        <is>
          <t>RPK482</t>
        </is>
      </c>
      <c r="P1668" t="inlineStr"/>
      <c r="Q1668" s="112" t="n">
        <v>0</v>
      </c>
      <c r="R1668" s="112" t="n">
        <v>300</v>
      </c>
      <c r="S1668" s="112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D1669" t="inlineStr"/>
      <c r="E1669" t="inlineStr">
        <is>
          <t>ER</t>
        </is>
      </c>
      <c r="F1669" t="inlineStr"/>
      <c r="G1669" t="inlineStr"/>
      <c r="H1669" s="125" t="n">
        <v>46138</v>
      </c>
      <c r="I1669" t="inlineStr"/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N1669" t="inlineStr"/>
      <c r="O1669" t="inlineStr">
        <is>
          <t>RMS2318</t>
        </is>
      </c>
      <c r="P1669" t="inlineStr"/>
      <c r="Q1669" s="112" t="n">
        <v>0</v>
      </c>
      <c r="R1669" s="112" t="n">
        <v>200</v>
      </c>
      <c r="S1669" s="112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D1670" t="inlineStr"/>
      <c r="E1670" t="inlineStr">
        <is>
          <t>ER</t>
        </is>
      </c>
      <c r="F1670" t="inlineStr"/>
      <c r="G1670" t="inlineStr"/>
      <c r="H1670" s="125" t="n">
        <v>46138</v>
      </c>
      <c r="I1670" t="inlineStr"/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N1670" t="inlineStr"/>
      <c r="O1670" t="inlineStr">
        <is>
          <t>RMS2318</t>
        </is>
      </c>
      <c r="P1670" t="inlineStr"/>
      <c r="Q1670" s="112" t="n">
        <v>0</v>
      </c>
      <c r="R1670" s="112" t="n">
        <v>200</v>
      </c>
      <c r="S1670" s="112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D1671" t="inlineStr"/>
      <c r="E1671" t="inlineStr">
        <is>
          <t>ER</t>
        </is>
      </c>
      <c r="F1671" t="inlineStr"/>
      <c r="G1671" t="inlineStr"/>
      <c r="H1671" s="125" t="n">
        <v>46138</v>
      </c>
      <c r="I1671" t="inlineStr"/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N1671" t="inlineStr"/>
      <c r="O1671" t="inlineStr">
        <is>
          <t>RMS2318</t>
        </is>
      </c>
      <c r="P1671" t="inlineStr"/>
      <c r="Q1671" s="112" t="n">
        <v>0</v>
      </c>
      <c r="R1671" s="112" t="n">
        <v>200</v>
      </c>
      <c r="S1671" s="112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D1672" t="inlineStr"/>
      <c r="E1672" t="inlineStr">
        <is>
          <t>ER</t>
        </is>
      </c>
      <c r="F1672" t="inlineStr"/>
      <c r="G1672" t="inlineStr"/>
      <c r="H1672" s="125" t="n">
        <v>46138</v>
      </c>
      <c r="I1672" t="inlineStr"/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N1672" t="inlineStr"/>
      <c r="O1672" t="inlineStr">
        <is>
          <t>RMS2317</t>
        </is>
      </c>
      <c r="P1672" t="inlineStr"/>
      <c r="Q1672" s="112" t="n">
        <v>0</v>
      </c>
      <c r="R1672" s="112" t="n">
        <v>287.36</v>
      </c>
      <c r="S1672" s="112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D1673" t="inlineStr"/>
      <c r="E1673" t="inlineStr">
        <is>
          <t>ER</t>
        </is>
      </c>
      <c r="F1673" t="inlineStr"/>
      <c r="G1673" t="inlineStr"/>
      <c r="H1673" s="125" t="n">
        <v>46138</v>
      </c>
      <c r="I1673" t="inlineStr"/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N1673" t="inlineStr"/>
      <c r="O1673" t="inlineStr">
        <is>
          <t>RMS2317</t>
        </is>
      </c>
      <c r="P1673" t="inlineStr"/>
      <c r="Q1673" s="112" t="n">
        <v>0</v>
      </c>
      <c r="R1673" s="112" t="n">
        <v>287.36</v>
      </c>
      <c r="S1673" s="112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D1674" t="inlineStr"/>
      <c r="E1674" t="inlineStr">
        <is>
          <t>ER</t>
        </is>
      </c>
      <c r="F1674" t="inlineStr"/>
      <c r="G1674" t="inlineStr"/>
      <c r="H1674" s="125" t="n">
        <v>46138</v>
      </c>
      <c r="I1674" t="inlineStr"/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N1674" t="inlineStr"/>
      <c r="O1674" t="inlineStr">
        <is>
          <t>RMS2317</t>
        </is>
      </c>
      <c r="P1674" t="inlineStr"/>
      <c r="Q1674" s="112" t="n">
        <v>0</v>
      </c>
      <c r="R1674" s="112" t="n">
        <v>287.36</v>
      </c>
      <c r="S1674" s="112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D1675" t="inlineStr"/>
      <c r="E1675" t="inlineStr">
        <is>
          <t>ER</t>
        </is>
      </c>
      <c r="F1675" t="inlineStr"/>
      <c r="G1675" t="inlineStr"/>
      <c r="H1675" s="125" t="n">
        <v>46138</v>
      </c>
      <c r="I1675" t="inlineStr"/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N1675" t="inlineStr"/>
      <c r="O1675" t="inlineStr">
        <is>
          <t>RAT447</t>
        </is>
      </c>
      <c r="P1675" t="inlineStr"/>
      <c r="Q1675" s="112" t="n">
        <v>0</v>
      </c>
      <c r="R1675" s="112" t="n">
        <v>62.5</v>
      </c>
      <c r="S1675" s="112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D1676" t="inlineStr"/>
      <c r="E1676" t="inlineStr">
        <is>
          <t>ER</t>
        </is>
      </c>
      <c r="F1676" t="inlineStr"/>
      <c r="G1676" t="inlineStr"/>
      <c r="H1676" s="125" t="n">
        <v>46138</v>
      </c>
      <c r="I1676" t="inlineStr"/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N1676" t="inlineStr"/>
      <c r="O1676" t="inlineStr">
        <is>
          <t>RAT447</t>
        </is>
      </c>
      <c r="P1676" t="inlineStr"/>
      <c r="Q1676" s="112" t="n">
        <v>0</v>
      </c>
      <c r="R1676" s="112" t="n">
        <v>62.5</v>
      </c>
      <c r="S1676" s="112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D1677" t="inlineStr"/>
      <c r="E1677" t="inlineStr">
        <is>
          <t>ER</t>
        </is>
      </c>
      <c r="F1677" t="inlineStr"/>
      <c r="G1677" t="inlineStr"/>
      <c r="H1677" s="125" t="n">
        <v>46138</v>
      </c>
      <c r="I1677" t="inlineStr"/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N1677" t="inlineStr"/>
      <c r="O1677" t="inlineStr">
        <is>
          <t>RAT447</t>
        </is>
      </c>
      <c r="P1677" t="inlineStr"/>
      <c r="Q1677" s="112" t="n">
        <v>0</v>
      </c>
      <c r="R1677" s="112" t="n">
        <v>62.5</v>
      </c>
      <c r="S1677" s="112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D1678" t="inlineStr"/>
      <c r="E1678" t="inlineStr">
        <is>
          <t>ER</t>
        </is>
      </c>
      <c r="F1678" t="inlineStr"/>
      <c r="G1678" t="inlineStr"/>
      <c r="H1678" s="125" t="n">
        <v>46138</v>
      </c>
      <c r="I1678" t="inlineStr"/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N1678" t="inlineStr"/>
      <c r="O1678" t="inlineStr">
        <is>
          <t>RAT447</t>
        </is>
      </c>
      <c r="P1678" t="inlineStr"/>
      <c r="Q1678" s="112" t="n">
        <v>0</v>
      </c>
      <c r="R1678" s="112" t="n">
        <v>62.5</v>
      </c>
      <c r="S1678" s="112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D1679" t="inlineStr"/>
      <c r="E1679" t="inlineStr">
        <is>
          <t>ER</t>
        </is>
      </c>
      <c r="F1679" t="inlineStr"/>
      <c r="G1679" t="inlineStr"/>
      <c r="H1679" s="125" t="n">
        <v>46138</v>
      </c>
      <c r="I1679" t="inlineStr"/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N1679" t="inlineStr"/>
      <c r="O1679" t="inlineStr">
        <is>
          <t>RAT447</t>
        </is>
      </c>
      <c r="P1679" t="inlineStr"/>
      <c r="Q1679" s="112" t="n">
        <v>0</v>
      </c>
      <c r="R1679" s="112" t="n">
        <v>62.5</v>
      </c>
      <c r="S1679" s="112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D1680" t="inlineStr"/>
      <c r="E1680" t="inlineStr">
        <is>
          <t>ER</t>
        </is>
      </c>
      <c r="F1680" t="inlineStr"/>
      <c r="G1680" t="inlineStr"/>
      <c r="H1680" s="125" t="n">
        <v>46138</v>
      </c>
      <c r="I1680" t="inlineStr"/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N1680" t="inlineStr"/>
      <c r="O1680" t="inlineStr">
        <is>
          <t>RAT447</t>
        </is>
      </c>
      <c r="P1680" t="inlineStr"/>
      <c r="Q1680" s="112" t="n">
        <v>0</v>
      </c>
      <c r="R1680" s="112" t="n">
        <v>62.5</v>
      </c>
      <c r="S1680" s="112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D1681" t="inlineStr"/>
      <c r="E1681" t="inlineStr">
        <is>
          <t>ER</t>
        </is>
      </c>
      <c r="F1681" t="inlineStr"/>
      <c r="G1681" t="inlineStr"/>
      <c r="H1681" s="125" t="n">
        <v>46142</v>
      </c>
      <c r="I1681" t="inlineStr"/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N1681" t="inlineStr"/>
      <c r="O1681" t="inlineStr">
        <is>
          <t>RAT447</t>
        </is>
      </c>
      <c r="P1681" t="inlineStr"/>
      <c r="Q1681" s="112" t="n">
        <v>0</v>
      </c>
      <c r="R1681" s="112" t="n">
        <v>62.5</v>
      </c>
      <c r="S1681" s="112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D1682" t="inlineStr"/>
      <c r="E1682" t="inlineStr">
        <is>
          <t>ER</t>
        </is>
      </c>
      <c r="F1682" t="inlineStr"/>
      <c r="G1682" t="inlineStr"/>
      <c r="H1682" s="125" t="n">
        <v>46142</v>
      </c>
      <c r="I1682" t="inlineStr"/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N1682" t="inlineStr"/>
      <c r="O1682" t="inlineStr">
        <is>
          <t>RAT447</t>
        </is>
      </c>
      <c r="P1682" t="inlineStr"/>
      <c r="Q1682" s="112" t="n">
        <v>0</v>
      </c>
      <c r="R1682" s="112" t="n">
        <v>62.5</v>
      </c>
      <c r="S1682" s="112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D1683" t="inlineStr"/>
      <c r="E1683" t="inlineStr">
        <is>
          <t>ER</t>
        </is>
      </c>
      <c r="F1683" t="inlineStr"/>
      <c r="G1683" t="inlineStr"/>
      <c r="H1683" s="125" t="n">
        <v>46142</v>
      </c>
      <c r="I1683" t="inlineStr"/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N1683" t="inlineStr"/>
      <c r="O1683" t="inlineStr">
        <is>
          <t>RAT447</t>
        </is>
      </c>
      <c r="P1683" t="inlineStr"/>
      <c r="Q1683" s="112" t="n">
        <v>0</v>
      </c>
      <c r="R1683" s="112" t="n">
        <v>62.5</v>
      </c>
      <c r="S1683" s="112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D1684" t="inlineStr"/>
      <c r="E1684" t="inlineStr">
        <is>
          <t>ER</t>
        </is>
      </c>
      <c r="F1684" t="inlineStr"/>
      <c r="G1684" t="inlineStr"/>
      <c r="H1684" s="125" t="n">
        <v>46142</v>
      </c>
      <c r="I1684" t="inlineStr"/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N1684" t="inlineStr"/>
      <c r="O1684" t="inlineStr">
        <is>
          <t>RAT447</t>
        </is>
      </c>
      <c r="P1684" t="inlineStr"/>
      <c r="Q1684" s="112" t="n">
        <v>0</v>
      </c>
      <c r="R1684" s="112" t="n">
        <v>62.5</v>
      </c>
      <c r="S1684" s="112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D1685" t="inlineStr"/>
      <c r="E1685" t="inlineStr">
        <is>
          <t>ER</t>
        </is>
      </c>
      <c r="F1685" t="inlineStr"/>
      <c r="G1685" t="inlineStr"/>
      <c r="H1685" s="125" t="n">
        <v>46145</v>
      </c>
      <c r="I1685" t="inlineStr"/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N1685" t="inlineStr"/>
      <c r="O1685" t="inlineStr">
        <is>
          <t>RAT447</t>
        </is>
      </c>
      <c r="P1685" t="inlineStr"/>
      <c r="Q1685" s="112" t="n">
        <v>0</v>
      </c>
      <c r="R1685" s="112" t="n">
        <v>62.5</v>
      </c>
      <c r="S1685" s="112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D1686" t="inlineStr"/>
      <c r="E1686" t="inlineStr">
        <is>
          <t>ER</t>
        </is>
      </c>
      <c r="F1686" t="inlineStr"/>
      <c r="G1686" t="inlineStr"/>
      <c r="H1686" s="125" t="n">
        <v>46145</v>
      </c>
      <c r="I1686" t="inlineStr"/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N1686" t="inlineStr"/>
      <c r="O1686" t="inlineStr">
        <is>
          <t>RAT447</t>
        </is>
      </c>
      <c r="P1686" t="inlineStr"/>
      <c r="Q1686" s="112" t="n">
        <v>0</v>
      </c>
      <c r="R1686" s="112" t="n">
        <v>62.5</v>
      </c>
      <c r="S1686" s="112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D1687" t="inlineStr"/>
      <c r="E1687" t="inlineStr">
        <is>
          <t>ER</t>
        </is>
      </c>
      <c r="F1687" t="inlineStr"/>
      <c r="G1687" t="inlineStr"/>
      <c r="H1687" s="125" t="n">
        <v>46152</v>
      </c>
      <c r="I1687" t="inlineStr"/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N1687" t="inlineStr"/>
      <c r="O1687" t="inlineStr">
        <is>
          <t>RMS2318</t>
        </is>
      </c>
      <c r="P1687" t="inlineStr"/>
      <c r="Q1687" s="112" t="n">
        <v>0</v>
      </c>
      <c r="R1687" s="112" t="n">
        <v>200</v>
      </c>
      <c r="S1687" s="112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D1688" t="inlineStr"/>
      <c r="E1688" t="inlineStr">
        <is>
          <t>ER</t>
        </is>
      </c>
      <c r="F1688" t="inlineStr"/>
      <c r="G1688" t="inlineStr"/>
      <c r="H1688" s="125" t="n">
        <v>46152</v>
      </c>
      <c r="I1688" t="inlineStr"/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N1688" t="inlineStr"/>
      <c r="O1688" t="inlineStr">
        <is>
          <t>RMS2318</t>
        </is>
      </c>
      <c r="P1688" t="inlineStr"/>
      <c r="Q1688" s="112" t="n">
        <v>0</v>
      </c>
      <c r="R1688" s="112" t="n">
        <v>200</v>
      </c>
      <c r="S1688" s="112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D1689" t="inlineStr"/>
      <c r="E1689" t="inlineStr">
        <is>
          <t>ER</t>
        </is>
      </c>
      <c r="F1689" t="inlineStr"/>
      <c r="G1689" t="inlineStr"/>
      <c r="H1689" s="125" t="n">
        <v>46152</v>
      </c>
      <c r="I1689" t="inlineStr"/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N1689" t="inlineStr"/>
      <c r="O1689" t="inlineStr">
        <is>
          <t>RMS2318</t>
        </is>
      </c>
      <c r="P1689" t="inlineStr"/>
      <c r="Q1689" s="112" t="n">
        <v>0</v>
      </c>
      <c r="R1689" s="112" t="n">
        <v>200</v>
      </c>
      <c r="S1689" s="112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D1690" t="inlineStr"/>
      <c r="E1690" t="inlineStr">
        <is>
          <t>ER</t>
        </is>
      </c>
      <c r="F1690" t="inlineStr"/>
      <c r="G1690" t="inlineStr"/>
      <c r="H1690" s="125" t="n">
        <v>46152</v>
      </c>
      <c r="I1690" t="inlineStr"/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N1690" t="inlineStr"/>
      <c r="O1690" t="inlineStr">
        <is>
          <t>RAT447</t>
        </is>
      </c>
      <c r="P1690" t="inlineStr"/>
      <c r="Q1690" s="112" t="n">
        <v>0</v>
      </c>
      <c r="R1690" s="112" t="n">
        <v>62.5</v>
      </c>
      <c r="S1690" s="112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D1691" t="inlineStr"/>
      <c r="E1691" t="inlineStr">
        <is>
          <t>ER</t>
        </is>
      </c>
      <c r="F1691" t="inlineStr"/>
      <c r="G1691" t="inlineStr"/>
      <c r="H1691" s="125" t="n">
        <v>46152</v>
      </c>
      <c r="I1691" t="inlineStr"/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N1691" t="inlineStr"/>
      <c r="O1691" t="inlineStr">
        <is>
          <t>RAT447</t>
        </is>
      </c>
      <c r="P1691" t="inlineStr"/>
      <c r="Q1691" s="112" t="n">
        <v>0</v>
      </c>
      <c r="R1691" s="112" t="n">
        <v>62.5</v>
      </c>
      <c r="S1691" s="112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D1692" t="inlineStr"/>
      <c r="E1692" t="inlineStr">
        <is>
          <t>ER</t>
        </is>
      </c>
      <c r="F1692" t="inlineStr"/>
      <c r="G1692" t="inlineStr"/>
      <c r="H1692" s="125" t="n">
        <v>46152</v>
      </c>
      <c r="I1692" t="inlineStr"/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N1692" t="inlineStr"/>
      <c r="O1692" t="inlineStr">
        <is>
          <t>RAT447</t>
        </is>
      </c>
      <c r="P1692" t="inlineStr"/>
      <c r="Q1692" s="112" t="n">
        <v>0</v>
      </c>
      <c r="R1692" s="112" t="n">
        <v>62.5</v>
      </c>
      <c r="S1692" s="112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D1693" t="inlineStr"/>
      <c r="E1693" t="inlineStr">
        <is>
          <t>ER</t>
        </is>
      </c>
      <c r="F1693" t="inlineStr"/>
      <c r="G1693" t="inlineStr"/>
      <c r="H1693" s="125" t="n">
        <v>46152</v>
      </c>
      <c r="I1693" t="inlineStr"/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N1693" t="inlineStr"/>
      <c r="O1693" t="inlineStr">
        <is>
          <t>RAT447</t>
        </is>
      </c>
      <c r="P1693" t="inlineStr"/>
      <c r="Q1693" s="112" t="n">
        <v>0</v>
      </c>
      <c r="R1693" s="112" t="n">
        <v>62.5</v>
      </c>
      <c r="S1693" s="112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D1694" t="inlineStr"/>
      <c r="E1694" t="inlineStr">
        <is>
          <t>ER</t>
        </is>
      </c>
      <c r="F1694" t="inlineStr"/>
      <c r="G1694" t="inlineStr"/>
      <c r="H1694" s="125" t="n">
        <v>46152</v>
      </c>
      <c r="I1694" t="inlineStr"/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N1694" t="inlineStr"/>
      <c r="O1694" t="inlineStr">
        <is>
          <t>RAT447</t>
        </is>
      </c>
      <c r="P1694" t="inlineStr"/>
      <c r="Q1694" s="112" t="n">
        <v>0</v>
      </c>
      <c r="R1694" s="112" t="n">
        <v>62.5</v>
      </c>
      <c r="S1694" s="112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D1695" t="inlineStr"/>
      <c r="E1695" t="inlineStr">
        <is>
          <t>ER</t>
        </is>
      </c>
      <c r="F1695" t="inlineStr"/>
      <c r="G1695" t="inlineStr"/>
      <c r="H1695" s="125" t="n">
        <v>46152</v>
      </c>
      <c r="I1695" t="inlineStr"/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N1695" t="inlineStr"/>
      <c r="O1695" t="inlineStr">
        <is>
          <t>RAT447</t>
        </is>
      </c>
      <c r="P1695" t="inlineStr"/>
      <c r="Q1695" s="112" t="n">
        <v>0</v>
      </c>
      <c r="R1695" s="112" t="n">
        <v>62.5</v>
      </c>
      <c r="S1695" s="112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D1696" t="inlineStr"/>
      <c r="E1696" t="inlineStr">
        <is>
          <t>ER</t>
        </is>
      </c>
      <c r="F1696" t="inlineStr"/>
      <c r="G1696" t="inlineStr"/>
      <c r="H1696" s="125" t="n">
        <v>46152</v>
      </c>
      <c r="I1696" t="inlineStr"/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N1696" t="inlineStr"/>
      <c r="O1696" t="inlineStr">
        <is>
          <t>RLD0303</t>
        </is>
      </c>
      <c r="P1696" t="inlineStr"/>
      <c r="Q1696" s="112" t="n">
        <v>0</v>
      </c>
      <c r="R1696" s="112" t="n">
        <v>437.5</v>
      </c>
      <c r="S1696" s="112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D1697" t="inlineStr"/>
      <c r="E1697" t="inlineStr">
        <is>
          <t>ER</t>
        </is>
      </c>
      <c r="F1697" t="inlineStr"/>
      <c r="G1697" t="inlineStr"/>
      <c r="H1697" s="125" t="n">
        <v>46152</v>
      </c>
      <c r="I1697" t="inlineStr"/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N1697" t="inlineStr"/>
      <c r="O1697" t="inlineStr">
        <is>
          <t>RLD0303</t>
        </is>
      </c>
      <c r="P1697" t="inlineStr"/>
      <c r="Q1697" s="112" t="n">
        <v>0</v>
      </c>
      <c r="R1697" s="112" t="n">
        <v>437.5</v>
      </c>
      <c r="S1697" s="112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D1698" t="inlineStr"/>
      <c r="E1698" t="inlineStr">
        <is>
          <t>ER</t>
        </is>
      </c>
      <c r="F1698" t="inlineStr"/>
      <c r="G1698" t="inlineStr"/>
      <c r="H1698" s="125" t="n">
        <v>46152</v>
      </c>
      <c r="I1698" t="inlineStr"/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N1698" t="inlineStr"/>
      <c r="O1698" t="inlineStr">
        <is>
          <t>RGN0302</t>
        </is>
      </c>
      <c r="P1698" t="inlineStr"/>
      <c r="Q1698" s="112" t="n">
        <v>0</v>
      </c>
      <c r="R1698" s="112" t="n">
        <v>659.72</v>
      </c>
      <c r="S1698" s="112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D1699" t="inlineStr"/>
      <c r="E1699" t="inlineStr">
        <is>
          <t>ER</t>
        </is>
      </c>
      <c r="F1699" t="inlineStr"/>
      <c r="G1699" t="inlineStr"/>
      <c r="H1699" s="125" t="n">
        <v>46152</v>
      </c>
      <c r="I1699" t="inlineStr"/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N1699" t="inlineStr"/>
      <c r="O1699" t="inlineStr">
        <is>
          <t>RGN0302</t>
        </is>
      </c>
      <c r="P1699" t="inlineStr"/>
      <c r="Q1699" s="112" t="n">
        <v>0</v>
      </c>
      <c r="R1699" s="112" t="n">
        <v>659.72</v>
      </c>
      <c r="S1699" s="112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D1700" t="inlineStr"/>
      <c r="E1700" t="inlineStr">
        <is>
          <t>ER</t>
        </is>
      </c>
      <c r="F1700" t="inlineStr"/>
      <c r="G1700" t="inlineStr"/>
      <c r="H1700" s="125" t="n">
        <v>46152</v>
      </c>
      <c r="I1700" t="inlineStr"/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N1700" t="inlineStr"/>
      <c r="O1700" t="inlineStr">
        <is>
          <t>RGN0302</t>
        </is>
      </c>
      <c r="P1700" t="inlineStr"/>
      <c r="Q1700" s="112" t="n">
        <v>0</v>
      </c>
      <c r="R1700" s="112" t="n">
        <v>659.72</v>
      </c>
      <c r="S1700" s="112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D1701" t="inlineStr"/>
      <c r="E1701" t="inlineStr">
        <is>
          <t>ER</t>
        </is>
      </c>
      <c r="F1701" t="inlineStr"/>
      <c r="G1701" t="inlineStr"/>
      <c r="H1701" s="125" t="n">
        <v>46159</v>
      </c>
      <c r="I1701" t="inlineStr"/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N1701" t="inlineStr"/>
      <c r="O1701" t="inlineStr">
        <is>
          <t>RMS2318</t>
        </is>
      </c>
      <c r="P1701" t="inlineStr"/>
      <c r="Q1701" s="112" t="n">
        <v>0</v>
      </c>
      <c r="R1701" s="112" t="n">
        <v>200</v>
      </c>
      <c r="S1701" s="112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D1702" t="inlineStr"/>
      <c r="E1702" t="inlineStr">
        <is>
          <t>ER</t>
        </is>
      </c>
      <c r="F1702" t="inlineStr"/>
      <c r="G1702" t="inlineStr"/>
      <c r="H1702" s="125" t="n">
        <v>46159</v>
      </c>
      <c r="I1702" t="inlineStr"/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N1702" t="inlineStr"/>
      <c r="O1702" t="inlineStr">
        <is>
          <t>RMS2318</t>
        </is>
      </c>
      <c r="P1702" t="inlineStr"/>
      <c r="Q1702" s="112" t="n">
        <v>0</v>
      </c>
      <c r="R1702" s="112" t="n">
        <v>200</v>
      </c>
      <c r="S1702" s="112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D1703" t="inlineStr"/>
      <c r="E1703" t="inlineStr">
        <is>
          <t>ER</t>
        </is>
      </c>
      <c r="F1703" t="inlineStr"/>
      <c r="G1703" t="inlineStr"/>
      <c r="H1703" s="125" t="n">
        <v>46159</v>
      </c>
      <c r="I1703" t="inlineStr"/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N1703" t="inlineStr"/>
      <c r="O1703" t="inlineStr">
        <is>
          <t>RMS2318</t>
        </is>
      </c>
      <c r="P1703" t="inlineStr"/>
      <c r="Q1703" s="112" t="n">
        <v>0</v>
      </c>
      <c r="R1703" s="112" t="n">
        <v>200</v>
      </c>
      <c r="S1703" s="112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D1704" t="inlineStr"/>
      <c r="E1704" t="inlineStr">
        <is>
          <t>ER</t>
        </is>
      </c>
      <c r="F1704" t="inlineStr"/>
      <c r="G1704" t="inlineStr"/>
      <c r="H1704" s="125" t="n">
        <v>46159</v>
      </c>
      <c r="I1704" t="inlineStr"/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N1704" t="inlineStr"/>
      <c r="O1704" t="inlineStr">
        <is>
          <t>RMS2318</t>
        </is>
      </c>
      <c r="P1704" t="inlineStr"/>
      <c r="Q1704" s="112" t="n">
        <v>0</v>
      </c>
      <c r="R1704" s="112" t="n">
        <v>200</v>
      </c>
      <c r="S1704" s="112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D1705" t="inlineStr"/>
      <c r="E1705" t="inlineStr">
        <is>
          <t>ER</t>
        </is>
      </c>
      <c r="F1705" t="inlineStr"/>
      <c r="G1705" t="inlineStr"/>
      <c r="H1705" s="125" t="n">
        <v>46159</v>
      </c>
      <c r="I1705" t="inlineStr"/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N1705" t="inlineStr"/>
      <c r="O1705" t="inlineStr">
        <is>
          <t>RMS2318</t>
        </is>
      </c>
      <c r="P1705" t="inlineStr"/>
      <c r="Q1705" s="112" t="n">
        <v>0</v>
      </c>
      <c r="R1705" s="112" t="n">
        <v>200</v>
      </c>
      <c r="S1705" s="112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D1706" t="inlineStr"/>
      <c r="E1706" t="inlineStr">
        <is>
          <t>ER</t>
        </is>
      </c>
      <c r="F1706" t="inlineStr"/>
      <c r="G1706" t="inlineStr"/>
      <c r="H1706" s="125" t="n">
        <v>46159</v>
      </c>
      <c r="I1706" t="inlineStr"/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N1706" t="inlineStr"/>
      <c r="O1706" t="inlineStr">
        <is>
          <t>RMS2318</t>
        </is>
      </c>
      <c r="P1706" t="inlineStr"/>
      <c r="Q1706" s="112" t="n">
        <v>0</v>
      </c>
      <c r="R1706" s="112" t="n">
        <v>200</v>
      </c>
      <c r="S1706" s="112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D1707" t="inlineStr"/>
      <c r="E1707" t="inlineStr">
        <is>
          <t>ER</t>
        </is>
      </c>
      <c r="F1707" t="inlineStr"/>
      <c r="G1707" t="inlineStr"/>
      <c r="H1707" s="125" t="n">
        <v>46159</v>
      </c>
      <c r="I1707" t="inlineStr"/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N1707" t="inlineStr"/>
      <c r="O1707" t="inlineStr">
        <is>
          <t>RAT447</t>
        </is>
      </c>
      <c r="P1707" t="inlineStr"/>
      <c r="Q1707" s="112" t="n">
        <v>0</v>
      </c>
      <c r="R1707" s="112" t="n">
        <v>62.5</v>
      </c>
      <c r="S1707" s="112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D1708" t="inlineStr"/>
      <c r="E1708" t="inlineStr">
        <is>
          <t>ER</t>
        </is>
      </c>
      <c r="F1708" t="inlineStr"/>
      <c r="G1708" t="inlineStr"/>
      <c r="H1708" s="125" t="n">
        <v>46159</v>
      </c>
      <c r="I1708" t="inlineStr"/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N1708" t="inlineStr"/>
      <c r="O1708" t="inlineStr">
        <is>
          <t>RAT447</t>
        </is>
      </c>
      <c r="P1708" t="inlineStr"/>
      <c r="Q1708" s="112" t="n">
        <v>0</v>
      </c>
      <c r="R1708" s="112" t="n">
        <v>62.5</v>
      </c>
      <c r="S1708" s="112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D1709" t="inlineStr"/>
      <c r="E1709" t="inlineStr">
        <is>
          <t>ER</t>
        </is>
      </c>
      <c r="F1709" t="inlineStr"/>
      <c r="G1709" t="inlineStr"/>
      <c r="H1709" s="125" t="n">
        <v>46159</v>
      </c>
      <c r="I1709" t="inlineStr"/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N1709" t="inlineStr"/>
      <c r="O1709" t="inlineStr">
        <is>
          <t>RAT447</t>
        </is>
      </c>
      <c r="P1709" t="inlineStr"/>
      <c r="Q1709" s="112" t="n">
        <v>0</v>
      </c>
      <c r="R1709" s="112" t="n">
        <v>62.5</v>
      </c>
      <c r="S1709" s="112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D1710" t="inlineStr"/>
      <c r="E1710" t="inlineStr">
        <is>
          <t>ER</t>
        </is>
      </c>
      <c r="F1710" t="inlineStr"/>
      <c r="G1710" t="inlineStr"/>
      <c r="H1710" s="125" t="n">
        <v>46159</v>
      </c>
      <c r="I1710" t="inlineStr"/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N1710" t="inlineStr"/>
      <c r="O1710" t="inlineStr">
        <is>
          <t>RAT447</t>
        </is>
      </c>
      <c r="P1710" t="inlineStr"/>
      <c r="Q1710" s="112" t="n">
        <v>0</v>
      </c>
      <c r="R1710" s="112" t="n">
        <v>62.5</v>
      </c>
      <c r="S1710" s="112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D1711" t="inlineStr"/>
      <c r="E1711" t="inlineStr">
        <is>
          <t>ER</t>
        </is>
      </c>
      <c r="F1711" t="inlineStr"/>
      <c r="G1711" t="inlineStr"/>
      <c r="H1711" s="125" t="n">
        <v>46159</v>
      </c>
      <c r="I1711" t="inlineStr"/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N1711" t="inlineStr"/>
      <c r="O1711" t="inlineStr">
        <is>
          <t>RAT447</t>
        </is>
      </c>
      <c r="P1711" t="inlineStr"/>
      <c r="Q1711" s="112" t="n">
        <v>0</v>
      </c>
      <c r="R1711" s="112" t="n">
        <v>62.5</v>
      </c>
      <c r="S1711" s="112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D1712" t="inlineStr"/>
      <c r="E1712" t="inlineStr">
        <is>
          <t>ER</t>
        </is>
      </c>
      <c r="F1712" t="inlineStr"/>
      <c r="G1712" t="inlineStr"/>
      <c r="H1712" s="125" t="n">
        <v>46159</v>
      </c>
      <c r="I1712" t="inlineStr"/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N1712" t="inlineStr"/>
      <c r="O1712" t="inlineStr">
        <is>
          <t>RAT447</t>
        </is>
      </c>
      <c r="P1712" t="inlineStr"/>
      <c r="Q1712" s="112" t="n">
        <v>0</v>
      </c>
      <c r="R1712" s="112" t="n">
        <v>62.5</v>
      </c>
      <c r="S1712" s="112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D1713" t="inlineStr"/>
      <c r="E1713" t="inlineStr">
        <is>
          <t>ER</t>
        </is>
      </c>
      <c r="F1713" t="inlineStr"/>
      <c r="G1713" t="inlineStr"/>
      <c r="H1713" s="125" t="n">
        <v>46159</v>
      </c>
      <c r="I1713" t="inlineStr"/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N1713" t="inlineStr"/>
      <c r="O1713" t="inlineStr">
        <is>
          <t>RLD0303</t>
        </is>
      </c>
      <c r="P1713" t="inlineStr"/>
      <c r="Q1713" s="112" t="n">
        <v>0</v>
      </c>
      <c r="R1713" s="112" t="n">
        <v>437.5</v>
      </c>
      <c r="S1713" s="112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D1714" t="inlineStr"/>
      <c r="E1714" t="inlineStr">
        <is>
          <t>ER</t>
        </is>
      </c>
      <c r="F1714" t="inlineStr"/>
      <c r="G1714" t="inlineStr"/>
      <c r="H1714" s="125" t="n">
        <v>46159</v>
      </c>
      <c r="I1714" t="inlineStr"/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N1714" t="inlineStr"/>
      <c r="O1714" t="inlineStr">
        <is>
          <t>RLD0303</t>
        </is>
      </c>
      <c r="P1714" t="inlineStr"/>
      <c r="Q1714" s="112" t="n">
        <v>0</v>
      </c>
      <c r="R1714" s="112" t="n">
        <v>437.5</v>
      </c>
      <c r="S1714" s="112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D1715" t="inlineStr"/>
      <c r="E1715" t="inlineStr">
        <is>
          <t>ER</t>
        </is>
      </c>
      <c r="F1715" t="inlineStr"/>
      <c r="G1715" t="inlineStr"/>
      <c r="H1715" s="125" t="n">
        <v>46159</v>
      </c>
      <c r="I1715" t="inlineStr"/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N1715" t="inlineStr"/>
      <c r="O1715" t="inlineStr">
        <is>
          <t>RLD0303</t>
        </is>
      </c>
      <c r="P1715" t="inlineStr"/>
      <c r="Q1715" s="112" t="n">
        <v>0</v>
      </c>
      <c r="R1715" s="112" t="n">
        <v>437.5</v>
      </c>
      <c r="S1715" s="112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D1716" t="inlineStr"/>
      <c r="E1716" t="inlineStr">
        <is>
          <t>ER</t>
        </is>
      </c>
      <c r="F1716" t="inlineStr"/>
      <c r="G1716" t="inlineStr"/>
      <c r="H1716" s="125" t="n">
        <v>46159</v>
      </c>
      <c r="I1716" t="inlineStr"/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N1716" t="inlineStr"/>
      <c r="O1716" t="inlineStr">
        <is>
          <t>RGN0302</t>
        </is>
      </c>
      <c r="P1716" t="inlineStr"/>
      <c r="Q1716" s="112" t="n">
        <v>0</v>
      </c>
      <c r="R1716" s="112" t="n">
        <v>659.72</v>
      </c>
      <c r="S1716" s="112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D1717" t="inlineStr"/>
      <c r="E1717" t="inlineStr">
        <is>
          <t>ER</t>
        </is>
      </c>
      <c r="F1717" t="inlineStr"/>
      <c r="G1717" t="inlineStr"/>
      <c r="H1717" s="125" t="n">
        <v>46159</v>
      </c>
      <c r="I1717" t="inlineStr"/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N1717" t="inlineStr"/>
      <c r="O1717" t="inlineStr">
        <is>
          <t>RGN0302</t>
        </is>
      </c>
      <c r="P1717" t="inlineStr"/>
      <c r="Q1717" s="112" t="n">
        <v>0</v>
      </c>
      <c r="R1717" s="112" t="n">
        <v>659.72</v>
      </c>
      <c r="S1717" s="112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D1718" t="inlineStr"/>
      <c r="E1718" t="inlineStr">
        <is>
          <t>ER</t>
        </is>
      </c>
      <c r="F1718" t="inlineStr"/>
      <c r="G1718" s="42" t="inlineStr"/>
      <c r="H1718" s="125" t="n">
        <v>46159</v>
      </c>
      <c r="I1718" t="inlineStr"/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N1718" t="inlineStr"/>
      <c r="O1718" t="inlineStr">
        <is>
          <t>RGN0302</t>
        </is>
      </c>
      <c r="P1718" t="inlineStr"/>
      <c r="Q1718" s="112" t="n">
        <v>0</v>
      </c>
      <c r="R1718" s="112" t="n">
        <v>659.72</v>
      </c>
      <c r="S1718" s="112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D1719" t="inlineStr"/>
      <c r="E1719" t="inlineStr">
        <is>
          <t>ER</t>
        </is>
      </c>
      <c r="F1719" t="inlineStr"/>
      <c r="G1719" s="42" t="inlineStr"/>
      <c r="H1719" s="125" t="n">
        <v>46159</v>
      </c>
      <c r="I1719" t="inlineStr"/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N1719" t="inlineStr"/>
      <c r="O1719" t="inlineStr">
        <is>
          <t>RGN0302</t>
        </is>
      </c>
      <c r="P1719" t="inlineStr"/>
      <c r="Q1719" s="112" t="n">
        <v>0</v>
      </c>
      <c r="R1719" s="112" t="n">
        <v>659.72</v>
      </c>
      <c r="S1719" s="112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D1720" t="inlineStr"/>
      <c r="E1720" t="inlineStr">
        <is>
          <t>ER</t>
        </is>
      </c>
      <c r="F1720" t="inlineStr"/>
      <c r="G1720" s="42" t="inlineStr"/>
      <c r="H1720" s="125" t="n">
        <v>46159</v>
      </c>
      <c r="I1720" t="inlineStr"/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N1720" t="inlineStr"/>
      <c r="O1720" t="inlineStr">
        <is>
          <t>RGN0302</t>
        </is>
      </c>
      <c r="P1720" t="inlineStr"/>
      <c r="Q1720" s="112" t="n">
        <v>0</v>
      </c>
      <c r="R1720" s="112" t="n">
        <v>659.72</v>
      </c>
      <c r="S1720" s="112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D1721" t="inlineStr"/>
      <c r="E1721" t="inlineStr">
        <is>
          <t>ER</t>
        </is>
      </c>
      <c r="F1721" t="inlineStr"/>
      <c r="G1721" s="42" t="inlineStr"/>
      <c r="H1721" s="125" t="n">
        <v>46159</v>
      </c>
      <c r="I1721" t="inlineStr"/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N1721" t="inlineStr"/>
      <c r="O1721" t="inlineStr">
        <is>
          <t>RGN0302</t>
        </is>
      </c>
      <c r="P1721" t="inlineStr"/>
      <c r="Q1721" s="112" t="n">
        <v>0</v>
      </c>
      <c r="R1721" s="112" t="n">
        <v>659.72</v>
      </c>
      <c r="S1721" s="112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D1722" t="inlineStr"/>
      <c r="E1722" t="inlineStr">
        <is>
          <t>ER</t>
        </is>
      </c>
      <c r="F1722" t="inlineStr"/>
      <c r="G1722" s="42" t="inlineStr"/>
      <c r="H1722" s="125" t="n">
        <v>46166</v>
      </c>
      <c r="I1722" t="inlineStr"/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N1722" t="inlineStr"/>
      <c r="O1722" t="inlineStr">
        <is>
          <t>RMS2318</t>
        </is>
      </c>
      <c r="P1722" t="inlineStr"/>
      <c r="Q1722" s="112" t="n">
        <v>0</v>
      </c>
      <c r="R1722" s="112" t="n">
        <v>200</v>
      </c>
      <c r="S1722" s="112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D1723" t="inlineStr"/>
      <c r="E1723" t="inlineStr">
        <is>
          <t>ER</t>
        </is>
      </c>
      <c r="F1723" t="inlineStr"/>
      <c r="G1723" s="42" t="inlineStr"/>
      <c r="H1723" s="125" t="n">
        <v>46166</v>
      </c>
      <c r="I1723" t="inlineStr"/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N1723" t="inlineStr"/>
      <c r="O1723" t="inlineStr">
        <is>
          <t>RMS2318</t>
        </is>
      </c>
      <c r="P1723" t="inlineStr"/>
      <c r="Q1723" s="112" t="n">
        <v>0</v>
      </c>
      <c r="R1723" s="112" t="n">
        <v>200</v>
      </c>
      <c r="S1723" s="112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D1724" t="inlineStr"/>
      <c r="E1724" t="inlineStr">
        <is>
          <t>ER</t>
        </is>
      </c>
      <c r="F1724" t="inlineStr"/>
      <c r="G1724" s="42" t="inlineStr"/>
      <c r="H1724" s="125" t="n">
        <v>46166</v>
      </c>
      <c r="I1724" t="inlineStr"/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N1724" t="inlineStr"/>
      <c r="O1724" t="inlineStr">
        <is>
          <t>RMS2318</t>
        </is>
      </c>
      <c r="P1724" t="inlineStr"/>
      <c r="Q1724" s="112" t="n">
        <v>0</v>
      </c>
      <c r="R1724" s="112" t="n">
        <v>200</v>
      </c>
      <c r="S1724" s="112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D1725" t="inlineStr"/>
      <c r="E1725" t="inlineStr">
        <is>
          <t>ER</t>
        </is>
      </c>
      <c r="F1725" t="inlineStr"/>
      <c r="G1725" s="42" t="inlineStr"/>
      <c r="H1725" s="125" t="n">
        <v>46166</v>
      </c>
      <c r="I1725" t="inlineStr"/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N1725" t="inlineStr"/>
      <c r="O1725" t="inlineStr">
        <is>
          <t>RAT447</t>
        </is>
      </c>
      <c r="P1725" t="inlineStr"/>
      <c r="Q1725" s="112" t="n">
        <v>0</v>
      </c>
      <c r="R1725" s="112" t="n">
        <v>62.5</v>
      </c>
      <c r="S1725" s="112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D1726" t="inlineStr"/>
      <c r="E1726" t="inlineStr">
        <is>
          <t>ER</t>
        </is>
      </c>
      <c r="F1726" t="inlineStr"/>
      <c r="G1726" s="42" t="inlineStr"/>
      <c r="H1726" s="125" t="n">
        <v>46166</v>
      </c>
      <c r="I1726" t="inlineStr"/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N1726" t="inlineStr"/>
      <c r="O1726" t="inlineStr">
        <is>
          <t>RAT447</t>
        </is>
      </c>
      <c r="P1726" t="inlineStr"/>
      <c r="Q1726" s="112" t="n">
        <v>0</v>
      </c>
      <c r="R1726" s="112" t="n">
        <v>62.5</v>
      </c>
      <c r="S1726" s="112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D1727" t="inlineStr"/>
      <c r="E1727" t="inlineStr">
        <is>
          <t>ER</t>
        </is>
      </c>
      <c r="F1727" t="inlineStr"/>
      <c r="G1727" s="42" t="inlineStr"/>
      <c r="H1727" s="125" t="n">
        <v>46166</v>
      </c>
      <c r="I1727" t="inlineStr"/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N1727" t="inlineStr"/>
      <c r="O1727" t="inlineStr">
        <is>
          <t>RAT447</t>
        </is>
      </c>
      <c r="P1727" t="inlineStr"/>
      <c r="Q1727" s="112" t="n">
        <v>0</v>
      </c>
      <c r="R1727" s="112" t="n">
        <v>62.5</v>
      </c>
      <c r="S1727" s="112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D1728" t="inlineStr"/>
      <c r="E1728" t="inlineStr">
        <is>
          <t>ER</t>
        </is>
      </c>
      <c r="F1728" t="inlineStr"/>
      <c r="G1728" s="42" t="inlineStr"/>
      <c r="H1728" s="125" t="n">
        <v>46166</v>
      </c>
      <c r="I1728" t="inlineStr"/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N1728" t="inlineStr"/>
      <c r="O1728" t="inlineStr">
        <is>
          <t>RAT447</t>
        </is>
      </c>
      <c r="P1728" t="inlineStr"/>
      <c r="Q1728" s="112" t="n">
        <v>0</v>
      </c>
      <c r="R1728" s="112" t="n">
        <v>62.5</v>
      </c>
      <c r="S1728" s="112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D1729" t="inlineStr"/>
      <c r="E1729" t="inlineStr">
        <is>
          <t>ER</t>
        </is>
      </c>
      <c r="F1729" t="inlineStr"/>
      <c r="G1729" s="42" t="inlineStr"/>
      <c r="H1729" s="125" t="n">
        <v>46166</v>
      </c>
      <c r="I1729" t="inlineStr"/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N1729" t="inlineStr"/>
      <c r="O1729" t="inlineStr">
        <is>
          <t>RAT447</t>
        </is>
      </c>
      <c r="P1729" t="inlineStr"/>
      <c r="Q1729" s="112" t="n">
        <v>0</v>
      </c>
      <c r="R1729" s="112" t="n">
        <v>62.5</v>
      </c>
      <c r="S1729" s="112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D1730" t="inlineStr"/>
      <c r="E1730" t="inlineStr">
        <is>
          <t>ER</t>
        </is>
      </c>
      <c r="F1730" t="inlineStr"/>
      <c r="G1730" s="42" t="inlineStr"/>
      <c r="H1730" s="125" t="n">
        <v>46166</v>
      </c>
      <c r="I1730" t="inlineStr"/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N1730" t="inlineStr"/>
      <c r="O1730" t="inlineStr">
        <is>
          <t>RAT447</t>
        </is>
      </c>
      <c r="P1730" t="inlineStr"/>
      <c r="Q1730" s="112" t="n">
        <v>0</v>
      </c>
      <c r="R1730" s="112" t="n">
        <v>62.5</v>
      </c>
      <c r="S1730" s="112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D1731" t="inlineStr"/>
      <c r="E1731" t="inlineStr">
        <is>
          <t>ER</t>
        </is>
      </c>
      <c r="F1731" t="inlineStr"/>
      <c r="G1731" s="42" t="inlineStr"/>
      <c r="H1731" s="125" t="n">
        <v>46166</v>
      </c>
      <c r="I1731" t="inlineStr"/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N1731" t="inlineStr"/>
      <c r="O1731" t="inlineStr">
        <is>
          <t>RLD0303</t>
        </is>
      </c>
      <c r="P1731" t="inlineStr"/>
      <c r="Q1731" s="112" t="n">
        <v>0</v>
      </c>
      <c r="R1731" s="112" t="n">
        <v>437.5</v>
      </c>
      <c r="S1731" s="112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D1732" t="inlineStr"/>
      <c r="E1732" t="inlineStr">
        <is>
          <t>ER</t>
        </is>
      </c>
      <c r="F1732" t="inlineStr"/>
      <c r="G1732" s="42" t="inlineStr"/>
      <c r="H1732" s="125" t="n">
        <v>46166</v>
      </c>
      <c r="I1732" t="inlineStr"/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N1732" t="inlineStr"/>
      <c r="O1732" t="inlineStr">
        <is>
          <t>RLD0303</t>
        </is>
      </c>
      <c r="P1732" t="inlineStr"/>
      <c r="Q1732" s="112" t="n">
        <v>0</v>
      </c>
      <c r="R1732" s="112" t="n">
        <v>437.5</v>
      </c>
      <c r="S1732" s="112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D1733" t="inlineStr"/>
      <c r="E1733" t="inlineStr">
        <is>
          <t>ER</t>
        </is>
      </c>
      <c r="F1733" t="inlineStr"/>
      <c r="G1733" s="42" t="inlineStr"/>
      <c r="H1733" s="125" t="n">
        <v>46166</v>
      </c>
      <c r="I1733" t="inlineStr"/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N1733" t="inlineStr"/>
      <c r="O1733" t="inlineStr">
        <is>
          <t>RLD0303</t>
        </is>
      </c>
      <c r="P1733" t="inlineStr"/>
      <c r="Q1733" s="112" t="n">
        <v>0</v>
      </c>
      <c r="R1733" s="112" t="n">
        <v>437.5</v>
      </c>
      <c r="S1733" s="112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D1734" t="inlineStr"/>
      <c r="E1734" t="inlineStr">
        <is>
          <t>ER</t>
        </is>
      </c>
      <c r="F1734" t="inlineStr"/>
      <c r="G1734" s="42" t="inlineStr"/>
      <c r="H1734" s="125" t="n">
        <v>46166</v>
      </c>
      <c r="I1734" t="inlineStr"/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N1734" t="inlineStr"/>
      <c r="O1734" t="inlineStr">
        <is>
          <t>RGN0302</t>
        </is>
      </c>
      <c r="P1734" t="inlineStr"/>
      <c r="Q1734" s="112" t="n">
        <v>0</v>
      </c>
      <c r="R1734" s="112" t="n">
        <v>659.72</v>
      </c>
      <c r="S1734" s="112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D1735" t="inlineStr"/>
      <c r="E1735" t="inlineStr">
        <is>
          <t>ER</t>
        </is>
      </c>
      <c r="F1735" t="inlineStr"/>
      <c r="G1735" s="42" t="inlineStr"/>
      <c r="H1735" s="125" t="n">
        <v>46166</v>
      </c>
      <c r="I1735" t="inlineStr"/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N1735" t="inlineStr"/>
      <c r="O1735" t="inlineStr">
        <is>
          <t>RGN0302</t>
        </is>
      </c>
      <c r="P1735" t="inlineStr"/>
      <c r="Q1735" s="112" t="n">
        <v>0</v>
      </c>
      <c r="R1735" s="112" t="n">
        <v>659.72</v>
      </c>
      <c r="S1735" s="112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D1736" t="inlineStr"/>
      <c r="E1736" t="inlineStr">
        <is>
          <t>ER</t>
        </is>
      </c>
      <c r="F1736" t="inlineStr"/>
      <c r="G1736" s="42" t="inlineStr"/>
      <c r="H1736" s="125" t="n">
        <v>46166</v>
      </c>
      <c r="I1736" t="inlineStr"/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N1736" t="inlineStr"/>
      <c r="O1736" t="inlineStr">
        <is>
          <t>RGN0302</t>
        </is>
      </c>
      <c r="P1736" t="inlineStr"/>
      <c r="Q1736" s="112" t="n">
        <v>0</v>
      </c>
      <c r="R1736" s="112" t="n">
        <v>659.72</v>
      </c>
      <c r="S1736" s="112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D1737" t="inlineStr"/>
      <c r="E1737" t="inlineStr">
        <is>
          <t>ER</t>
        </is>
      </c>
      <c r="F1737" t="inlineStr"/>
      <c r="G1737" s="42" t="inlineStr"/>
      <c r="H1737" s="125" t="n">
        <v>46166</v>
      </c>
      <c r="I1737" t="inlineStr"/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N1737" t="inlineStr"/>
      <c r="O1737" t="inlineStr">
        <is>
          <t>RGN0302</t>
        </is>
      </c>
      <c r="P1737" t="inlineStr"/>
      <c r="Q1737" s="112" t="n">
        <v>0</v>
      </c>
      <c r="R1737" s="112" t="n">
        <v>659.72</v>
      </c>
      <c r="S1737" s="112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D1738" t="inlineStr"/>
      <c r="E1738" t="inlineStr">
        <is>
          <t>ER</t>
        </is>
      </c>
      <c r="F1738" t="inlineStr"/>
      <c r="G1738" s="42" t="inlineStr"/>
      <c r="H1738" s="125" t="n">
        <v>46166</v>
      </c>
      <c r="I1738" t="inlineStr"/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N1738" t="inlineStr"/>
      <c r="O1738" t="inlineStr">
        <is>
          <t>RGN0302</t>
        </is>
      </c>
      <c r="P1738" t="inlineStr"/>
      <c r="Q1738" s="112" t="n">
        <v>0</v>
      </c>
      <c r="R1738" s="112" t="n">
        <v>659.72</v>
      </c>
      <c r="S1738" s="112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D1739" t="inlineStr"/>
      <c r="E1739" t="inlineStr">
        <is>
          <t>ER</t>
        </is>
      </c>
      <c r="F1739" t="inlineStr"/>
      <c r="G1739" s="42" t="inlineStr"/>
      <c r="H1739" s="125" t="n">
        <v>46166</v>
      </c>
      <c r="I1739" t="inlineStr"/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N1739" t="inlineStr"/>
      <c r="O1739" t="inlineStr">
        <is>
          <t>RGN0302</t>
        </is>
      </c>
      <c r="P1739" t="inlineStr"/>
      <c r="Q1739" s="112" t="n">
        <v>0</v>
      </c>
      <c r="R1739" s="112" t="n">
        <v>659.72</v>
      </c>
      <c r="S1739" s="112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D1740" t="inlineStr"/>
      <c r="E1740" t="inlineStr">
        <is>
          <t>ER</t>
        </is>
      </c>
      <c r="F1740" t="inlineStr"/>
      <c r="G1740" s="42" t="inlineStr"/>
      <c r="H1740" s="125" t="n">
        <v>46166</v>
      </c>
      <c r="I1740" t="inlineStr"/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N1740" t="inlineStr"/>
      <c r="O1740" t="inlineStr">
        <is>
          <t>RLT1295</t>
        </is>
      </c>
      <c r="P1740" t="inlineStr"/>
      <c r="Q1740" s="112" t="n">
        <v>0</v>
      </c>
      <c r="R1740" s="112" t="n">
        <v>115.91</v>
      </c>
      <c r="S1740" s="112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D1741" t="inlineStr"/>
      <c r="E1741" t="inlineStr">
        <is>
          <t>ER</t>
        </is>
      </c>
      <c r="F1741" t="inlineStr"/>
      <c r="G1741" s="42" t="inlineStr"/>
      <c r="H1741" s="125" t="n">
        <v>46166</v>
      </c>
      <c r="I1741" t="inlineStr"/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N1741" t="inlineStr"/>
      <c r="O1741" t="inlineStr">
        <is>
          <t>RLT1295</t>
        </is>
      </c>
      <c r="P1741" t="inlineStr"/>
      <c r="Q1741" s="112" t="n">
        <v>0</v>
      </c>
      <c r="R1741" s="112" t="n">
        <v>115.91</v>
      </c>
      <c r="S1741" s="112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D1742" t="inlineStr"/>
      <c r="E1742" t="inlineStr">
        <is>
          <t>ER</t>
        </is>
      </c>
      <c r="F1742" t="inlineStr"/>
      <c r="G1742" s="42" t="inlineStr"/>
      <c r="H1742" s="125" t="n">
        <v>46166</v>
      </c>
      <c r="I1742" t="inlineStr"/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N1742" t="inlineStr"/>
      <c r="O1742" t="inlineStr">
        <is>
          <t>RLT1295</t>
        </is>
      </c>
      <c r="P1742" t="inlineStr"/>
      <c r="Q1742" s="112" t="n">
        <v>0</v>
      </c>
      <c r="R1742" s="112" t="n">
        <v>115.91</v>
      </c>
      <c r="S1742" s="112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D1743" t="inlineStr"/>
      <c r="E1743" t="inlineStr">
        <is>
          <t>ER</t>
        </is>
      </c>
      <c r="F1743" t="inlineStr"/>
      <c r="G1743" s="42" t="inlineStr"/>
      <c r="H1743" s="125" t="n">
        <v>46166</v>
      </c>
      <c r="I1743" t="inlineStr"/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N1743" t="inlineStr"/>
      <c r="O1743" t="inlineStr">
        <is>
          <t>RLT1295</t>
        </is>
      </c>
      <c r="P1743" t="inlineStr"/>
      <c r="Q1743" s="112" t="n">
        <v>0</v>
      </c>
      <c r="R1743" s="112" t="n">
        <v>115.91</v>
      </c>
      <c r="S1743" s="112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D1744" t="inlineStr"/>
      <c r="E1744" t="inlineStr">
        <is>
          <t>ER</t>
        </is>
      </c>
      <c r="F1744" t="inlineStr"/>
      <c r="G1744" s="42" t="inlineStr"/>
      <c r="H1744" s="125" t="n">
        <v>46166</v>
      </c>
      <c r="I1744" t="inlineStr"/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N1744" t="inlineStr"/>
      <c r="O1744" t="inlineStr">
        <is>
          <t>RLT1295</t>
        </is>
      </c>
      <c r="P1744" t="inlineStr"/>
      <c r="Q1744" s="112" t="n">
        <v>0</v>
      </c>
      <c r="R1744" s="112" t="n">
        <v>115.91</v>
      </c>
      <c r="S1744" s="112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D1745" t="inlineStr"/>
      <c r="E1745" t="inlineStr">
        <is>
          <t>ER</t>
        </is>
      </c>
      <c r="F1745" t="inlineStr"/>
      <c r="G1745" s="42" t="inlineStr"/>
      <c r="H1745" s="125" t="n">
        <v>46166</v>
      </c>
      <c r="I1745" t="inlineStr"/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N1745" t="inlineStr"/>
      <c r="O1745" t="inlineStr">
        <is>
          <t>RLT1295</t>
        </is>
      </c>
      <c r="P1745" t="inlineStr"/>
      <c r="Q1745" s="112" t="n">
        <v>0</v>
      </c>
      <c r="R1745" s="112" t="n">
        <v>115.91</v>
      </c>
      <c r="S1745" s="112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D1746" t="inlineStr"/>
      <c r="E1746" t="inlineStr">
        <is>
          <t>ER</t>
        </is>
      </c>
      <c r="F1746" t="inlineStr"/>
      <c r="G1746" s="42" t="inlineStr"/>
      <c r="H1746" s="125" t="n">
        <v>46166</v>
      </c>
      <c r="I1746" t="inlineStr"/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N1746" t="inlineStr"/>
      <c r="O1746" t="inlineStr">
        <is>
          <t>RLT1296</t>
        </is>
      </c>
      <c r="P1746" t="inlineStr"/>
      <c r="Q1746" s="112" t="n">
        <v>0</v>
      </c>
      <c r="R1746" s="112" t="n">
        <v>115.91</v>
      </c>
      <c r="S1746" s="112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D1747" t="inlineStr"/>
      <c r="E1747" t="inlineStr">
        <is>
          <t>ER</t>
        </is>
      </c>
      <c r="F1747" t="inlineStr"/>
      <c r="G1747" s="42" t="inlineStr"/>
      <c r="H1747" s="125" t="n">
        <v>46166</v>
      </c>
      <c r="I1747" t="inlineStr"/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N1747" t="inlineStr"/>
      <c r="O1747" t="inlineStr">
        <is>
          <t>RLT1296</t>
        </is>
      </c>
      <c r="P1747" t="inlineStr"/>
      <c r="Q1747" s="112" t="n">
        <v>0</v>
      </c>
      <c r="R1747" s="112" t="n">
        <v>115.91</v>
      </c>
      <c r="S1747" s="112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D1748" t="inlineStr"/>
      <c r="E1748" t="inlineStr">
        <is>
          <t>ER</t>
        </is>
      </c>
      <c r="F1748" t="inlineStr"/>
      <c r="G1748" s="42" t="inlineStr"/>
      <c r="H1748" s="125" t="n">
        <v>46166</v>
      </c>
      <c r="I1748" t="inlineStr"/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N1748" t="inlineStr"/>
      <c r="O1748" t="inlineStr">
        <is>
          <t>RLT1296</t>
        </is>
      </c>
      <c r="P1748" t="inlineStr"/>
      <c r="Q1748" s="112" t="n">
        <v>0</v>
      </c>
      <c r="R1748" s="112" t="n">
        <v>115.91</v>
      </c>
      <c r="S1748" s="112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D1749" t="inlineStr"/>
      <c r="E1749" t="inlineStr">
        <is>
          <t>ER</t>
        </is>
      </c>
      <c r="F1749" t="inlineStr"/>
      <c r="G1749" s="42" t="inlineStr"/>
      <c r="H1749" s="125" t="n">
        <v>46166</v>
      </c>
      <c r="I1749" t="inlineStr"/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N1749" t="inlineStr"/>
      <c r="O1749" t="inlineStr">
        <is>
          <t>RLT1296</t>
        </is>
      </c>
      <c r="P1749" t="inlineStr"/>
      <c r="Q1749" s="112" t="n">
        <v>0</v>
      </c>
      <c r="R1749" s="112" t="n">
        <v>115.91</v>
      </c>
      <c r="S1749" s="112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D1750" t="inlineStr"/>
      <c r="E1750" t="inlineStr">
        <is>
          <t>ER</t>
        </is>
      </c>
      <c r="F1750" t="inlineStr"/>
      <c r="G1750" s="42" t="inlineStr"/>
      <c r="H1750" s="125" t="n">
        <v>46166</v>
      </c>
      <c r="I1750" t="inlineStr"/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N1750" t="inlineStr"/>
      <c r="O1750" t="inlineStr">
        <is>
          <t>RLT1296</t>
        </is>
      </c>
      <c r="P1750" t="inlineStr"/>
      <c r="Q1750" s="112" t="n">
        <v>0</v>
      </c>
      <c r="R1750" s="112" t="n">
        <v>115.91</v>
      </c>
      <c r="S1750" s="112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D1751" t="inlineStr"/>
      <c r="E1751" t="inlineStr">
        <is>
          <t>ER</t>
        </is>
      </c>
      <c r="F1751" t="inlineStr"/>
      <c r="G1751" s="42" t="inlineStr"/>
      <c r="H1751" s="125" t="n">
        <v>46166</v>
      </c>
      <c r="I1751" t="inlineStr"/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N1751" t="inlineStr"/>
      <c r="O1751" t="inlineStr">
        <is>
          <t>RLT1296</t>
        </is>
      </c>
      <c r="P1751" t="inlineStr"/>
      <c r="Q1751" s="112" t="n">
        <v>0</v>
      </c>
      <c r="R1751" s="112" t="n">
        <v>115.91</v>
      </c>
      <c r="S1751" s="112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D1752" t="inlineStr"/>
      <c r="E1752" t="inlineStr">
        <is>
          <t>ER</t>
        </is>
      </c>
      <c r="F1752" t="inlineStr"/>
      <c r="G1752" s="42" t="inlineStr"/>
      <c r="H1752" s="125" t="n">
        <v>46166</v>
      </c>
      <c r="I1752" t="inlineStr"/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N1752" t="inlineStr"/>
      <c r="O1752" t="inlineStr">
        <is>
          <t>RLT1297</t>
        </is>
      </c>
      <c r="P1752" t="inlineStr"/>
      <c r="Q1752" s="112" t="n">
        <v>0</v>
      </c>
      <c r="R1752" s="112" t="n">
        <v>115.91</v>
      </c>
      <c r="S1752" s="112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D1753" t="inlineStr"/>
      <c r="E1753" t="inlineStr">
        <is>
          <t>ER</t>
        </is>
      </c>
      <c r="F1753" t="inlineStr"/>
      <c r="G1753" s="42" t="inlineStr"/>
      <c r="H1753" s="125" t="n">
        <v>46166</v>
      </c>
      <c r="I1753" t="inlineStr"/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N1753" t="inlineStr"/>
      <c r="O1753" t="inlineStr">
        <is>
          <t>RLT1297</t>
        </is>
      </c>
      <c r="P1753" t="inlineStr"/>
      <c r="Q1753" s="112" t="n">
        <v>0</v>
      </c>
      <c r="R1753" s="112" t="n">
        <v>115.91</v>
      </c>
      <c r="S1753" s="112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D1754" t="inlineStr"/>
      <c r="E1754" t="inlineStr">
        <is>
          <t>ER</t>
        </is>
      </c>
      <c r="F1754" t="inlineStr"/>
      <c r="G1754" s="42" t="inlineStr"/>
      <c r="H1754" s="125" t="n">
        <v>46166</v>
      </c>
      <c r="I1754" t="inlineStr"/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N1754" t="inlineStr"/>
      <c r="O1754" t="inlineStr">
        <is>
          <t>RLT1297</t>
        </is>
      </c>
      <c r="P1754" t="inlineStr"/>
      <c r="Q1754" s="112" t="n">
        <v>0</v>
      </c>
      <c r="R1754" s="112" t="n">
        <v>115.91</v>
      </c>
      <c r="S1754" s="112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D1755" t="inlineStr"/>
      <c r="E1755" t="inlineStr">
        <is>
          <t>ER</t>
        </is>
      </c>
      <c r="F1755" t="inlineStr"/>
      <c r="G1755" s="42" t="inlineStr"/>
      <c r="H1755" s="125" t="n">
        <v>46166</v>
      </c>
      <c r="I1755" t="inlineStr"/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N1755" t="inlineStr"/>
      <c r="O1755" t="inlineStr">
        <is>
          <t>RLT1297</t>
        </is>
      </c>
      <c r="P1755" t="inlineStr"/>
      <c r="Q1755" s="112" t="n">
        <v>0</v>
      </c>
      <c r="R1755" s="112" t="n">
        <v>115.91</v>
      </c>
      <c r="S1755" s="112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D1756" t="inlineStr"/>
      <c r="E1756" t="inlineStr">
        <is>
          <t>ER</t>
        </is>
      </c>
      <c r="F1756" t="inlineStr"/>
      <c r="G1756" s="42" t="inlineStr"/>
      <c r="H1756" s="125" t="n">
        <v>46166</v>
      </c>
      <c r="I1756" t="inlineStr"/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N1756" t="inlineStr"/>
      <c r="O1756" t="inlineStr">
        <is>
          <t>RLT1297</t>
        </is>
      </c>
      <c r="P1756" t="inlineStr"/>
      <c r="Q1756" s="112" t="n">
        <v>0</v>
      </c>
      <c r="R1756" s="112" t="n">
        <v>115.91</v>
      </c>
      <c r="S1756" s="112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D1757" t="inlineStr"/>
      <c r="E1757" t="inlineStr">
        <is>
          <t>ER</t>
        </is>
      </c>
      <c r="F1757" t="inlineStr"/>
      <c r="G1757" s="42" t="inlineStr"/>
      <c r="H1757" s="125" t="n">
        <v>46166</v>
      </c>
      <c r="I1757" t="inlineStr"/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N1757" t="inlineStr"/>
      <c r="O1757" t="inlineStr">
        <is>
          <t>RLT1297</t>
        </is>
      </c>
      <c r="P1757" t="inlineStr"/>
      <c r="Q1757" s="112" t="n">
        <v>0</v>
      </c>
      <c r="R1757" s="112" t="n">
        <v>115.91</v>
      </c>
      <c r="S1757" s="112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D1758" t="inlineStr"/>
      <c r="E1758" t="inlineStr">
        <is>
          <t>ER</t>
        </is>
      </c>
      <c r="F1758" t="inlineStr"/>
      <c r="G1758" s="42" t="inlineStr"/>
      <c r="H1758" s="125" t="n">
        <v>46166</v>
      </c>
      <c r="I1758" t="inlineStr"/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N1758" t="inlineStr"/>
      <c r="O1758" t="inlineStr">
        <is>
          <t>RLT1298</t>
        </is>
      </c>
      <c r="P1758" t="inlineStr"/>
      <c r="Q1758" s="112" t="n">
        <v>0</v>
      </c>
      <c r="R1758" s="112" t="n">
        <v>115.91</v>
      </c>
      <c r="S1758" s="112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D1759" t="inlineStr"/>
      <c r="E1759" t="inlineStr">
        <is>
          <t>ER</t>
        </is>
      </c>
      <c r="F1759" t="inlineStr"/>
      <c r="G1759" s="42" t="inlineStr"/>
      <c r="H1759" s="125" t="n">
        <v>46166</v>
      </c>
      <c r="I1759" t="inlineStr"/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N1759" t="inlineStr"/>
      <c r="O1759" t="inlineStr">
        <is>
          <t>RLT1298</t>
        </is>
      </c>
      <c r="P1759" t="inlineStr"/>
      <c r="Q1759" s="112" t="n">
        <v>0</v>
      </c>
      <c r="R1759" s="112" t="n">
        <v>115.91</v>
      </c>
      <c r="S1759" s="112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D1760" t="inlineStr"/>
      <c r="E1760" t="inlineStr">
        <is>
          <t>ER</t>
        </is>
      </c>
      <c r="F1760" t="inlineStr"/>
      <c r="G1760" s="42" t="inlineStr"/>
      <c r="H1760" s="125" t="n">
        <v>46166</v>
      </c>
      <c r="I1760" t="inlineStr"/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N1760" t="inlineStr"/>
      <c r="O1760" t="inlineStr">
        <is>
          <t>RLT1298</t>
        </is>
      </c>
      <c r="P1760" t="inlineStr"/>
      <c r="Q1760" s="112" t="n">
        <v>0</v>
      </c>
      <c r="R1760" s="112" t="n">
        <v>115.91</v>
      </c>
      <c r="S1760" s="112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D1761" t="inlineStr"/>
      <c r="E1761" t="inlineStr">
        <is>
          <t>ER</t>
        </is>
      </c>
      <c r="F1761" t="inlineStr"/>
      <c r="G1761" s="42" t="inlineStr"/>
      <c r="H1761" s="125" t="n">
        <v>46166</v>
      </c>
      <c r="I1761" t="inlineStr"/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N1761" t="inlineStr"/>
      <c r="O1761" t="inlineStr">
        <is>
          <t>RLT1298</t>
        </is>
      </c>
      <c r="P1761" t="inlineStr"/>
      <c r="Q1761" s="112" t="n">
        <v>0</v>
      </c>
      <c r="R1761" s="112" t="n">
        <v>115.91</v>
      </c>
      <c r="S1761" s="112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D1762" t="inlineStr"/>
      <c r="E1762" t="inlineStr">
        <is>
          <t>ER</t>
        </is>
      </c>
      <c r="F1762" t="inlineStr"/>
      <c r="G1762" s="42" t="inlineStr"/>
      <c r="H1762" s="125" t="n">
        <v>46166</v>
      </c>
      <c r="I1762" t="inlineStr"/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N1762" t="inlineStr"/>
      <c r="O1762" t="inlineStr">
        <is>
          <t>RLT1298</t>
        </is>
      </c>
      <c r="P1762" t="inlineStr"/>
      <c r="Q1762" s="112" t="n">
        <v>0</v>
      </c>
      <c r="R1762" s="112" t="n">
        <v>115.91</v>
      </c>
      <c r="S1762" s="112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D1763" t="inlineStr"/>
      <c r="E1763" t="inlineStr">
        <is>
          <t>ER</t>
        </is>
      </c>
      <c r="F1763" t="inlineStr"/>
      <c r="G1763" s="42" t="inlineStr"/>
      <c r="H1763" s="125" t="n">
        <v>46166</v>
      </c>
      <c r="I1763" t="inlineStr"/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N1763" t="inlineStr"/>
      <c r="O1763" t="inlineStr">
        <is>
          <t>RLT1298</t>
        </is>
      </c>
      <c r="P1763" t="inlineStr"/>
      <c r="Q1763" s="112" t="n">
        <v>0</v>
      </c>
      <c r="R1763" s="112" t="n">
        <v>115.91</v>
      </c>
      <c r="S1763" s="112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D1764" t="inlineStr"/>
      <c r="E1764" t="inlineStr">
        <is>
          <t>LA</t>
        </is>
      </c>
      <c r="F1764" t="inlineStr"/>
      <c r="G1764" s="42" t="inlineStr"/>
      <c r="H1764" s="125" t="n">
        <v>46093</v>
      </c>
      <c r="I1764" t="inlineStr"/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N1764" t="inlineStr"/>
      <c r="O1764" t="inlineStr"/>
      <c r="P1764" t="inlineStr"/>
      <c r="Q1764" s="112" t="n">
        <v>0</v>
      </c>
      <c r="R1764" s="112" t="n">
        <v>645.04</v>
      </c>
      <c r="S1764" s="112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D1765" t="inlineStr"/>
      <c r="E1765" t="inlineStr">
        <is>
          <t>LA</t>
        </is>
      </c>
      <c r="F1765" t="inlineStr"/>
      <c r="G1765" s="42" t="inlineStr"/>
      <c r="H1765" s="125" t="n">
        <v>46093</v>
      </c>
      <c r="I1765" t="inlineStr"/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N1765" t="inlineStr"/>
      <c r="O1765" t="inlineStr"/>
      <c r="P1765" t="inlineStr"/>
      <c r="Q1765" s="112" t="n">
        <v>0</v>
      </c>
      <c r="R1765" s="112" t="n">
        <v>645.0599999999999</v>
      </c>
      <c r="S1765" s="112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D1766" t="inlineStr"/>
      <c r="E1766" t="inlineStr">
        <is>
          <t>LA</t>
        </is>
      </c>
      <c r="F1766" t="inlineStr"/>
      <c r="G1766" s="42" t="inlineStr"/>
      <c r="H1766" s="125" t="n">
        <v>46100</v>
      </c>
      <c r="I1766" t="inlineStr"/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N1766" t="inlineStr"/>
      <c r="O1766" t="inlineStr"/>
      <c r="P1766" t="inlineStr"/>
      <c r="Q1766" s="112" t="n">
        <v>0</v>
      </c>
      <c r="R1766" s="112" t="n">
        <v>629.58</v>
      </c>
      <c r="S1766" s="112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D1767" t="inlineStr"/>
      <c r="E1767" t="inlineStr">
        <is>
          <t>LA</t>
        </is>
      </c>
      <c r="F1767" t="inlineStr"/>
      <c r="G1767" s="42" t="inlineStr"/>
      <c r="H1767" s="125" t="n">
        <v>46128</v>
      </c>
      <c r="I1767" t="inlineStr"/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N1767" t="inlineStr"/>
      <c r="O1767" t="inlineStr"/>
      <c r="P1767" t="inlineStr"/>
      <c r="Q1767" s="112" t="n">
        <v>0</v>
      </c>
      <c r="R1767" s="112" t="n">
        <v>289.27</v>
      </c>
      <c r="S1767" s="112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D1768" t="inlineStr"/>
      <c r="E1768" t="inlineStr">
        <is>
          <t>LA</t>
        </is>
      </c>
      <c r="F1768" t="inlineStr"/>
      <c r="G1768" s="42" t="inlineStr"/>
      <c r="H1768" s="125" t="n">
        <v>46128</v>
      </c>
      <c r="I1768" t="inlineStr"/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N1768" t="inlineStr"/>
      <c r="O1768" t="inlineStr"/>
      <c r="P1768" t="inlineStr"/>
      <c r="Q1768" s="112" t="n">
        <v>0</v>
      </c>
      <c r="R1768" s="112" t="n">
        <v>289.27</v>
      </c>
      <c r="S1768" s="112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D1769" t="inlineStr"/>
      <c r="E1769" t="inlineStr">
        <is>
          <t>LA</t>
        </is>
      </c>
      <c r="F1769" t="inlineStr"/>
      <c r="G1769" s="42" t="inlineStr"/>
      <c r="H1769" s="125" t="n">
        <v>46149</v>
      </c>
      <c r="I1769" t="inlineStr"/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N1769" t="inlineStr"/>
      <c r="O1769" t="inlineStr"/>
      <c r="P1769" t="inlineStr"/>
      <c r="Q1769" s="112" t="n">
        <v>0</v>
      </c>
      <c r="R1769" s="112" t="n">
        <v>2623.41</v>
      </c>
      <c r="S1769" s="112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D1770" t="inlineStr"/>
      <c r="E1770" t="inlineStr">
        <is>
          <t>LA</t>
        </is>
      </c>
      <c r="F1770" t="inlineStr"/>
      <c r="G1770" s="42" t="inlineStr"/>
      <c r="H1770" s="125" t="n">
        <v>46149</v>
      </c>
      <c r="I1770" t="inlineStr"/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N1770" t="inlineStr"/>
      <c r="O1770" t="inlineStr"/>
      <c r="P1770" t="inlineStr"/>
      <c r="Q1770" s="112" t="n">
        <v>0</v>
      </c>
      <c r="R1770" s="112" t="n">
        <v>3461.46</v>
      </c>
      <c r="S1770" s="112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D1771" t="inlineStr"/>
      <c r="E1771" t="inlineStr">
        <is>
          <t>LA</t>
        </is>
      </c>
      <c r="F1771" t="inlineStr"/>
      <c r="G1771" s="42" t="inlineStr"/>
      <c r="H1771" s="125" t="n">
        <v>46142</v>
      </c>
      <c r="I1771" t="inlineStr"/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N1771" t="inlineStr"/>
      <c r="O1771" t="inlineStr"/>
      <c r="P1771" t="inlineStr"/>
      <c r="Q1771" s="112" t="n">
        <v>0</v>
      </c>
      <c r="R1771" s="112" t="n">
        <v>2244.94</v>
      </c>
      <c r="S1771" s="112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D1772" t="inlineStr"/>
      <c r="E1772" t="inlineStr">
        <is>
          <t>LA</t>
        </is>
      </c>
      <c r="F1772" t="inlineStr"/>
      <c r="G1772" s="42" t="inlineStr"/>
      <c r="H1772" s="125" t="n">
        <v>46142</v>
      </c>
      <c r="I1772" t="inlineStr"/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N1772" t="inlineStr"/>
      <c r="O1772" t="inlineStr"/>
      <c r="P1772" t="inlineStr"/>
      <c r="Q1772" s="112" t="n">
        <v>0</v>
      </c>
      <c r="R1772" s="112" t="n">
        <v>4564.14</v>
      </c>
      <c r="S1772" s="112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D1773" t="inlineStr"/>
      <c r="E1773" t="inlineStr">
        <is>
          <t>LA</t>
        </is>
      </c>
      <c r="F1773" t="inlineStr"/>
      <c r="G1773" s="42" t="inlineStr"/>
      <c r="H1773" s="125" t="n">
        <v>46142</v>
      </c>
      <c r="I1773" t="inlineStr"/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N1773" t="inlineStr"/>
      <c r="O1773" t="inlineStr"/>
      <c r="P1773" t="inlineStr"/>
      <c r="Q1773" s="112" t="n">
        <v>0</v>
      </c>
      <c r="R1773" s="112" t="n">
        <v>969.6799999999999</v>
      </c>
      <c r="S1773" s="112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D1774" t="inlineStr"/>
      <c r="E1774" t="inlineStr">
        <is>
          <t>LA</t>
        </is>
      </c>
      <c r="F1774" t="inlineStr"/>
      <c r="G1774" s="42" t="inlineStr"/>
      <c r="H1774" s="125" t="n">
        <v>46142</v>
      </c>
      <c r="I1774" t="inlineStr"/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N1774" t="inlineStr"/>
      <c r="O1774" t="inlineStr"/>
      <c r="P1774" t="inlineStr"/>
      <c r="Q1774" s="112" t="n">
        <v>0</v>
      </c>
      <c r="R1774" s="112" t="n">
        <v>969.6799999999999</v>
      </c>
      <c r="S1774" s="112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D1775" t="inlineStr"/>
      <c r="E1775" t="inlineStr">
        <is>
          <t>LA</t>
        </is>
      </c>
      <c r="F1775" t="inlineStr"/>
      <c r="G1775" s="42" t="inlineStr"/>
      <c r="H1775" s="125" t="n">
        <v>46142</v>
      </c>
      <c r="I1775" t="inlineStr"/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N1775" t="inlineStr"/>
      <c r="O1775" t="inlineStr"/>
      <c r="P1775" t="inlineStr"/>
      <c r="Q1775" s="112" t="n">
        <v>0</v>
      </c>
      <c r="R1775" s="112" t="n">
        <v>309.28</v>
      </c>
      <c r="S1775" s="112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D1776" t="inlineStr"/>
      <c r="E1776" t="inlineStr">
        <is>
          <t>LA</t>
        </is>
      </c>
      <c r="F1776" t="inlineStr"/>
      <c r="G1776" s="42" t="inlineStr"/>
      <c r="H1776" s="125" t="n">
        <v>46150</v>
      </c>
      <c r="I1776" t="inlineStr"/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N1776" t="inlineStr"/>
      <c r="O1776" t="inlineStr"/>
      <c r="P1776" t="inlineStr"/>
      <c r="Q1776" s="112" t="n">
        <v>0</v>
      </c>
      <c r="R1776" s="112" t="n">
        <v>10283.53</v>
      </c>
      <c r="S1776" s="112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D1777" t="inlineStr"/>
      <c r="E1777" t="inlineStr">
        <is>
          <t>LA</t>
        </is>
      </c>
      <c r="F1777" t="inlineStr"/>
      <c r="G1777" s="42" t="inlineStr"/>
      <c r="H1777" s="125" t="n">
        <v>46150</v>
      </c>
      <c r="I1777" t="inlineStr"/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N1777" t="inlineStr"/>
      <c r="O1777" t="inlineStr"/>
      <c r="P1777" t="inlineStr"/>
      <c r="Q1777" s="112" t="n">
        <v>0</v>
      </c>
      <c r="R1777" s="112" t="n">
        <v>20501.43</v>
      </c>
      <c r="S1777" s="112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D1778" t="inlineStr"/>
      <c r="E1778" t="inlineStr">
        <is>
          <t>LA</t>
        </is>
      </c>
      <c r="F1778" t="inlineStr"/>
      <c r="G1778" s="42" t="inlineStr"/>
      <c r="H1778" s="125" t="n">
        <v>46149</v>
      </c>
      <c r="I1778" t="inlineStr"/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N1778" t="inlineStr"/>
      <c r="O1778" t="inlineStr"/>
      <c r="P1778" t="inlineStr"/>
      <c r="Q1778" s="112" t="n">
        <v>0</v>
      </c>
      <c r="R1778" s="112" t="n">
        <v>776.27</v>
      </c>
      <c r="S1778" s="112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D1779" t="inlineStr"/>
      <c r="E1779" t="inlineStr">
        <is>
          <t>LA</t>
        </is>
      </c>
      <c r="F1779" t="inlineStr"/>
      <c r="G1779" s="42" t="inlineStr"/>
      <c r="H1779" s="125" t="n">
        <v>46149</v>
      </c>
      <c r="I1779" t="inlineStr"/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N1779" t="inlineStr"/>
      <c r="O1779" t="inlineStr"/>
      <c r="P1779" t="inlineStr"/>
      <c r="Q1779" s="112" t="n">
        <v>0</v>
      </c>
      <c r="R1779" s="112" t="n">
        <v>3340.08</v>
      </c>
      <c r="S1779" s="112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D1780" t="inlineStr"/>
      <c r="E1780" t="inlineStr">
        <is>
          <t>LA</t>
        </is>
      </c>
      <c r="F1780" t="inlineStr"/>
      <c r="G1780" s="42" t="inlineStr"/>
      <c r="H1780" s="125" t="n">
        <v>46149</v>
      </c>
      <c r="I1780" t="inlineStr"/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N1780" t="inlineStr"/>
      <c r="O1780" t="inlineStr"/>
      <c r="P1780" t="inlineStr"/>
      <c r="Q1780" s="112" t="n">
        <v>0</v>
      </c>
      <c r="R1780" s="112" t="n">
        <v>2295.09</v>
      </c>
      <c r="S1780" s="112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D1781" t="inlineStr"/>
      <c r="E1781" t="inlineStr">
        <is>
          <t>LA</t>
        </is>
      </c>
      <c r="F1781" t="inlineStr"/>
      <c r="G1781" s="42" t="inlineStr"/>
      <c r="H1781" s="125" t="n">
        <v>46149</v>
      </c>
      <c r="I1781" t="inlineStr"/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N1781" t="inlineStr"/>
      <c r="O1781" t="inlineStr"/>
      <c r="P1781" t="inlineStr"/>
      <c r="Q1781" s="112" t="n">
        <v>0</v>
      </c>
      <c r="R1781" s="112" t="n">
        <v>3604.43</v>
      </c>
      <c r="S1781" s="112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D1782" t="inlineStr"/>
      <c r="E1782" t="inlineStr">
        <is>
          <t>LA</t>
        </is>
      </c>
      <c r="F1782" t="inlineStr"/>
      <c r="G1782" s="42" t="inlineStr"/>
      <c r="H1782" s="125" t="n">
        <v>46149</v>
      </c>
      <c r="I1782" t="inlineStr"/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N1782" t="inlineStr"/>
      <c r="O1782" t="inlineStr"/>
      <c r="P1782" t="inlineStr"/>
      <c r="Q1782" s="112" t="n">
        <v>0</v>
      </c>
      <c r="R1782" s="112" t="n">
        <v>3971.83</v>
      </c>
      <c r="S1782" s="112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D1783" t="inlineStr"/>
      <c r="E1783" t="inlineStr">
        <is>
          <t>LA</t>
        </is>
      </c>
      <c r="F1783" t="inlineStr"/>
      <c r="G1783" s="42" t="inlineStr"/>
      <c r="H1783" s="125" t="n">
        <v>46156</v>
      </c>
      <c r="I1783" t="inlineStr"/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N1783" t="inlineStr"/>
      <c r="O1783" t="inlineStr"/>
      <c r="P1783" t="inlineStr"/>
      <c r="Q1783" s="112" t="n">
        <v>0</v>
      </c>
      <c r="R1783" s="112" t="n">
        <v>194.54</v>
      </c>
      <c r="S1783" s="112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D1784" t="inlineStr"/>
      <c r="E1784" t="inlineStr">
        <is>
          <t>LA</t>
        </is>
      </c>
      <c r="F1784" t="inlineStr"/>
      <c r="G1784" s="42" t="inlineStr"/>
      <c r="H1784" s="125" t="n">
        <v>46156</v>
      </c>
      <c r="I1784" t="inlineStr"/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N1784" t="inlineStr"/>
      <c r="O1784" t="inlineStr"/>
      <c r="P1784" t="inlineStr"/>
      <c r="Q1784" s="112" t="n">
        <v>0</v>
      </c>
      <c r="R1784" s="112" t="n">
        <v>1781.02</v>
      </c>
      <c r="S1784" s="112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D1785" t="inlineStr"/>
      <c r="E1785" t="inlineStr">
        <is>
          <t>LA</t>
        </is>
      </c>
      <c r="F1785" t="inlineStr"/>
      <c r="G1785" s="42" t="inlineStr"/>
      <c r="H1785" s="125" t="n">
        <v>46156</v>
      </c>
      <c r="I1785" t="inlineStr"/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N1785" t="inlineStr"/>
      <c r="O1785" t="inlineStr"/>
      <c r="P1785" t="inlineStr"/>
      <c r="Q1785" s="112" t="n">
        <v>0</v>
      </c>
      <c r="R1785" s="112" t="n">
        <v>1824.98</v>
      </c>
      <c r="S1785" s="112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D1786" t="inlineStr"/>
      <c r="E1786" t="inlineStr">
        <is>
          <t>LA</t>
        </is>
      </c>
      <c r="F1786" t="inlineStr"/>
      <c r="G1786" s="42" t="inlineStr"/>
      <c r="H1786" s="125" t="n">
        <v>46156</v>
      </c>
      <c r="I1786" t="inlineStr"/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N1786" t="inlineStr"/>
      <c r="O1786" t="inlineStr"/>
      <c r="P1786" t="inlineStr"/>
      <c r="Q1786" s="112" t="n">
        <v>0</v>
      </c>
      <c r="R1786" s="112" t="n">
        <v>2063.05</v>
      </c>
      <c r="S1786" s="112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D1787" t="inlineStr"/>
      <c r="E1787" t="inlineStr">
        <is>
          <t>LA</t>
        </is>
      </c>
      <c r="F1787" t="inlineStr"/>
      <c r="G1787" s="42" t="inlineStr"/>
      <c r="H1787" s="125" t="n">
        <v>46156</v>
      </c>
      <c r="I1787" t="inlineStr"/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N1787" t="inlineStr"/>
      <c r="O1787" t="inlineStr"/>
      <c r="P1787" t="inlineStr"/>
      <c r="Q1787" s="112" t="n">
        <v>0</v>
      </c>
      <c r="R1787" s="112" t="n">
        <v>943.6900000000001</v>
      </c>
      <c r="S1787" s="112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D1788" t="inlineStr"/>
      <c r="E1788" t="inlineStr">
        <is>
          <t>LA</t>
        </is>
      </c>
      <c r="F1788" t="inlineStr"/>
      <c r="G1788" s="42" t="inlineStr"/>
      <c r="H1788" s="125" t="n">
        <v>46156</v>
      </c>
      <c r="I1788" t="inlineStr"/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N1788" t="inlineStr"/>
      <c r="O1788" t="inlineStr"/>
      <c r="P1788" t="inlineStr"/>
      <c r="Q1788" s="112" t="n">
        <v>0</v>
      </c>
      <c r="R1788" s="112" t="n">
        <v>1063.43</v>
      </c>
      <c r="S1788" s="112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D1789" t="inlineStr"/>
      <c r="E1789" t="inlineStr">
        <is>
          <t>LA</t>
        </is>
      </c>
      <c r="F1789" t="inlineStr"/>
      <c r="G1789" s="42" t="inlineStr"/>
      <c r="H1789" s="125" t="n">
        <v>46156</v>
      </c>
      <c r="I1789" t="inlineStr"/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N1789" t="inlineStr"/>
      <c r="O1789" t="inlineStr"/>
      <c r="P1789" t="inlineStr"/>
      <c r="Q1789" s="112" t="n">
        <v>0</v>
      </c>
      <c r="R1789" s="112" t="n">
        <v>392.52</v>
      </c>
      <c r="S1789" s="112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D1790" t="inlineStr"/>
      <c r="E1790" t="inlineStr">
        <is>
          <t>LA</t>
        </is>
      </c>
      <c r="F1790" t="inlineStr"/>
      <c r="G1790" s="42" t="inlineStr"/>
      <c r="H1790" s="125" t="n">
        <v>46156</v>
      </c>
      <c r="I1790" t="inlineStr"/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N1790" t="inlineStr"/>
      <c r="O1790" t="inlineStr"/>
      <c r="P1790" t="inlineStr"/>
      <c r="Q1790" s="112" t="n">
        <v>0</v>
      </c>
      <c r="R1790" s="112" t="n">
        <v>178.79</v>
      </c>
      <c r="S1790" s="112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D1791" t="inlineStr"/>
      <c r="E1791" t="inlineStr">
        <is>
          <t>LA</t>
        </is>
      </c>
      <c r="F1791" t="inlineStr"/>
      <c r="G1791" s="42" t="inlineStr"/>
      <c r="H1791" s="125" t="n">
        <v>46163</v>
      </c>
      <c r="I1791" t="inlineStr"/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N1791" t="inlineStr"/>
      <c r="O1791" t="inlineStr"/>
      <c r="P1791" t="inlineStr"/>
      <c r="Q1791" s="112" t="n">
        <v>0</v>
      </c>
      <c r="R1791" s="112" t="n">
        <v>1885.95</v>
      </c>
      <c r="S1791" s="112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D1792" t="inlineStr"/>
      <c r="E1792" t="inlineStr">
        <is>
          <t>LA</t>
        </is>
      </c>
      <c r="F1792" t="inlineStr"/>
      <c r="G1792" s="42" t="inlineStr"/>
      <c r="H1792" s="125" t="n">
        <v>46163</v>
      </c>
      <c r="I1792" t="inlineStr"/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N1792" t="inlineStr"/>
      <c r="O1792" t="inlineStr"/>
      <c r="P1792" t="inlineStr"/>
      <c r="Q1792" s="112" t="n">
        <v>0</v>
      </c>
      <c r="R1792" s="112" t="n">
        <v>2401.16</v>
      </c>
      <c r="S1792" s="112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D1793" t="inlineStr"/>
      <c r="E1793" t="inlineStr">
        <is>
          <t>LA</t>
        </is>
      </c>
      <c r="F1793" t="inlineStr"/>
      <c r="G1793" s="42" t="inlineStr"/>
      <c r="H1793" s="125" t="n">
        <v>46163</v>
      </c>
      <c r="I1793" t="inlineStr"/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N1793" t="inlineStr"/>
      <c r="O1793" t="inlineStr"/>
      <c r="P1793" t="inlineStr"/>
      <c r="Q1793" s="112" t="n">
        <v>0</v>
      </c>
      <c r="R1793" s="112" t="n">
        <v>2033.83</v>
      </c>
      <c r="S1793" s="112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D1794" t="inlineStr"/>
      <c r="E1794" t="inlineStr">
        <is>
          <t>LA</t>
        </is>
      </c>
      <c r="F1794" t="inlineStr"/>
      <c r="G1794" s="42" t="inlineStr"/>
      <c r="H1794" s="125" t="n">
        <v>46163</v>
      </c>
      <c r="I1794" t="inlineStr"/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N1794" t="inlineStr"/>
      <c r="O1794" t="inlineStr"/>
      <c r="P1794" t="inlineStr"/>
      <c r="Q1794" s="112" t="n">
        <v>0</v>
      </c>
      <c r="R1794" s="112" t="n">
        <v>1980.92</v>
      </c>
      <c r="S1794" s="112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D1795" t="inlineStr"/>
      <c r="E1795" t="inlineStr">
        <is>
          <t>LA</t>
        </is>
      </c>
      <c r="F1795" t="inlineStr"/>
      <c r="G1795" s="42" t="inlineStr"/>
      <c r="H1795" s="125" t="n">
        <v>46163</v>
      </c>
      <c r="I1795" t="inlineStr"/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N1795" t="inlineStr"/>
      <c r="O1795" t="inlineStr"/>
      <c r="P1795" t="inlineStr"/>
      <c r="Q1795" s="112" t="n">
        <v>0</v>
      </c>
      <c r="R1795" s="112" t="n">
        <v>776.99</v>
      </c>
      <c r="S1795" s="112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25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12" t="n">
        <v>0</v>
      </c>
      <c r="R1796" s="112" t="n">
        <v>0</v>
      </c>
      <c r="S1796" s="112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25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12" t="n">
        <v>0</v>
      </c>
      <c r="R1797" s="112" t="n">
        <v>0</v>
      </c>
      <c r="S1797" s="112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25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12" t="n">
        <v>0</v>
      </c>
      <c r="R1798" s="112" t="n">
        <v>0</v>
      </c>
      <c r="S1798" s="112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25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12" t="n">
        <v>0</v>
      </c>
      <c r="R1799" s="112" t="n">
        <v>0</v>
      </c>
      <c r="S1799" s="112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25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12" t="n">
        <v>0</v>
      </c>
      <c r="R1800" s="112" t="n">
        <v>0</v>
      </c>
      <c r="S1800" s="112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25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12" t="n">
        <v>0</v>
      </c>
      <c r="R1801" s="112" t="n">
        <v>0</v>
      </c>
      <c r="S1801" s="112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25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12" t="n">
        <v>0</v>
      </c>
      <c r="R1802" s="112" t="n">
        <v>0</v>
      </c>
      <c r="S1802" s="112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25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12" t="n">
        <v>0</v>
      </c>
      <c r="R1803" s="112" t="n">
        <v>0</v>
      </c>
      <c r="S1803" s="112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25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12" t="n">
        <v>0</v>
      </c>
      <c r="R1804" s="112" t="n">
        <v>0</v>
      </c>
      <c r="S1804" s="112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25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12" t="n">
        <v>0</v>
      </c>
      <c r="R1805" s="112" t="n">
        <v>0</v>
      </c>
      <c r="S1805" s="112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25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12" t="n">
        <v>0</v>
      </c>
      <c r="R1806" s="112" t="n">
        <v>0</v>
      </c>
      <c r="S1806" s="112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25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12" t="n">
        <v>0</v>
      </c>
      <c r="R1807" s="112" t="n">
        <v>0</v>
      </c>
      <c r="S1807" s="112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25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12" t="n">
        <v>0</v>
      </c>
      <c r="R1808" s="112" t="n">
        <v>0</v>
      </c>
      <c r="S1808" s="112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25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12" t="n">
        <v>0</v>
      </c>
      <c r="R1809" s="112" t="n">
        <v>0</v>
      </c>
      <c r="S1809" s="112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25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12" t="n">
        <v>0</v>
      </c>
      <c r="R1810" s="112" t="n">
        <v>0</v>
      </c>
      <c r="S1810" s="112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25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12" t="n">
        <v>0</v>
      </c>
      <c r="R1811" s="112" t="n">
        <v>0</v>
      </c>
      <c r="S1811" s="112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25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12" t="n">
        <v>0</v>
      </c>
      <c r="R1812" s="112" t="n">
        <v>0</v>
      </c>
      <c r="S1812" s="112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25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12" t="n">
        <v>0</v>
      </c>
      <c r="R1813" s="112" t="n">
        <v>0</v>
      </c>
      <c r="S1813" s="112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25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12" t="n">
        <v>0</v>
      </c>
      <c r="R1814" s="112" t="n">
        <v>0</v>
      </c>
      <c r="S1814" s="112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25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12" t="n">
        <v>0</v>
      </c>
      <c r="R1815" s="112" t="n">
        <v>0</v>
      </c>
      <c r="S1815" s="112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25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12" t="n">
        <v>0</v>
      </c>
      <c r="R1816" s="112" t="n">
        <v>0</v>
      </c>
      <c r="S1816" s="112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25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12" t="n">
        <v>0</v>
      </c>
      <c r="R1817" s="112" t="n">
        <v>0</v>
      </c>
      <c r="S1817" s="112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25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12" t="n">
        <v>0</v>
      </c>
      <c r="R1818" s="112" t="n">
        <v>0</v>
      </c>
      <c r="S1818" s="112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25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12" t="n">
        <v>0</v>
      </c>
      <c r="R1819" s="112" t="n">
        <v>0</v>
      </c>
      <c r="S1819" s="112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25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12" t="n">
        <v>0</v>
      </c>
      <c r="R1820" s="112" t="n">
        <v>0</v>
      </c>
      <c r="S1820" s="112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25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12" t="n">
        <v>0</v>
      </c>
      <c r="R1821" s="112" t="n">
        <v>0</v>
      </c>
      <c r="S1821" s="112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25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12" t="n">
        <v>0</v>
      </c>
      <c r="R1822" s="112" t="n">
        <v>0</v>
      </c>
      <c r="S1822" s="112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25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12" t="n">
        <v>0</v>
      </c>
      <c r="R1823" s="112" t="n">
        <v>0</v>
      </c>
      <c r="S1823" s="112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25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12" t="n">
        <v>0</v>
      </c>
      <c r="R1824" s="112" t="n">
        <v>0</v>
      </c>
      <c r="S1824" s="112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25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12" t="n">
        <v>0</v>
      </c>
      <c r="R1825" s="112" t="n">
        <v>0</v>
      </c>
      <c r="S1825" s="112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25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12" t="n">
        <v>0</v>
      </c>
      <c r="R1826" s="112" t="n">
        <v>0</v>
      </c>
      <c r="S1826" s="112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25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12" t="n">
        <v>0</v>
      </c>
      <c r="R1827" s="112" t="n">
        <v>0</v>
      </c>
      <c r="S1827" s="112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25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12" t="n">
        <v>0</v>
      </c>
      <c r="R1828" s="112" t="n">
        <v>0</v>
      </c>
      <c r="S1828" s="112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25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12" t="n">
        <v>0</v>
      </c>
      <c r="R1829" s="112" t="n">
        <v>0</v>
      </c>
      <c r="S1829" s="112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25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12" t="n">
        <v>0</v>
      </c>
      <c r="R1830" s="112" t="n">
        <v>0</v>
      </c>
      <c r="S1830" s="112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25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12" t="n">
        <v>0</v>
      </c>
      <c r="R1831" s="112" t="n">
        <v>0</v>
      </c>
      <c r="S1831" s="112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25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12" t="n">
        <v>0</v>
      </c>
      <c r="R1832" s="112" t="n">
        <v>0</v>
      </c>
      <c r="S1832" s="112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25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12" t="n">
        <v>0</v>
      </c>
      <c r="R1833" s="112" t="n">
        <v>0</v>
      </c>
      <c r="S1833" s="112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25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12" t="n">
        <v>0</v>
      </c>
      <c r="R1834" s="112" t="n">
        <v>0</v>
      </c>
      <c r="S1834" s="112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25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12" t="n">
        <v>0</v>
      </c>
      <c r="R1835" s="112" t="n">
        <v>0</v>
      </c>
      <c r="S1835" s="112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25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12" t="n">
        <v>0</v>
      </c>
      <c r="R1836" s="112" t="n">
        <v>0</v>
      </c>
      <c r="S1836" s="112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25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12" t="n">
        <v>0</v>
      </c>
      <c r="R1837" s="112" t="n">
        <v>0</v>
      </c>
      <c r="S1837" s="112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25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12" t="n">
        <v>0</v>
      </c>
      <c r="R1838" s="112" t="n">
        <v>0</v>
      </c>
      <c r="S1838" s="112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25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12" t="n">
        <v>0</v>
      </c>
      <c r="R1839" s="112" t="n">
        <v>0</v>
      </c>
      <c r="S1839" s="112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25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12" t="n">
        <v>0</v>
      </c>
      <c r="R1840" s="112" t="n">
        <v>0</v>
      </c>
      <c r="S1840" s="112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25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12" t="n">
        <v>0</v>
      </c>
      <c r="R1841" s="112" t="n">
        <v>0</v>
      </c>
      <c r="S1841" s="112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25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12" t="n">
        <v>0</v>
      </c>
      <c r="R1842" s="112" t="n">
        <v>0</v>
      </c>
      <c r="S1842" s="112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25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12" t="n">
        <v>0</v>
      </c>
      <c r="R1843" s="112" t="n">
        <v>0</v>
      </c>
      <c r="S1843" s="112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25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12" t="n">
        <v>0</v>
      </c>
      <c r="R1844" s="112" t="n">
        <v>0</v>
      </c>
      <c r="S1844" s="112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25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12" t="n">
        <v>0</v>
      </c>
      <c r="R1845" s="112" t="n">
        <v>0</v>
      </c>
      <c r="S1845" s="112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25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12" t="n">
        <v>0</v>
      </c>
      <c r="R1846" s="112" t="n">
        <v>0</v>
      </c>
      <c r="S1846" s="112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25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12" t="n">
        <v>0</v>
      </c>
      <c r="R1847" s="112" t="n">
        <v>0</v>
      </c>
      <c r="S1847" s="112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25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12" t="n">
        <v>0</v>
      </c>
      <c r="R1848" s="112" t="n">
        <v>0</v>
      </c>
      <c r="S1848" s="112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25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12" t="n">
        <v>0</v>
      </c>
      <c r="R1849" s="112" t="n">
        <v>0</v>
      </c>
      <c r="S1849" s="112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25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12" t="n">
        <v>0</v>
      </c>
      <c r="R1850" s="112" t="n">
        <v>0</v>
      </c>
      <c r="S1850" s="112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25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12" t="n">
        <v>0</v>
      </c>
      <c r="R1851" s="112" t="n">
        <v>0</v>
      </c>
      <c r="S1851" s="112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25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12" t="n">
        <v>0</v>
      </c>
      <c r="R1852" s="112" t="n">
        <v>0</v>
      </c>
      <c r="S1852" s="112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25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12" t="n">
        <v>0</v>
      </c>
      <c r="R1853" s="112" t="n">
        <v>0</v>
      </c>
      <c r="S1853" s="112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25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12" t="n">
        <v>0</v>
      </c>
      <c r="R1854" s="112" t="n">
        <v>0</v>
      </c>
      <c r="S1854" s="112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25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12" t="n">
        <v>0</v>
      </c>
      <c r="R1855" s="112" t="n">
        <v>0</v>
      </c>
      <c r="S1855" s="112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25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12" t="n">
        <v>0</v>
      </c>
      <c r="R1856" s="112" t="n">
        <v>0</v>
      </c>
      <c r="S1856" s="112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25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12" t="n">
        <v>0</v>
      </c>
      <c r="R1857" s="112" t="n">
        <v>0</v>
      </c>
      <c r="S1857" s="112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25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12" t="n">
        <v>0</v>
      </c>
      <c r="R1858" s="112" t="n">
        <v>0</v>
      </c>
      <c r="S1858" s="112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25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12" t="n">
        <v>0</v>
      </c>
      <c r="R1859" s="112" t="n">
        <v>0</v>
      </c>
      <c r="S1859" s="112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25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12" t="n">
        <v>0</v>
      </c>
      <c r="R1860" s="112" t="n">
        <v>0</v>
      </c>
      <c r="S1860" s="112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25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12" t="n">
        <v>0</v>
      </c>
      <c r="R1861" s="112" t="n">
        <v>0</v>
      </c>
      <c r="S1861" s="112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25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12" t="n">
        <v>0</v>
      </c>
      <c r="R1862" s="112" t="n">
        <v>0</v>
      </c>
      <c r="S1862" s="112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25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12" t="n">
        <v>0</v>
      </c>
      <c r="R1863" s="112" t="n">
        <v>0</v>
      </c>
      <c r="S1863" s="112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25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12" t="n">
        <v>0</v>
      </c>
      <c r="R1864" s="112" t="n">
        <v>0</v>
      </c>
      <c r="S1864" s="112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25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12" t="n">
        <v>0</v>
      </c>
      <c r="R1865" s="112" t="n">
        <v>0</v>
      </c>
      <c r="S1865" s="112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25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12" t="n">
        <v>0</v>
      </c>
      <c r="R1866" s="112" t="n">
        <v>0</v>
      </c>
      <c r="S1866" s="112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25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12" t="n">
        <v>0</v>
      </c>
      <c r="R1867" s="112" t="n">
        <v>0</v>
      </c>
      <c r="S1867" s="112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25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12" t="n">
        <v>0</v>
      </c>
      <c r="R1868" s="112" t="n">
        <v>0</v>
      </c>
      <c r="S1868" s="112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D1869" t="inlineStr"/>
      <c r="E1869" t="inlineStr">
        <is>
          <t>OC</t>
        </is>
      </c>
      <c r="F1869" t="inlineStr"/>
      <c r="G1869" s="42" t="inlineStr"/>
      <c r="H1869" s="125" t="n">
        <v>46121</v>
      </c>
      <c r="I1869" t="inlineStr"/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N1869" t="inlineStr"/>
      <c r="O1869" t="inlineStr">
        <is>
          <t>18517</t>
        </is>
      </c>
      <c r="P1869" t="inlineStr">
        <is>
          <t>CENTURY SANITATION, LLC</t>
        </is>
      </c>
      <c r="Q1869" s="112" t="n">
        <v>0</v>
      </c>
      <c r="R1869" s="112" t="n">
        <v>979.6799999999999</v>
      </c>
      <c r="S1869" s="112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D1870" t="inlineStr"/>
      <c r="E1870" t="inlineStr">
        <is>
          <t>OC</t>
        </is>
      </c>
      <c r="F1870" t="inlineStr"/>
      <c r="G1870" t="inlineStr"/>
      <c r="H1870" s="125" t="n">
        <v>46160</v>
      </c>
      <c r="I1870" t="inlineStr"/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N1870" t="inlineStr"/>
      <c r="O1870" t="inlineStr">
        <is>
          <t>11293</t>
        </is>
      </c>
      <c r="P1870" t="inlineStr">
        <is>
          <t>CENTERPOINT ENERGY</t>
        </is>
      </c>
      <c r="Q1870" s="112" t="n">
        <v>0</v>
      </c>
      <c r="R1870" s="112" t="n">
        <v>2004</v>
      </c>
      <c r="S1870" s="112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D1871" t="inlineStr"/>
      <c r="E1871" t="inlineStr">
        <is>
          <t>OC</t>
        </is>
      </c>
      <c r="F1871" t="inlineStr"/>
      <c r="G1871" t="inlineStr"/>
      <c r="H1871" s="125" t="n">
        <v>46162</v>
      </c>
      <c r="I1871" t="inlineStr"/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N1871" t="inlineStr"/>
      <c r="O1871" t="inlineStr">
        <is>
          <t>13196</t>
        </is>
      </c>
      <c r="P1871" t="inlineStr">
        <is>
          <t>SATELLITE SHELTERS</t>
        </is>
      </c>
      <c r="Q1871" s="112" t="n">
        <v>0</v>
      </c>
      <c r="R1871" s="112" t="n">
        <v>984.8200000000001</v>
      </c>
      <c r="S1871" s="112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D1872" t="inlineStr"/>
      <c r="E1872" t="inlineStr">
        <is>
          <t>OC</t>
        </is>
      </c>
      <c r="F1872" t="inlineStr"/>
      <c r="G1872" t="inlineStr"/>
      <c r="H1872" s="125" t="n">
        <v>46162</v>
      </c>
      <c r="I1872" t="inlineStr"/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N1872" t="inlineStr"/>
      <c r="O1872" t="inlineStr">
        <is>
          <t>13196</t>
        </is>
      </c>
      <c r="P1872" t="inlineStr">
        <is>
          <t>SATELLITE SHELTERS</t>
        </is>
      </c>
      <c r="Q1872" s="112" t="n">
        <v>0</v>
      </c>
      <c r="R1872" s="112" t="n">
        <v>27305.24</v>
      </c>
      <c r="S1872" s="112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D1873" t="inlineStr"/>
      <c r="E1873" t="inlineStr">
        <is>
          <t>OC</t>
        </is>
      </c>
      <c r="F1873" t="inlineStr"/>
      <c r="G1873" t="inlineStr"/>
      <c r="H1873" s="125" t="n">
        <v>46162</v>
      </c>
      <c r="I1873" t="inlineStr"/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N1873" t="inlineStr"/>
      <c r="O1873" t="inlineStr">
        <is>
          <t>18517</t>
        </is>
      </c>
      <c r="P1873" t="inlineStr">
        <is>
          <t>CENTURY SANITATION, LLC</t>
        </is>
      </c>
      <c r="Q1873" s="112" t="n">
        <v>0</v>
      </c>
      <c r="R1873" s="112" t="n">
        <v>4146.68</v>
      </c>
      <c r="S1873" s="112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D1874" t="inlineStr"/>
      <c r="E1874" t="inlineStr">
        <is>
          <t>LA</t>
        </is>
      </c>
      <c r="F1874" t="inlineStr"/>
      <c r="G1874" t="inlineStr"/>
      <c r="H1874" s="125" t="n">
        <v>46107</v>
      </c>
      <c r="I1874" t="inlineStr"/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N1874" t="inlineStr"/>
      <c r="O1874" t="inlineStr"/>
      <c r="P1874" t="inlineStr"/>
      <c r="Q1874" s="112" t="n">
        <v>0</v>
      </c>
      <c r="R1874" s="112" t="n">
        <v>889.84</v>
      </c>
      <c r="S1874" s="112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D1875" t="inlineStr"/>
      <c r="E1875" t="inlineStr">
        <is>
          <t>LA</t>
        </is>
      </c>
      <c r="F1875" t="inlineStr"/>
      <c r="G1875" t="inlineStr"/>
      <c r="H1875" s="125" t="n">
        <v>46150</v>
      </c>
      <c r="I1875" t="inlineStr"/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N1875" t="inlineStr"/>
      <c r="O1875" t="inlineStr"/>
      <c r="P1875" t="inlineStr"/>
      <c r="Q1875" s="112" t="n">
        <v>0</v>
      </c>
      <c r="R1875" s="112" t="n">
        <v>-889.84</v>
      </c>
      <c r="S1875" s="112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D1876" t="inlineStr"/>
      <c r="E1876" t="inlineStr">
        <is>
          <t>LA</t>
        </is>
      </c>
      <c r="F1876" t="inlineStr"/>
      <c r="G1876" t="inlineStr"/>
      <c r="H1876" s="125" t="n">
        <v>46149</v>
      </c>
      <c r="I1876" t="inlineStr"/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N1876" t="inlineStr"/>
      <c r="O1876" t="inlineStr"/>
      <c r="P1876" t="inlineStr"/>
      <c r="Q1876" s="112" t="n">
        <v>0</v>
      </c>
      <c r="R1876" s="112" t="n">
        <v>197</v>
      </c>
      <c r="S1876" s="112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D1877" t="inlineStr"/>
      <c r="E1877" t="inlineStr">
        <is>
          <t>LA</t>
        </is>
      </c>
      <c r="F1877" t="inlineStr"/>
      <c r="G1877" t="inlineStr"/>
      <c r="H1877" s="125" t="n">
        <v>46149</v>
      </c>
      <c r="I1877" t="inlineStr"/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N1877" t="inlineStr"/>
      <c r="O1877" t="inlineStr"/>
      <c r="P1877" t="inlineStr"/>
      <c r="Q1877" s="112" t="n">
        <v>0</v>
      </c>
      <c r="R1877" s="112" t="n">
        <v>397.47</v>
      </c>
      <c r="S1877" s="112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25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12" t="n">
        <v>0</v>
      </c>
      <c r="R1878" s="112" t="n">
        <v>0</v>
      </c>
      <c r="S1878" s="112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25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12" t="n">
        <v>0</v>
      </c>
      <c r="R1879" s="112" t="n">
        <v>0</v>
      </c>
      <c r="S1879" s="112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25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12" t="n">
        <v>0</v>
      </c>
      <c r="R1880" s="112" t="n">
        <v>0</v>
      </c>
      <c r="S1880" s="112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25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12" t="n">
        <v>0</v>
      </c>
      <c r="R1881" s="112" t="n">
        <v>0</v>
      </c>
      <c r="S1881" s="112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25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12" t="n">
        <v>0</v>
      </c>
      <c r="R1882" s="112" t="n">
        <v>0</v>
      </c>
      <c r="S1882" s="112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25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12" t="n">
        <v>0</v>
      </c>
      <c r="R1883" s="112" t="n">
        <v>0</v>
      </c>
      <c r="S1883" s="112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25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12" t="n">
        <v>0</v>
      </c>
      <c r="R1884" s="112" t="n">
        <v>0</v>
      </c>
      <c r="S1884" s="112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25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12" t="n">
        <v>0</v>
      </c>
      <c r="R1885" s="112" t="n">
        <v>0</v>
      </c>
      <c r="S1885" s="112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25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12" t="n">
        <v>0</v>
      </c>
      <c r="R1886" s="112" t="n">
        <v>0</v>
      </c>
      <c r="S1886" s="112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25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12" t="n">
        <v>0</v>
      </c>
      <c r="R1887" s="112" t="n">
        <v>0</v>
      </c>
      <c r="S1887" s="112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25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12" t="n">
        <v>0</v>
      </c>
      <c r="R1888" s="112" t="n">
        <v>0</v>
      </c>
      <c r="S1888" s="112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25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12" t="n">
        <v>0</v>
      </c>
      <c r="R1889" s="112" t="n">
        <v>0</v>
      </c>
      <c r="S1889" s="112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25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12" t="n">
        <v>0</v>
      </c>
      <c r="R1890" s="112" t="n">
        <v>0</v>
      </c>
      <c r="S1890" s="112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25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12" t="n">
        <v>0</v>
      </c>
      <c r="R1891" s="112" t="n">
        <v>0</v>
      </c>
      <c r="S1891" s="112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25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12" t="n">
        <v>0</v>
      </c>
      <c r="R1892" s="112" t="n">
        <v>0</v>
      </c>
      <c r="S1892" s="112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25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12" t="n">
        <v>0</v>
      </c>
      <c r="R1893" s="112" t="n">
        <v>0</v>
      </c>
      <c r="S1893" s="112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25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12" t="n">
        <v>0</v>
      </c>
      <c r="R1894" s="112" t="n">
        <v>0</v>
      </c>
      <c r="S1894" s="112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25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12" t="n">
        <v>0</v>
      </c>
      <c r="R1895" s="112" t="n">
        <v>0</v>
      </c>
      <c r="S1895" s="112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25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12" t="n">
        <v>0</v>
      </c>
      <c r="R1896" s="112" t="n">
        <v>0</v>
      </c>
      <c r="S1896" s="112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25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12" t="n">
        <v>0</v>
      </c>
      <c r="R1897" s="112" t="n">
        <v>0</v>
      </c>
      <c r="S1897" s="112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25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12" t="n">
        <v>0</v>
      </c>
      <c r="R1898" s="112" t="n">
        <v>0</v>
      </c>
      <c r="S1898" s="112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25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12" t="n">
        <v>0</v>
      </c>
      <c r="R1899" s="112" t="n">
        <v>0</v>
      </c>
      <c r="S1899" s="112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25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12" t="n">
        <v>0</v>
      </c>
      <c r="R1900" s="112" t="n">
        <v>0</v>
      </c>
      <c r="S1900" s="112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25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12" t="n">
        <v>0</v>
      </c>
      <c r="R1901" s="112" t="n">
        <v>0</v>
      </c>
      <c r="S1901" s="112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25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12" t="n">
        <v>0</v>
      </c>
      <c r="R1902" s="112" t="n">
        <v>0</v>
      </c>
      <c r="S1902" s="112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25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12" t="n">
        <v>0</v>
      </c>
      <c r="R1903" s="112" t="n">
        <v>0</v>
      </c>
      <c r="S1903" s="112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25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12" t="n">
        <v>0</v>
      </c>
      <c r="R1904" s="112" t="n">
        <v>0</v>
      </c>
      <c r="S1904" s="112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25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12" t="n">
        <v>0</v>
      </c>
      <c r="R1905" s="112" t="n">
        <v>0</v>
      </c>
      <c r="S1905" s="112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25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12" t="n">
        <v>0</v>
      </c>
      <c r="R1906" s="112" t="n">
        <v>0</v>
      </c>
      <c r="S1906" s="112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25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12" t="n">
        <v>0</v>
      </c>
      <c r="R1907" s="112" t="n">
        <v>0</v>
      </c>
      <c r="S1907" s="112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25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12" t="n">
        <v>0</v>
      </c>
      <c r="R1908" s="112" t="n">
        <v>0</v>
      </c>
      <c r="S1908" s="112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25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12" t="n">
        <v>0</v>
      </c>
      <c r="R1909" s="112" t="n">
        <v>0</v>
      </c>
      <c r="S1909" s="112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25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12" t="n">
        <v>0</v>
      </c>
      <c r="R1910" s="112" t="n">
        <v>0</v>
      </c>
      <c r="S1910" s="112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25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12" t="n">
        <v>0</v>
      </c>
      <c r="R1911" s="112" t="n">
        <v>0</v>
      </c>
      <c r="S1911" s="112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25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12" t="n">
        <v>0</v>
      </c>
      <c r="R1912" s="112" t="n">
        <v>0</v>
      </c>
      <c r="S1912" s="112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25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12" t="n">
        <v>0</v>
      </c>
      <c r="R1913" s="112" t="n">
        <v>0</v>
      </c>
      <c r="S1913" s="112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25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12" t="n">
        <v>0</v>
      </c>
      <c r="R1914" s="112" t="n">
        <v>0</v>
      </c>
      <c r="S1914" s="112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25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12" t="n">
        <v>0</v>
      </c>
      <c r="R1915" s="112" t="n">
        <v>0</v>
      </c>
      <c r="S1915" s="112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25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12" t="n">
        <v>0</v>
      </c>
      <c r="R1916" s="112" t="n">
        <v>0</v>
      </c>
      <c r="S1916" s="112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25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12" t="n">
        <v>0</v>
      </c>
      <c r="R1917" s="112" t="n">
        <v>0</v>
      </c>
      <c r="S1917" s="112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25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12" t="n">
        <v>0</v>
      </c>
      <c r="R1918" s="112" t="n">
        <v>0</v>
      </c>
      <c r="S1918" s="112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25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12" t="n">
        <v>0</v>
      </c>
      <c r="R1919" s="112" t="n">
        <v>0</v>
      </c>
      <c r="S1919" s="112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25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12" t="n">
        <v>0</v>
      </c>
      <c r="R1920" s="112" t="n">
        <v>0</v>
      </c>
      <c r="S1920" s="112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25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12" t="n">
        <v>0</v>
      </c>
      <c r="R1921" s="112" t="n">
        <v>0</v>
      </c>
      <c r="S1921" s="112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25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12" t="n">
        <v>0</v>
      </c>
      <c r="R1922" s="112" t="n">
        <v>0</v>
      </c>
      <c r="S1922" s="112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25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12" t="n">
        <v>0</v>
      </c>
      <c r="R1923" s="112" t="n">
        <v>0</v>
      </c>
      <c r="S1923" s="112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25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12" t="n">
        <v>0</v>
      </c>
      <c r="R1924" s="112" t="n">
        <v>0</v>
      </c>
      <c r="S1924" s="112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25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12" t="n">
        <v>684.3200000000001</v>
      </c>
      <c r="R1925" s="112" t="n">
        <v>0</v>
      </c>
      <c r="S1925" s="112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25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12" t="n">
        <v>166.5</v>
      </c>
      <c r="R1926" s="112" t="n">
        <v>0</v>
      </c>
      <c r="S1926" s="112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25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12" t="n">
        <v>166.5</v>
      </c>
      <c r="R1927" s="112" t="n">
        <v>0</v>
      </c>
      <c r="S1927" s="112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25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12" t="n">
        <v>684.3200000000001</v>
      </c>
      <c r="R1928" s="112" t="n">
        <v>0</v>
      </c>
      <c r="S1928" s="112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25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12" t="n">
        <v>684.3200000000001</v>
      </c>
      <c r="R1929" s="112" t="n">
        <v>0</v>
      </c>
      <c r="S1929" s="112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25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12" t="n">
        <v>-684.3200000000001</v>
      </c>
      <c r="R1930" s="112" t="n">
        <v>0</v>
      </c>
      <c r="S1930" s="112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25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12" t="n">
        <v>-166.5</v>
      </c>
      <c r="R1931" s="112" t="n">
        <v>0</v>
      </c>
      <c r="S1931" s="112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25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12" t="n">
        <v>-684.3200000000001</v>
      </c>
      <c r="R1932" s="112" t="n">
        <v>0</v>
      </c>
      <c r="S1932" s="112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25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12" t="n">
        <v>-166.5</v>
      </c>
      <c r="R1933" s="112" t="n">
        <v>0</v>
      </c>
      <c r="S1933" s="112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25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12" t="n">
        <v>-684.3200000000001</v>
      </c>
      <c r="R1934" s="112" t="n">
        <v>0</v>
      </c>
      <c r="S1934" s="112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25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12" t="n">
        <v>0</v>
      </c>
      <c r="R1935" s="112" t="n">
        <v>0</v>
      </c>
      <c r="S1935" s="112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25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12" t="n">
        <v>0</v>
      </c>
      <c r="R1936" s="112" t="n">
        <v>0</v>
      </c>
      <c r="S1936" s="112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25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12" t="n">
        <v>0</v>
      </c>
      <c r="R1937" s="112" t="n">
        <v>0</v>
      </c>
      <c r="S1937" s="112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25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12" t="n">
        <v>0</v>
      </c>
      <c r="R1938" s="112" t="n">
        <v>0</v>
      </c>
      <c r="S1938" s="112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25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12" t="n">
        <v>0</v>
      </c>
      <c r="R1939" s="112" t="n">
        <v>0</v>
      </c>
      <c r="S1939" s="112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25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12" t="n">
        <v>0</v>
      </c>
      <c r="R1940" s="112" t="n">
        <v>0</v>
      </c>
      <c r="S1940" s="112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25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12" t="n">
        <v>0</v>
      </c>
      <c r="R1941" s="112" t="n">
        <v>0</v>
      </c>
      <c r="S1941" s="112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25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12" t="n">
        <v>0</v>
      </c>
      <c r="R1942" s="112" t="n">
        <v>0</v>
      </c>
      <c r="S1942" s="112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25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12" t="n">
        <v>0</v>
      </c>
      <c r="R1943" s="112" t="n">
        <v>0</v>
      </c>
      <c r="S1943" s="112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25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12" t="n">
        <v>0</v>
      </c>
      <c r="R1944" s="112" t="n">
        <v>0</v>
      </c>
      <c r="S1944" s="112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25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12" t="n">
        <v>0</v>
      </c>
      <c r="R1945" s="112" t="n">
        <v>0</v>
      </c>
      <c r="S1945" s="112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25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12" t="n">
        <v>0</v>
      </c>
      <c r="R1946" s="112" t="n">
        <v>0</v>
      </c>
      <c r="S1946" s="112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25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12" t="n">
        <v>0</v>
      </c>
      <c r="R1947" s="112" t="n">
        <v>0</v>
      </c>
      <c r="S1947" s="112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25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12" t="n">
        <v>0</v>
      </c>
      <c r="R1948" s="112" t="n">
        <v>0</v>
      </c>
      <c r="S1948" s="112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25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12" t="n">
        <v>0</v>
      </c>
      <c r="R1949" s="112" t="n">
        <v>0</v>
      </c>
      <c r="S1949" s="112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25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12" t="n">
        <v>0</v>
      </c>
      <c r="R1950" s="112" t="n">
        <v>0</v>
      </c>
      <c r="S1950" s="112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25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12" t="n">
        <v>0</v>
      </c>
      <c r="R1951" s="112" t="n">
        <v>0</v>
      </c>
      <c r="S1951" s="112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25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12" t="n">
        <v>0</v>
      </c>
      <c r="R1952" s="112" t="n">
        <v>0</v>
      </c>
      <c r="S1952" s="112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25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12" t="n">
        <v>0</v>
      </c>
      <c r="R1953" s="112" t="n">
        <v>0</v>
      </c>
      <c r="S1953" s="112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25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12" t="n">
        <v>0</v>
      </c>
      <c r="R1954" s="112" t="n">
        <v>0</v>
      </c>
      <c r="S1954" s="112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25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12" t="n">
        <v>0</v>
      </c>
      <c r="R1955" s="112" t="n">
        <v>0</v>
      </c>
      <c r="S1955" s="112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25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12" t="n">
        <v>0</v>
      </c>
      <c r="R1956" s="112" t="n">
        <v>0</v>
      </c>
      <c r="S1956" s="112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25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12" t="n">
        <v>0</v>
      </c>
      <c r="R1957" s="112" t="n">
        <v>0</v>
      </c>
      <c r="S1957" s="112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25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12" t="n">
        <v>0</v>
      </c>
      <c r="R1958" s="112" t="n">
        <v>0</v>
      </c>
      <c r="S1958" s="112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25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12" t="n">
        <v>0</v>
      </c>
      <c r="R1959" s="112" t="n">
        <v>0</v>
      </c>
      <c r="S1959" s="112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25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12" t="n">
        <v>0</v>
      </c>
      <c r="R1960" s="112" t="n">
        <v>0</v>
      </c>
      <c r="S1960" s="112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25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12" t="n">
        <v>0</v>
      </c>
      <c r="R1961" s="112" t="n">
        <v>0</v>
      </c>
      <c r="S1961" s="112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25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12" t="n">
        <v>0</v>
      </c>
      <c r="R1962" s="112" t="n">
        <v>0</v>
      </c>
      <c r="S1962" s="112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25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12" t="n">
        <v>0</v>
      </c>
      <c r="R1963" s="112" t="n">
        <v>0</v>
      </c>
      <c r="S1963" s="112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25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12" t="n">
        <v>0</v>
      </c>
      <c r="R1964" s="112" t="n">
        <v>0</v>
      </c>
      <c r="S1964" s="112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25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12" t="n">
        <v>0</v>
      </c>
      <c r="R1965" s="112" t="n">
        <v>0</v>
      </c>
      <c r="S1965" s="112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25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12" t="n">
        <v>0</v>
      </c>
      <c r="R1966" s="112" t="n">
        <v>0</v>
      </c>
      <c r="S1966" s="112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25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12" t="n">
        <v>0</v>
      </c>
      <c r="R1967" s="112" t="n">
        <v>0</v>
      </c>
      <c r="S1967" s="112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25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12" t="n">
        <v>0</v>
      </c>
      <c r="R1968" s="112" t="n">
        <v>0</v>
      </c>
      <c r="S1968" s="112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25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12" t="n">
        <v>0</v>
      </c>
      <c r="R1969" s="112" t="n">
        <v>0</v>
      </c>
      <c r="S1969" s="112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25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12" t="n">
        <v>0</v>
      </c>
      <c r="R1970" s="112" t="n">
        <v>0</v>
      </c>
      <c r="S1970" s="112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25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12" t="n">
        <v>0</v>
      </c>
      <c r="R1971" s="112" t="n">
        <v>0</v>
      </c>
      <c r="S1971" s="112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25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12" t="n">
        <v>0</v>
      </c>
      <c r="R1972" s="112" t="n">
        <v>0</v>
      </c>
      <c r="S1972" s="112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25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12" t="n">
        <v>0</v>
      </c>
      <c r="R1973" s="112" t="n">
        <v>0</v>
      </c>
      <c r="S1973" s="112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25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12" t="n">
        <v>0</v>
      </c>
      <c r="R1974" s="112" t="n">
        <v>0</v>
      </c>
      <c r="S1974" s="112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25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12" t="n">
        <v>0</v>
      </c>
      <c r="R1975" s="112" t="n">
        <v>0</v>
      </c>
      <c r="S1975" s="112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25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12" t="n">
        <v>0</v>
      </c>
      <c r="R1976" s="112" t="n">
        <v>0</v>
      </c>
      <c r="S1976" s="112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25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12" t="n">
        <v>0</v>
      </c>
      <c r="R1977" s="112" t="n">
        <v>0</v>
      </c>
      <c r="S1977" s="112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25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12" t="n">
        <v>0</v>
      </c>
      <c r="R1978" s="112" t="n">
        <v>0</v>
      </c>
      <c r="S1978" s="112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25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12" t="n">
        <v>0</v>
      </c>
      <c r="R1979" s="112" t="n">
        <v>0</v>
      </c>
      <c r="S1979" s="112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25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12" t="n">
        <v>0</v>
      </c>
      <c r="R1980" s="112" t="n">
        <v>0</v>
      </c>
      <c r="S1980" s="112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25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12" t="n">
        <v>0</v>
      </c>
      <c r="R1981" s="112" t="n">
        <v>0</v>
      </c>
      <c r="S1981" s="112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25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12" t="n">
        <v>0</v>
      </c>
      <c r="R1982" s="112" t="n">
        <v>0</v>
      </c>
      <c r="S1982" s="112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25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12" t="n">
        <v>0</v>
      </c>
      <c r="R1983" s="112" t="n">
        <v>0</v>
      </c>
      <c r="S1983" s="112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25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12" t="n">
        <v>0</v>
      </c>
      <c r="R1984" s="112" t="n">
        <v>0</v>
      </c>
      <c r="S1984" s="112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25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12" t="n">
        <v>0</v>
      </c>
      <c r="R1985" s="112" t="n">
        <v>0</v>
      </c>
      <c r="S1985" s="112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25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12" t="n">
        <v>0</v>
      </c>
      <c r="R1986" s="112" t="n">
        <v>0</v>
      </c>
      <c r="S1986" s="112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25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12" t="n">
        <v>0</v>
      </c>
      <c r="R1987" s="112" t="n">
        <v>0</v>
      </c>
      <c r="S1987" s="112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25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12" t="n">
        <v>0</v>
      </c>
      <c r="R1988" s="112" t="n">
        <v>0</v>
      </c>
      <c r="S1988" s="112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25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12" t="n">
        <v>0</v>
      </c>
      <c r="R1989" s="112" t="n">
        <v>0</v>
      </c>
      <c r="S1989" s="112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25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12" t="n">
        <v>0</v>
      </c>
      <c r="R1990" s="112" t="n">
        <v>0</v>
      </c>
      <c r="S1990" s="112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25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12" t="n">
        <v>0</v>
      </c>
      <c r="R1991" s="112" t="n">
        <v>0</v>
      </c>
      <c r="S1991" s="112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25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12" t="n">
        <v>0</v>
      </c>
      <c r="R1992" s="112" t="n">
        <v>0</v>
      </c>
      <c r="S1992" s="112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25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12" t="n">
        <v>0</v>
      </c>
      <c r="R1993" s="112" t="n">
        <v>0</v>
      </c>
      <c r="S1993" s="112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25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12" t="n">
        <v>0</v>
      </c>
      <c r="R1994" s="112" t="n">
        <v>0</v>
      </c>
      <c r="S1994" s="112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25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12" t="n">
        <v>0</v>
      </c>
      <c r="R1995" s="112" t="n">
        <v>0</v>
      </c>
      <c r="S1995" s="112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25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12" t="n">
        <v>0</v>
      </c>
      <c r="R1996" s="112" t="n">
        <v>0</v>
      </c>
      <c r="S1996" s="112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25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12" t="n">
        <v>0</v>
      </c>
      <c r="R1997" s="112" t="n">
        <v>0</v>
      </c>
      <c r="S1997" s="112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25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12" t="n">
        <v>0</v>
      </c>
      <c r="R1998" s="112" t="n">
        <v>0</v>
      </c>
      <c r="S1998" s="112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25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12" t="n">
        <v>0</v>
      </c>
      <c r="R1999" s="112" t="n">
        <v>0</v>
      </c>
      <c r="S1999" s="112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25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12" t="n">
        <v>0</v>
      </c>
      <c r="R2000" s="112" t="n">
        <v>0</v>
      </c>
      <c r="S2000" s="112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25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12" t="n">
        <v>0</v>
      </c>
      <c r="R2001" s="112" t="n">
        <v>0</v>
      </c>
      <c r="S2001" s="112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25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12" t="n">
        <v>0</v>
      </c>
      <c r="R2002" s="112" t="n">
        <v>0</v>
      </c>
      <c r="S2002" s="112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25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12" t="n">
        <v>0</v>
      </c>
      <c r="R2003" s="112" t="n">
        <v>0</v>
      </c>
      <c r="S2003" s="112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25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12" t="n">
        <v>0</v>
      </c>
      <c r="R2004" s="112" t="n">
        <v>0</v>
      </c>
      <c r="S2004" s="112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25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12" t="n">
        <v>0</v>
      </c>
      <c r="R2005" s="112" t="n">
        <v>0</v>
      </c>
      <c r="S2005" s="112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25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12" t="n">
        <v>0</v>
      </c>
      <c r="R2006" s="112" t="n">
        <v>0</v>
      </c>
      <c r="S2006" s="112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25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12" t="n">
        <v>0</v>
      </c>
      <c r="R2007" s="112" t="n">
        <v>0</v>
      </c>
      <c r="S2007" s="112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25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12" t="n">
        <v>0</v>
      </c>
      <c r="R2008" s="112" t="n">
        <v>0</v>
      </c>
      <c r="S2008" s="112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25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12" t="n">
        <v>0</v>
      </c>
      <c r="R2009" s="112" t="n">
        <v>0</v>
      </c>
      <c r="S2009" s="112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25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12" t="n">
        <v>0</v>
      </c>
      <c r="R2010" s="112" t="n">
        <v>0</v>
      </c>
      <c r="S2010" s="112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25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12" t="n">
        <v>0</v>
      </c>
      <c r="R2011" s="112" t="n">
        <v>0</v>
      </c>
      <c r="S2011" s="112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25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12" t="n">
        <v>0</v>
      </c>
      <c r="R2012" s="112" t="n">
        <v>0</v>
      </c>
      <c r="S2012" s="112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25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12" t="n">
        <v>0</v>
      </c>
      <c r="R2013" s="112" t="n">
        <v>0</v>
      </c>
      <c r="S2013" s="112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25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12" t="n">
        <v>0</v>
      </c>
      <c r="R2014" s="112" t="n">
        <v>0</v>
      </c>
      <c r="S2014" s="112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25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12" t="n">
        <v>0</v>
      </c>
      <c r="R2015" s="112" t="n">
        <v>0</v>
      </c>
      <c r="S2015" s="112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25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12" t="n">
        <v>0</v>
      </c>
      <c r="R2016" s="112" t="n">
        <v>0</v>
      </c>
      <c r="S2016" s="112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25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12" t="n">
        <v>0</v>
      </c>
      <c r="R2017" s="112" t="n">
        <v>0</v>
      </c>
      <c r="S2017" s="112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25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12" t="n">
        <v>0</v>
      </c>
      <c r="R2018" s="112" t="n">
        <v>0</v>
      </c>
      <c r="S2018" s="112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25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12" t="n">
        <v>0</v>
      </c>
      <c r="R2019" s="112" t="n">
        <v>0</v>
      </c>
      <c r="S2019" s="112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25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12" t="n">
        <v>0</v>
      </c>
      <c r="R2020" s="112" t="n">
        <v>0</v>
      </c>
      <c r="S2020" s="112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25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12" t="n">
        <v>0</v>
      </c>
      <c r="R2021" s="112" t="n">
        <v>0</v>
      </c>
      <c r="S2021" s="112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25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12" t="n">
        <v>0</v>
      </c>
      <c r="R2022" s="112" t="n">
        <v>0</v>
      </c>
      <c r="S2022" s="112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25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12" t="n">
        <v>0</v>
      </c>
      <c r="R2023" s="112" t="n">
        <v>0</v>
      </c>
      <c r="S2023" s="112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25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12" t="n">
        <v>0</v>
      </c>
      <c r="R2024" s="112" t="n">
        <v>0</v>
      </c>
      <c r="S2024" s="112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25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12" t="n">
        <v>0</v>
      </c>
      <c r="R2025" s="112" t="n">
        <v>0</v>
      </c>
      <c r="S2025" s="112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25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12" t="n">
        <v>0</v>
      </c>
      <c r="R2026" s="112" t="n">
        <v>0</v>
      </c>
      <c r="S2026" s="112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25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12" t="n">
        <v>0</v>
      </c>
      <c r="R2027" s="112" t="n">
        <v>0</v>
      </c>
      <c r="S2027" s="112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25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12" t="n">
        <v>0</v>
      </c>
      <c r="R2028" s="112" t="n">
        <v>0</v>
      </c>
      <c r="S2028" s="112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25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12" t="n">
        <v>0</v>
      </c>
      <c r="R2029" s="112" t="n">
        <v>0</v>
      </c>
      <c r="S2029" s="112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25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12" t="n">
        <v>0</v>
      </c>
      <c r="R2030" s="112" t="n">
        <v>0</v>
      </c>
      <c r="S2030" s="112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25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12" t="n">
        <v>0</v>
      </c>
      <c r="R2031" s="112" t="n">
        <v>0</v>
      </c>
      <c r="S2031" s="112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25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12" t="n">
        <v>0</v>
      </c>
      <c r="R2032" s="112" t="n">
        <v>0</v>
      </c>
      <c r="S2032" s="112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25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12" t="n">
        <v>0</v>
      </c>
      <c r="R2033" s="112" t="n">
        <v>0</v>
      </c>
      <c r="S2033" s="112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25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12" t="n">
        <v>0</v>
      </c>
      <c r="R2034" s="112" t="n">
        <v>0</v>
      </c>
      <c r="S2034" s="112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25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12" t="n">
        <v>0</v>
      </c>
      <c r="R2035" s="112" t="n">
        <v>0</v>
      </c>
      <c r="S2035" s="112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25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12" t="n">
        <v>0</v>
      </c>
      <c r="R2036" s="112" t="n">
        <v>0</v>
      </c>
      <c r="S2036" s="112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25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12" t="n">
        <v>0</v>
      </c>
      <c r="R2037" s="112" t="n">
        <v>0</v>
      </c>
      <c r="S2037" s="112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25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12" t="n">
        <v>0</v>
      </c>
      <c r="R2038" s="112" t="n">
        <v>0</v>
      </c>
      <c r="S2038" s="112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25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12" t="n">
        <v>0</v>
      </c>
      <c r="R2039" s="112" t="n">
        <v>0</v>
      </c>
      <c r="S2039" s="112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25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12" t="n">
        <v>0</v>
      </c>
      <c r="R2040" s="112" t="n">
        <v>0</v>
      </c>
      <c r="S2040" s="112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25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12" t="n">
        <v>0</v>
      </c>
      <c r="R2041" s="112" t="n">
        <v>0</v>
      </c>
      <c r="S2041" s="112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25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12" t="n">
        <v>0</v>
      </c>
      <c r="R2042" s="112" t="n">
        <v>0</v>
      </c>
      <c r="S2042" s="112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25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12" t="n">
        <v>0</v>
      </c>
      <c r="R2043" s="112" t="n">
        <v>0</v>
      </c>
      <c r="S2043" s="112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25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12" t="n">
        <v>0</v>
      </c>
      <c r="R2044" s="112" t="n">
        <v>0</v>
      </c>
      <c r="S2044" s="112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25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12" t="n">
        <v>0</v>
      </c>
      <c r="R2045" s="112" t="n">
        <v>0</v>
      </c>
      <c r="S2045" s="112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25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12" t="n">
        <v>0</v>
      </c>
      <c r="R2046" s="112" t="n">
        <v>0</v>
      </c>
      <c r="S2046" s="112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25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12" t="n">
        <v>0</v>
      </c>
      <c r="R2047" s="112" t="n">
        <v>0</v>
      </c>
      <c r="S2047" s="112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25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12" t="n">
        <v>0</v>
      </c>
      <c r="R2048" s="112" t="n">
        <v>0</v>
      </c>
      <c r="S2048" s="112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25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12" t="n">
        <v>0</v>
      </c>
      <c r="R2049" s="112" t="n">
        <v>0</v>
      </c>
      <c r="S2049" s="112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25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12" t="n">
        <v>0</v>
      </c>
      <c r="R2050" s="112" t="n">
        <v>0</v>
      </c>
      <c r="S2050" s="112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25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12" t="n">
        <v>0</v>
      </c>
      <c r="R2051" s="112" t="n">
        <v>0</v>
      </c>
      <c r="S2051" s="112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25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12" t="n">
        <v>0</v>
      </c>
      <c r="R2052" s="112" t="n">
        <v>0</v>
      </c>
      <c r="S2052" s="112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25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12" t="n">
        <v>0</v>
      </c>
      <c r="R2053" s="112" t="n">
        <v>0</v>
      </c>
      <c r="S2053" s="112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25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12" t="n">
        <v>0</v>
      </c>
      <c r="R2054" s="112" t="n">
        <v>0</v>
      </c>
      <c r="S2054" s="112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25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12" t="n">
        <v>0</v>
      </c>
      <c r="R2055" s="112" t="n">
        <v>0</v>
      </c>
      <c r="S2055" s="112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25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12" t="n">
        <v>0</v>
      </c>
      <c r="R2056" s="112" t="n">
        <v>0</v>
      </c>
      <c r="S2056" s="112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25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12" t="n">
        <v>0</v>
      </c>
      <c r="R2057" s="112" t="n">
        <v>0</v>
      </c>
      <c r="S2057" s="112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25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12" t="n">
        <v>0</v>
      </c>
      <c r="R2058" s="112" t="n">
        <v>0</v>
      </c>
      <c r="S2058" s="112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25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12" t="n">
        <v>0</v>
      </c>
      <c r="R2059" s="112" t="n">
        <v>0</v>
      </c>
      <c r="S2059" s="112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25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12" t="n">
        <v>0</v>
      </c>
      <c r="R2060" s="112" t="n">
        <v>0</v>
      </c>
      <c r="S2060" s="112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25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12" t="n">
        <v>0</v>
      </c>
      <c r="R2061" s="112" t="n">
        <v>0</v>
      </c>
      <c r="S2061" s="112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25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12" t="n">
        <v>0</v>
      </c>
      <c r="R2062" s="112" t="n">
        <v>0</v>
      </c>
      <c r="S2062" s="112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25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12" t="n">
        <v>0</v>
      </c>
      <c r="R2063" s="112" t="n">
        <v>0</v>
      </c>
      <c r="S2063" s="112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25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12" t="n">
        <v>0</v>
      </c>
      <c r="R2064" s="112" t="n">
        <v>0</v>
      </c>
      <c r="S2064" s="112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25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12" t="n">
        <v>0</v>
      </c>
      <c r="R2065" s="112" t="n">
        <v>0</v>
      </c>
      <c r="S2065" s="112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25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12" t="n">
        <v>0</v>
      </c>
      <c r="R2066" s="112" t="n">
        <v>0</v>
      </c>
      <c r="S2066" s="112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25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12" t="n">
        <v>0</v>
      </c>
      <c r="R2067" s="112" t="n">
        <v>0</v>
      </c>
      <c r="S2067" s="112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25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12" t="n">
        <v>0</v>
      </c>
      <c r="R2068" s="112" t="n">
        <v>0</v>
      </c>
      <c r="S2068" s="112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25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12" t="n">
        <v>0</v>
      </c>
      <c r="R2069" s="112" t="n">
        <v>0</v>
      </c>
      <c r="S2069" s="112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25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12" t="n">
        <v>0</v>
      </c>
      <c r="R2070" s="112" t="n">
        <v>0</v>
      </c>
      <c r="S2070" s="112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25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12" t="n">
        <v>0</v>
      </c>
      <c r="R2071" s="112" t="n">
        <v>0</v>
      </c>
      <c r="S2071" s="112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25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12" t="n">
        <v>0</v>
      </c>
      <c r="R2072" s="112" t="n">
        <v>0</v>
      </c>
      <c r="S2072" s="112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25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12" t="n">
        <v>0</v>
      </c>
      <c r="R2073" s="112" t="n">
        <v>0</v>
      </c>
      <c r="S2073" s="112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25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12" t="n">
        <v>0</v>
      </c>
      <c r="R2074" s="112" t="n">
        <v>0</v>
      </c>
      <c r="S2074" s="112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25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12" t="n">
        <v>0</v>
      </c>
      <c r="R2075" s="112" t="n">
        <v>0</v>
      </c>
      <c r="S2075" s="112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25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12" t="n">
        <v>0</v>
      </c>
      <c r="R2076" s="112" t="n">
        <v>0</v>
      </c>
      <c r="S2076" s="112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25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12" t="n">
        <v>0</v>
      </c>
      <c r="R2077" s="112" t="n">
        <v>0</v>
      </c>
      <c r="S2077" s="112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25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12" t="n">
        <v>0</v>
      </c>
      <c r="R2078" s="112" t="n">
        <v>0</v>
      </c>
      <c r="S2078" s="112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25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12" t="n">
        <v>0</v>
      </c>
      <c r="R2079" s="112" t="n">
        <v>0</v>
      </c>
      <c r="S2079" s="112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25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12" t="n">
        <v>0</v>
      </c>
      <c r="R2080" s="112" t="n">
        <v>0</v>
      </c>
      <c r="S2080" s="112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25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12" t="n">
        <v>0</v>
      </c>
      <c r="R2081" s="112" t="n">
        <v>0</v>
      </c>
      <c r="S2081" s="112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25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12" t="n">
        <v>0</v>
      </c>
      <c r="R2082" s="112" t="n">
        <v>0</v>
      </c>
      <c r="S2082" s="112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25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12" t="n">
        <v>0</v>
      </c>
      <c r="R2083" s="112" t="n">
        <v>0</v>
      </c>
      <c r="S2083" s="112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25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12" t="n">
        <v>0</v>
      </c>
      <c r="R2084" s="112" t="n">
        <v>0</v>
      </c>
      <c r="S2084" s="112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25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12" t="n">
        <v>0</v>
      </c>
      <c r="R2085" s="112" t="n">
        <v>0</v>
      </c>
      <c r="S2085" s="112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25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12" t="n">
        <v>0</v>
      </c>
      <c r="R2086" s="112" t="n">
        <v>0</v>
      </c>
      <c r="S2086" s="112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25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12" t="n">
        <v>0</v>
      </c>
      <c r="R2087" s="112" t="n">
        <v>0</v>
      </c>
      <c r="S2087" s="112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25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12" t="n">
        <v>0</v>
      </c>
      <c r="R2088" s="112" t="n">
        <v>0</v>
      </c>
      <c r="S2088" s="112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25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12" t="n">
        <v>0</v>
      </c>
      <c r="R2089" s="112" t="n">
        <v>0</v>
      </c>
      <c r="S2089" s="112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25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12" t="n">
        <v>0</v>
      </c>
      <c r="R2090" s="112" t="n">
        <v>0</v>
      </c>
      <c r="S2090" s="112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25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12" t="n">
        <v>0</v>
      </c>
      <c r="R2091" s="112" t="n">
        <v>0</v>
      </c>
      <c r="S2091" s="112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25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12" t="n">
        <v>0</v>
      </c>
      <c r="R2092" s="112" t="n">
        <v>0</v>
      </c>
      <c r="S2092" s="112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25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12" t="n">
        <v>0</v>
      </c>
      <c r="R2093" s="112" t="n">
        <v>0</v>
      </c>
      <c r="S2093" s="112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25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12" t="n">
        <v>0</v>
      </c>
      <c r="R2094" s="112" t="n">
        <v>0</v>
      </c>
      <c r="S2094" s="112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25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12" t="n">
        <v>0</v>
      </c>
      <c r="R2095" s="112" t="n">
        <v>0</v>
      </c>
      <c r="S2095" s="112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25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12" t="n">
        <v>0</v>
      </c>
      <c r="R2096" s="112" t="n">
        <v>0</v>
      </c>
      <c r="S2096" s="112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25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12" t="n">
        <v>0</v>
      </c>
      <c r="R2097" s="112" t="n">
        <v>0</v>
      </c>
      <c r="S2097" s="112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25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12" t="n">
        <v>0</v>
      </c>
      <c r="R2098" s="112" t="n">
        <v>0</v>
      </c>
      <c r="S2098" s="112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25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12" t="n">
        <v>0</v>
      </c>
      <c r="R2099" s="112" t="n">
        <v>0</v>
      </c>
      <c r="S2099" s="112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25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12" t="n">
        <v>0</v>
      </c>
      <c r="R2100" s="112" t="n">
        <v>0</v>
      </c>
      <c r="S2100" s="112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25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12" t="n">
        <v>0</v>
      </c>
      <c r="R2101" s="112" t="n">
        <v>0</v>
      </c>
      <c r="S2101" s="112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25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12" t="n">
        <v>0</v>
      </c>
      <c r="R2102" s="112" t="n">
        <v>0</v>
      </c>
      <c r="S2102" s="112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25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12" t="n">
        <v>0</v>
      </c>
      <c r="R2103" s="112" t="n">
        <v>0</v>
      </c>
      <c r="S2103" s="112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25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12" t="n">
        <v>0</v>
      </c>
      <c r="R2104" s="112" t="n">
        <v>0</v>
      </c>
      <c r="S2104" s="112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25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12" t="n">
        <v>0</v>
      </c>
      <c r="R2105" s="112" t="n">
        <v>0</v>
      </c>
      <c r="S2105" s="112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25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12" t="n">
        <v>0</v>
      </c>
      <c r="R2106" s="112" t="n">
        <v>0</v>
      </c>
      <c r="S2106" s="112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25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12" t="n">
        <v>0</v>
      </c>
      <c r="R2107" s="112" t="n">
        <v>0</v>
      </c>
      <c r="S2107" s="112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25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12" t="n">
        <v>0</v>
      </c>
      <c r="R2108" s="112" t="n">
        <v>0</v>
      </c>
      <c r="S2108" s="112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25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12" t="n">
        <v>0</v>
      </c>
      <c r="R2109" s="112" t="n">
        <v>0</v>
      </c>
      <c r="S2109" s="112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25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12" t="n">
        <v>0</v>
      </c>
      <c r="R2110" s="112" t="n">
        <v>0</v>
      </c>
      <c r="S2110" s="112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25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12" t="n">
        <v>0</v>
      </c>
      <c r="R2111" s="112" t="n">
        <v>0</v>
      </c>
      <c r="S2111" s="112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25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12" t="n">
        <v>0</v>
      </c>
      <c r="R2112" s="112" t="n">
        <v>0</v>
      </c>
      <c r="S2112" s="112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25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12" t="n">
        <v>0</v>
      </c>
      <c r="R2113" s="112" t="n">
        <v>0</v>
      </c>
      <c r="S2113" s="112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25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12" t="n">
        <v>0</v>
      </c>
      <c r="R2114" s="112" t="n">
        <v>0</v>
      </c>
      <c r="S2114" s="112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25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12" t="n">
        <v>0</v>
      </c>
      <c r="R2115" s="112" t="n">
        <v>0</v>
      </c>
      <c r="S2115" s="112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25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12" t="n">
        <v>0</v>
      </c>
      <c r="R2116" s="112" t="n">
        <v>0</v>
      </c>
      <c r="S2116" s="112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25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12" t="n">
        <v>0</v>
      </c>
      <c r="R2117" s="112" t="n">
        <v>0</v>
      </c>
      <c r="S2117" s="112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25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12" t="n">
        <v>0</v>
      </c>
      <c r="R2118" s="112" t="n">
        <v>0</v>
      </c>
      <c r="S2118" s="112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25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12" t="n">
        <v>0</v>
      </c>
      <c r="R2119" s="112" t="n">
        <v>0</v>
      </c>
      <c r="S2119" s="112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25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12" t="n">
        <v>0</v>
      </c>
      <c r="R2120" s="112" t="n">
        <v>0</v>
      </c>
      <c r="S2120" s="112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25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12" t="n">
        <v>0</v>
      </c>
      <c r="R2121" s="112" t="n">
        <v>0</v>
      </c>
      <c r="S2121" s="112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25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12" t="n">
        <v>0</v>
      </c>
      <c r="R2122" s="112" t="n">
        <v>0</v>
      </c>
      <c r="S2122" s="112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25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12" t="n">
        <v>0</v>
      </c>
      <c r="R2123" s="112" t="n">
        <v>0</v>
      </c>
      <c r="S2123" s="112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25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12" t="n">
        <v>0</v>
      </c>
      <c r="R2124" s="112" t="n">
        <v>0</v>
      </c>
      <c r="S2124" s="112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25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12" t="n">
        <v>0</v>
      </c>
      <c r="R2125" s="112" t="n">
        <v>0</v>
      </c>
      <c r="S2125" s="112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25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12" t="n">
        <v>0</v>
      </c>
      <c r="R2126" s="112" t="n">
        <v>0</v>
      </c>
      <c r="S2126" s="112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25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12" t="n">
        <v>0</v>
      </c>
      <c r="R2127" s="112" t="n">
        <v>0</v>
      </c>
      <c r="S2127" s="112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25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12" t="n">
        <v>0</v>
      </c>
      <c r="R2128" s="112" t="n">
        <v>0</v>
      </c>
      <c r="S2128" s="112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25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12" t="n">
        <v>0</v>
      </c>
      <c r="R2129" s="112" t="n">
        <v>0</v>
      </c>
      <c r="S2129" s="112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25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12" t="n">
        <v>0</v>
      </c>
      <c r="R2130" s="112" t="n">
        <v>0</v>
      </c>
      <c r="S2130" s="112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25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12" t="n">
        <v>0</v>
      </c>
      <c r="R2131" s="112" t="n">
        <v>0</v>
      </c>
      <c r="S2131" s="112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25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12" t="n">
        <v>0</v>
      </c>
      <c r="R2132" s="112" t="n">
        <v>0</v>
      </c>
      <c r="S2132" s="112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25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12" t="n">
        <v>0</v>
      </c>
      <c r="R2133" s="112" t="n">
        <v>0</v>
      </c>
      <c r="S2133" s="112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25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12" t="n">
        <v>0</v>
      </c>
      <c r="R2134" s="112" t="n">
        <v>0</v>
      </c>
      <c r="S2134" s="112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25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12" t="n">
        <v>0</v>
      </c>
      <c r="R2135" s="112" t="n">
        <v>0</v>
      </c>
      <c r="S2135" s="112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25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12" t="n">
        <v>0</v>
      </c>
      <c r="R2136" s="112" t="n">
        <v>0</v>
      </c>
      <c r="S2136" s="112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25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12" t="n">
        <v>0</v>
      </c>
      <c r="R2137" s="112" t="n">
        <v>0</v>
      </c>
      <c r="S2137" s="112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25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12" t="n">
        <v>0</v>
      </c>
      <c r="R2138" s="112" t="n">
        <v>0</v>
      </c>
      <c r="S2138" s="112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25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12" t="n">
        <v>0</v>
      </c>
      <c r="R2139" s="112" t="n">
        <v>0</v>
      </c>
      <c r="S2139" s="112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25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12" t="n">
        <v>0</v>
      </c>
      <c r="R2140" s="112" t="n">
        <v>0</v>
      </c>
      <c r="S2140" s="112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25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12" t="n">
        <v>0</v>
      </c>
      <c r="R2141" s="112" t="n">
        <v>0</v>
      </c>
      <c r="S2141" s="112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25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12" t="n">
        <v>0</v>
      </c>
      <c r="R2142" s="112" t="n">
        <v>0</v>
      </c>
      <c r="S2142" s="112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25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12" t="n">
        <v>0</v>
      </c>
      <c r="R2143" s="112" t="n">
        <v>0</v>
      </c>
      <c r="S2143" s="112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25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12" t="n">
        <v>0</v>
      </c>
      <c r="R2144" s="112" t="n">
        <v>0</v>
      </c>
      <c r="S2144" s="112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25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12" t="n">
        <v>0</v>
      </c>
      <c r="R2145" s="112" t="n">
        <v>0</v>
      </c>
      <c r="S2145" s="112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25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12" t="n">
        <v>0</v>
      </c>
      <c r="R2146" s="112" t="n">
        <v>0</v>
      </c>
      <c r="S2146" s="112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25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12" t="n">
        <v>0</v>
      </c>
      <c r="R2147" s="112" t="n">
        <v>0</v>
      </c>
      <c r="S2147" s="112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25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12" t="n">
        <v>0</v>
      </c>
      <c r="R2148" s="112" t="n">
        <v>0</v>
      </c>
      <c r="S2148" s="112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25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12" t="n">
        <v>0</v>
      </c>
      <c r="R2149" s="112" t="n">
        <v>0</v>
      </c>
      <c r="S2149" s="112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25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12" t="n">
        <v>0</v>
      </c>
      <c r="R2150" s="112" t="n">
        <v>0</v>
      </c>
      <c r="S2150" s="112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25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12" t="n">
        <v>0</v>
      </c>
      <c r="R2151" s="112" t="n">
        <v>0</v>
      </c>
      <c r="S2151" s="112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25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12" t="n">
        <v>0</v>
      </c>
      <c r="R2152" s="112" t="n">
        <v>0</v>
      </c>
      <c r="S2152" s="112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25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12" t="n">
        <v>0</v>
      </c>
      <c r="R2153" s="112" t="n">
        <v>0</v>
      </c>
      <c r="S2153" s="112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25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12" t="n">
        <v>0</v>
      </c>
      <c r="R2154" s="112" t="n">
        <v>0</v>
      </c>
      <c r="S2154" s="112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25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12" t="n">
        <v>0</v>
      </c>
      <c r="R2155" s="112" t="n">
        <v>0</v>
      </c>
      <c r="S2155" s="112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25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12" t="n">
        <v>0</v>
      </c>
      <c r="R2156" s="112" t="n">
        <v>0</v>
      </c>
      <c r="S2156" s="112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25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12" t="n">
        <v>0</v>
      </c>
      <c r="R2157" s="112" t="n">
        <v>0</v>
      </c>
      <c r="S2157" s="112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25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12" t="n">
        <v>0</v>
      </c>
      <c r="R2158" s="112" t="n">
        <v>0</v>
      </c>
      <c r="S2158" s="112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25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12" t="n">
        <v>0</v>
      </c>
      <c r="R2159" s="112" t="n">
        <v>0</v>
      </c>
      <c r="S2159" s="112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25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12" t="n">
        <v>0</v>
      </c>
      <c r="R2160" s="112" t="n">
        <v>0</v>
      </c>
      <c r="S2160" s="112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25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12" t="n">
        <v>0</v>
      </c>
      <c r="R2161" s="112" t="n">
        <v>0</v>
      </c>
      <c r="S2161" s="112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25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12" t="n">
        <v>0</v>
      </c>
      <c r="R2162" s="112" t="n">
        <v>0</v>
      </c>
      <c r="S2162" s="112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25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12" t="n">
        <v>0</v>
      </c>
      <c r="R2163" s="112" t="n">
        <v>0</v>
      </c>
      <c r="S2163" s="112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25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12" t="n">
        <v>0</v>
      </c>
      <c r="R2164" s="112" t="n">
        <v>0</v>
      </c>
      <c r="S2164" s="112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25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12" t="n">
        <v>0</v>
      </c>
      <c r="R2165" s="112" t="n">
        <v>0</v>
      </c>
      <c r="S2165" s="112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25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12" t="n">
        <v>0</v>
      </c>
      <c r="R2166" s="112" t="n">
        <v>0</v>
      </c>
      <c r="S2166" s="112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25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12" t="n">
        <v>0</v>
      </c>
      <c r="R2167" s="112" t="n">
        <v>0</v>
      </c>
      <c r="S2167" s="112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25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12" t="n">
        <v>0</v>
      </c>
      <c r="R2168" s="112" t="n">
        <v>0</v>
      </c>
      <c r="S2168" s="112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25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12" t="n">
        <v>0</v>
      </c>
      <c r="R2169" s="112" t="n">
        <v>0</v>
      </c>
      <c r="S2169" s="112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25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12" t="n">
        <v>0</v>
      </c>
      <c r="R2170" s="112" t="n">
        <v>0</v>
      </c>
      <c r="S2170" s="112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25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12" t="n">
        <v>0</v>
      </c>
      <c r="R2171" s="112" t="n">
        <v>0</v>
      </c>
      <c r="S2171" s="112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25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12" t="n">
        <v>0</v>
      </c>
      <c r="R2172" s="112" t="n">
        <v>0</v>
      </c>
      <c r="S2172" s="112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25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12" t="n">
        <v>0</v>
      </c>
      <c r="R2173" s="112" t="n">
        <v>0</v>
      </c>
      <c r="S2173" s="112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25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12" t="n">
        <v>0</v>
      </c>
      <c r="R2174" s="112" t="n">
        <v>0</v>
      </c>
      <c r="S2174" s="112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25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12" t="n">
        <v>0</v>
      </c>
      <c r="R2175" s="112" t="n">
        <v>0</v>
      </c>
      <c r="S2175" s="112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25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12" t="n">
        <v>0</v>
      </c>
      <c r="R2176" s="112" t="n">
        <v>0</v>
      </c>
      <c r="S2176" s="112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25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12" t="n">
        <v>0</v>
      </c>
      <c r="R2177" s="112" t="n">
        <v>0</v>
      </c>
      <c r="S2177" s="112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25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12" t="n">
        <v>0</v>
      </c>
      <c r="R2178" s="112" t="n">
        <v>0</v>
      </c>
      <c r="S2178" s="112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25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12" t="n">
        <v>0</v>
      </c>
      <c r="R2179" s="112" t="n">
        <v>0</v>
      </c>
      <c r="S2179" s="112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25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12" t="n">
        <v>0</v>
      </c>
      <c r="R2180" s="112" t="n">
        <v>0</v>
      </c>
      <c r="S2180" s="112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25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12" t="n">
        <v>0</v>
      </c>
      <c r="R2181" s="112" t="n">
        <v>0</v>
      </c>
      <c r="S2181" s="112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25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12" t="n">
        <v>0</v>
      </c>
      <c r="R2182" s="112" t="n">
        <v>0</v>
      </c>
      <c r="S2182" s="112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25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12" t="n">
        <v>0</v>
      </c>
      <c r="R2183" s="112" t="n">
        <v>0</v>
      </c>
      <c r="S2183" s="112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25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12" t="n">
        <v>0</v>
      </c>
      <c r="R2184" s="112" t="n">
        <v>0</v>
      </c>
      <c r="S2184" s="112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25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12" t="n">
        <v>0</v>
      </c>
      <c r="R2185" s="112" t="n">
        <v>0</v>
      </c>
      <c r="S2185" s="112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25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12" t="n">
        <v>0</v>
      </c>
      <c r="R2186" s="112" t="n">
        <v>0</v>
      </c>
      <c r="S2186" s="112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25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12" t="n">
        <v>0</v>
      </c>
      <c r="R2187" s="112" t="n">
        <v>0</v>
      </c>
      <c r="S2187" s="112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25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12" t="n">
        <v>0</v>
      </c>
      <c r="R2188" s="112" t="n">
        <v>0</v>
      </c>
      <c r="S2188" s="112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25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12" t="n">
        <v>0</v>
      </c>
      <c r="R2189" s="112" t="n">
        <v>0</v>
      </c>
      <c r="S2189" s="112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25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12" t="n">
        <v>0</v>
      </c>
      <c r="R2190" s="112" t="n">
        <v>0</v>
      </c>
      <c r="S2190" s="112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25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12" t="n">
        <v>0</v>
      </c>
      <c r="R2191" s="112" t="n">
        <v>0</v>
      </c>
      <c r="S2191" s="112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25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12" t="n">
        <v>0</v>
      </c>
      <c r="R2192" s="112" t="n">
        <v>0</v>
      </c>
      <c r="S2192" s="112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25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12" t="n">
        <v>0</v>
      </c>
      <c r="R2193" s="112" t="n">
        <v>0</v>
      </c>
      <c r="S2193" s="112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25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12" t="n">
        <v>0</v>
      </c>
      <c r="R2194" s="112" t="n">
        <v>0</v>
      </c>
      <c r="S2194" s="112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25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12" t="n">
        <v>0</v>
      </c>
      <c r="R2195" s="112" t="n">
        <v>0</v>
      </c>
      <c r="S2195" s="112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25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12" t="n">
        <v>0</v>
      </c>
      <c r="R2196" s="112" t="n">
        <v>0</v>
      </c>
      <c r="S2196" s="112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25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12" t="n">
        <v>0</v>
      </c>
      <c r="R2197" s="112" t="n">
        <v>0</v>
      </c>
      <c r="S2197" s="112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25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12" t="n">
        <v>0</v>
      </c>
      <c r="R2198" s="112" t="n">
        <v>0</v>
      </c>
      <c r="S2198" s="112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25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12" t="n">
        <v>0</v>
      </c>
      <c r="R2199" s="112" t="n">
        <v>0</v>
      </c>
      <c r="S2199" s="112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25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12" t="n">
        <v>0</v>
      </c>
      <c r="R2200" s="112" t="n">
        <v>0</v>
      </c>
      <c r="S2200" s="112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25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12" t="n">
        <v>0</v>
      </c>
      <c r="R2201" s="112" t="n">
        <v>0</v>
      </c>
      <c r="S2201" s="112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25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12" t="n">
        <v>0</v>
      </c>
      <c r="R2202" s="112" t="n">
        <v>0</v>
      </c>
      <c r="S2202" s="112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25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12" t="n">
        <v>0</v>
      </c>
      <c r="R2203" s="112" t="n">
        <v>0</v>
      </c>
      <c r="S2203" s="112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25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12" t="n">
        <v>0</v>
      </c>
      <c r="R2204" s="112" t="n">
        <v>0</v>
      </c>
      <c r="S2204" s="112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25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12" t="n">
        <v>0</v>
      </c>
      <c r="R2205" s="112" t="n">
        <v>0</v>
      </c>
      <c r="S2205" s="112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25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12" t="n">
        <v>0</v>
      </c>
      <c r="R2206" s="112" t="n">
        <v>0</v>
      </c>
      <c r="S2206" s="112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25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12" t="n">
        <v>0</v>
      </c>
      <c r="R2207" s="112" t="n">
        <v>0</v>
      </c>
      <c r="S2207" s="112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25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12" t="n">
        <v>0</v>
      </c>
      <c r="R2208" s="112" t="n">
        <v>0</v>
      </c>
      <c r="S2208" s="112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25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12" t="n">
        <v>0</v>
      </c>
      <c r="R2209" s="112" t="n">
        <v>0</v>
      </c>
      <c r="S2209" s="112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25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12" t="n">
        <v>0</v>
      </c>
      <c r="R2210" s="112" t="n">
        <v>0</v>
      </c>
      <c r="S2210" s="112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25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12" t="n">
        <v>0</v>
      </c>
      <c r="R2211" s="112" t="n">
        <v>0</v>
      </c>
      <c r="S2211" s="112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25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12" t="n">
        <v>0</v>
      </c>
      <c r="R2212" s="112" t="n">
        <v>0</v>
      </c>
      <c r="S2212" s="112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25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12" t="n">
        <v>0</v>
      </c>
      <c r="R2213" s="112" t="n">
        <v>0</v>
      </c>
      <c r="S2213" s="112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25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12" t="n">
        <v>0</v>
      </c>
      <c r="R2214" s="112" t="n">
        <v>0</v>
      </c>
      <c r="S2214" s="112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25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12" t="n">
        <v>0</v>
      </c>
      <c r="R2215" s="112" t="n">
        <v>0</v>
      </c>
      <c r="S2215" s="112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25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12" t="n">
        <v>0</v>
      </c>
      <c r="R2216" s="112" t="n">
        <v>0</v>
      </c>
      <c r="S2216" s="112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25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12" t="n">
        <v>0</v>
      </c>
      <c r="R2217" s="112" t="n">
        <v>0</v>
      </c>
      <c r="S2217" s="112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25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12" t="n">
        <v>0</v>
      </c>
      <c r="R2218" s="112" t="n">
        <v>0</v>
      </c>
      <c r="S2218" s="112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25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12" t="n">
        <v>0</v>
      </c>
      <c r="R2219" s="112" t="n">
        <v>0</v>
      </c>
      <c r="S2219" s="112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25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12" t="n">
        <v>0</v>
      </c>
      <c r="R2220" s="112" t="n">
        <v>0</v>
      </c>
      <c r="S2220" s="112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25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12" t="n">
        <v>0</v>
      </c>
      <c r="R2221" s="112" t="n">
        <v>0</v>
      </c>
      <c r="S2221" s="112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25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12" t="n">
        <v>0</v>
      </c>
      <c r="R2222" s="112" t="n">
        <v>0</v>
      </c>
      <c r="S2222" s="112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25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12" t="n">
        <v>0</v>
      </c>
      <c r="R2223" s="112" t="n">
        <v>0</v>
      </c>
      <c r="S2223" s="112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25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12" t="n">
        <v>0</v>
      </c>
      <c r="R2224" s="112" t="n">
        <v>0</v>
      </c>
      <c r="S2224" s="112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25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12" t="n">
        <v>0</v>
      </c>
      <c r="R2225" s="112" t="n">
        <v>0</v>
      </c>
      <c r="S2225" s="112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25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12" t="n">
        <v>0</v>
      </c>
      <c r="R2226" s="112" t="n">
        <v>0</v>
      </c>
      <c r="S2226" s="112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25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12" t="n">
        <v>0</v>
      </c>
      <c r="R2227" s="112" t="n">
        <v>0</v>
      </c>
      <c r="S2227" s="112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25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12" t="n">
        <v>0</v>
      </c>
      <c r="R2228" s="112" t="n">
        <v>0</v>
      </c>
      <c r="S2228" s="112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25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12" t="n">
        <v>0</v>
      </c>
      <c r="R2229" s="112" t="n">
        <v>0</v>
      </c>
      <c r="S2229" s="112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26" t="n">
        <v>46134</v>
      </c>
      <c r="H2230" s="125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12" t="n">
        <v>0</v>
      </c>
      <c r="R2230" s="112" t="n">
        <v>0</v>
      </c>
      <c r="S2230" s="112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26" t="n">
        <v>46134</v>
      </c>
      <c r="H2231" s="125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12" t="n">
        <v>0</v>
      </c>
      <c r="R2231" s="112" t="n">
        <v>0</v>
      </c>
      <c r="S2231" s="112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26" t="n">
        <v>46134</v>
      </c>
      <c r="H2232" s="125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12" t="n">
        <v>0</v>
      </c>
      <c r="R2232" s="112" t="n">
        <v>0</v>
      </c>
      <c r="S2232" s="112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26" t="n">
        <v>46134</v>
      </c>
      <c r="H2233" s="125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12" t="n">
        <v>0</v>
      </c>
      <c r="R2233" s="112" t="n">
        <v>0</v>
      </c>
      <c r="S2233" s="112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26" t="n">
        <v>46134</v>
      </c>
      <c r="H2234" s="125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12" t="n">
        <v>0</v>
      </c>
      <c r="R2234" s="112" t="n">
        <v>0</v>
      </c>
      <c r="S2234" s="112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26" t="n">
        <v>46134</v>
      </c>
      <c r="H2235" s="125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12" t="n">
        <v>0</v>
      </c>
      <c r="R2235" s="112" t="n">
        <v>0</v>
      </c>
      <c r="S2235" s="112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26" t="n">
        <v>46134</v>
      </c>
      <c r="H2236" s="125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12" t="n">
        <v>0</v>
      </c>
      <c r="R2236" s="112" t="n">
        <v>0</v>
      </c>
      <c r="S2236" s="112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26" t="n">
        <v>46134</v>
      </c>
      <c r="H2237" s="125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12" t="n">
        <v>0</v>
      </c>
      <c r="R2237" s="112" t="n">
        <v>0</v>
      </c>
      <c r="S2237" s="112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26" t="n">
        <v>46134</v>
      </c>
      <c r="H2238" s="125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12" t="n">
        <v>0</v>
      </c>
      <c r="R2238" s="112" t="n">
        <v>0</v>
      </c>
      <c r="S2238" s="112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26" t="n">
        <v>46134</v>
      </c>
      <c r="H2239" s="125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12" t="n">
        <v>0</v>
      </c>
      <c r="R2239" s="112" t="n">
        <v>0</v>
      </c>
      <c r="S2239" s="112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26" t="n">
        <v>46134</v>
      </c>
      <c r="H2240" s="125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12" t="n">
        <v>0</v>
      </c>
      <c r="R2240" s="112" t="n">
        <v>0</v>
      </c>
      <c r="S2240" s="112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26" t="n">
        <v>46134</v>
      </c>
      <c r="H2241" s="125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12" t="n">
        <v>0</v>
      </c>
      <c r="R2241" s="112" t="n">
        <v>0</v>
      </c>
      <c r="S2241" s="112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26" t="n">
        <v>46134</v>
      </c>
      <c r="H2242" s="125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12" t="n">
        <v>0</v>
      </c>
      <c r="R2242" s="112" t="n">
        <v>0</v>
      </c>
      <c r="S2242" s="112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26" t="n">
        <v>46134</v>
      </c>
      <c r="H2243" s="125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12" t="n">
        <v>0</v>
      </c>
      <c r="R2243" s="112" t="n">
        <v>0</v>
      </c>
      <c r="S2243" s="112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26" t="n">
        <v>46134</v>
      </c>
      <c r="H2244" s="125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12" t="n">
        <v>0</v>
      </c>
      <c r="R2244" s="112" t="n">
        <v>0</v>
      </c>
      <c r="S2244" s="112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26" t="n">
        <v>46134</v>
      </c>
      <c r="H2245" s="125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12" t="n">
        <v>0</v>
      </c>
      <c r="R2245" s="112" t="n">
        <v>0</v>
      </c>
      <c r="S2245" s="112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26" t="n">
        <v>46134</v>
      </c>
      <c r="H2246" s="125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12" t="n">
        <v>0</v>
      </c>
      <c r="R2246" s="112" t="n">
        <v>0</v>
      </c>
      <c r="S2246" s="112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26" t="n">
        <v>46134</v>
      </c>
      <c r="H2247" s="125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12" t="n">
        <v>0</v>
      </c>
      <c r="R2247" s="112" t="n">
        <v>0</v>
      </c>
      <c r="S2247" s="112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26" t="n">
        <v>46134</v>
      </c>
      <c r="H2248" s="125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12" t="n">
        <v>0</v>
      </c>
      <c r="R2248" s="112" t="n">
        <v>0</v>
      </c>
      <c r="S2248" s="112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26" t="n">
        <v>46134</v>
      </c>
      <c r="H2249" s="125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12" t="n">
        <v>0</v>
      </c>
      <c r="R2249" s="112" t="n">
        <v>0</v>
      </c>
      <c r="S2249" s="112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26" t="n">
        <v>46134</v>
      </c>
      <c r="H2250" s="125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12" t="n">
        <v>0</v>
      </c>
      <c r="R2250" s="112" t="n">
        <v>0</v>
      </c>
      <c r="S2250" s="112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26" t="n">
        <v>46134</v>
      </c>
      <c r="H2251" s="125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12" t="n">
        <v>0</v>
      </c>
      <c r="R2251" s="112" t="n">
        <v>0</v>
      </c>
      <c r="S2251" s="112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26" t="n">
        <v>46134</v>
      </c>
      <c r="H2252" s="125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12" t="n">
        <v>0</v>
      </c>
      <c r="R2252" s="112" t="n">
        <v>0</v>
      </c>
      <c r="S2252" s="112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26" t="n">
        <v>46134</v>
      </c>
      <c r="H2253" s="125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12" t="n">
        <v>0</v>
      </c>
      <c r="R2253" s="112" t="n">
        <v>0</v>
      </c>
      <c r="S2253" s="112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26" t="n">
        <v>46134</v>
      </c>
      <c r="H2254" s="125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12" t="n">
        <v>0</v>
      </c>
      <c r="R2254" s="112" t="n">
        <v>0</v>
      </c>
      <c r="S2254" s="112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26" t="n">
        <v>46134</v>
      </c>
      <c r="H2255" s="125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12" t="n">
        <v>0</v>
      </c>
      <c r="R2255" s="112" t="n">
        <v>0</v>
      </c>
      <c r="S2255" s="112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26" t="n">
        <v>46134</v>
      </c>
      <c r="H2256" s="125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12" t="n">
        <v>0</v>
      </c>
      <c r="R2256" s="112" t="n">
        <v>0</v>
      </c>
      <c r="S2256" s="112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26" t="n">
        <v>46134</v>
      </c>
      <c r="H2257" s="125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12" t="n">
        <v>0</v>
      </c>
      <c r="R2257" s="112" t="n">
        <v>0</v>
      </c>
      <c r="S2257" s="112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26" t="n">
        <v>46134</v>
      </c>
      <c r="H2258" s="125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12" t="n">
        <v>0</v>
      </c>
      <c r="R2258" s="112" t="n">
        <v>0</v>
      </c>
      <c r="S2258" s="112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26" t="n">
        <v>46134</v>
      </c>
      <c r="H2259" s="125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12" t="n">
        <v>0</v>
      </c>
      <c r="R2259" s="112" t="n">
        <v>0</v>
      </c>
      <c r="S2259" s="112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26" t="n">
        <v>46134</v>
      </c>
      <c r="H2260" s="125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12" t="n">
        <v>0</v>
      </c>
      <c r="R2260" s="112" t="n">
        <v>0</v>
      </c>
      <c r="S2260" s="112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26" t="n">
        <v>46134</v>
      </c>
      <c r="H2261" s="125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12" t="n">
        <v>0</v>
      </c>
      <c r="R2261" s="112" t="n">
        <v>0</v>
      </c>
      <c r="S2261" s="112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26" t="n">
        <v>46134</v>
      </c>
      <c r="H2262" s="125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12" t="n">
        <v>0</v>
      </c>
      <c r="R2262" s="112" t="n">
        <v>0</v>
      </c>
      <c r="S2262" s="112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26" t="n">
        <v>46134</v>
      </c>
      <c r="H2263" s="125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12" t="n">
        <v>0</v>
      </c>
      <c r="R2263" s="112" t="n">
        <v>0</v>
      </c>
      <c r="S2263" s="112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26" t="n">
        <v>46134</v>
      </c>
      <c r="H2264" s="125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12" t="n">
        <v>0</v>
      </c>
      <c r="R2264" s="112" t="n">
        <v>0</v>
      </c>
      <c r="S2264" s="112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26" t="n">
        <v>46134</v>
      </c>
      <c r="H2265" s="125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12" t="n">
        <v>0</v>
      </c>
      <c r="R2265" s="112" t="n">
        <v>0</v>
      </c>
      <c r="S2265" s="112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26" t="n">
        <v>46134</v>
      </c>
      <c r="H2266" s="125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12" t="n">
        <v>0</v>
      </c>
      <c r="R2266" s="112" t="n">
        <v>0</v>
      </c>
      <c r="S2266" s="112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26" t="n">
        <v>46134</v>
      </c>
      <c r="H2267" s="125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12" t="n">
        <v>0</v>
      </c>
      <c r="R2267" s="112" t="n">
        <v>0</v>
      </c>
      <c r="S2267" s="112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26" t="n">
        <v>46134</v>
      </c>
      <c r="H2268" s="125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12" t="n">
        <v>0</v>
      </c>
      <c r="R2268" s="112" t="n">
        <v>0</v>
      </c>
      <c r="S2268" s="112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26" t="n">
        <v>46134</v>
      </c>
      <c r="H2269" s="125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12" t="n">
        <v>0</v>
      </c>
      <c r="R2269" s="112" t="n">
        <v>0</v>
      </c>
      <c r="S2269" s="112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26" t="n">
        <v>46134</v>
      </c>
      <c r="H2270" s="125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12" t="n">
        <v>0</v>
      </c>
      <c r="R2270" s="112" t="n">
        <v>0</v>
      </c>
      <c r="S2270" s="112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26" t="n">
        <v>46134</v>
      </c>
      <c r="H2271" s="125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12" t="n">
        <v>0</v>
      </c>
      <c r="R2271" s="112" t="n">
        <v>0</v>
      </c>
      <c r="S2271" s="112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26" t="n">
        <v>46134</v>
      </c>
      <c r="H2272" s="125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12" t="n">
        <v>0</v>
      </c>
      <c r="R2272" s="112" t="n">
        <v>0</v>
      </c>
      <c r="S2272" s="112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26" t="n">
        <v>46134</v>
      </c>
      <c r="H2273" s="125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12" t="n">
        <v>0</v>
      </c>
      <c r="R2273" s="112" t="n">
        <v>0</v>
      </c>
      <c r="S2273" s="112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26" t="n">
        <v>46134</v>
      </c>
      <c r="H2274" s="125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12" t="n">
        <v>0</v>
      </c>
      <c r="R2274" s="112" t="n">
        <v>0</v>
      </c>
      <c r="S2274" s="112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26" t="n">
        <v>46136</v>
      </c>
      <c r="H2275" s="125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12" t="n">
        <v>3885</v>
      </c>
      <c r="R2275" s="112" t="n">
        <v>0</v>
      </c>
      <c r="S2275" s="112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26" t="n">
        <v>46136</v>
      </c>
      <c r="H2276" s="125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12" t="n">
        <v>471.75</v>
      </c>
      <c r="R2276" s="112" t="n">
        <v>0</v>
      </c>
      <c r="S2276" s="112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26" t="n">
        <v>46136</v>
      </c>
      <c r="H2277" s="125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12" t="n">
        <v>0</v>
      </c>
      <c r="R2277" s="112" t="n">
        <v>0</v>
      </c>
      <c r="S2277" s="112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26" t="n">
        <v>46136</v>
      </c>
      <c r="H2278" s="125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12" t="n">
        <v>0</v>
      </c>
      <c r="R2278" s="112" t="n">
        <v>0</v>
      </c>
      <c r="S2278" s="112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26" t="n">
        <v>46136</v>
      </c>
      <c r="H2279" s="125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12" t="n">
        <v>0</v>
      </c>
      <c r="R2279" s="112" t="n">
        <v>0</v>
      </c>
      <c r="S2279" s="112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26" t="n">
        <v>46136</v>
      </c>
      <c r="H2280" s="125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12" t="n">
        <v>0</v>
      </c>
      <c r="R2280" s="112" t="n">
        <v>0</v>
      </c>
      <c r="S2280" s="112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26" t="n">
        <v>46136</v>
      </c>
      <c r="H2281" s="125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12" t="n">
        <v>0</v>
      </c>
      <c r="R2281" s="112" t="n">
        <v>0</v>
      </c>
      <c r="S2281" s="112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26" t="n">
        <v>46136</v>
      </c>
      <c r="H2282" s="125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12" t="n">
        <v>0</v>
      </c>
      <c r="R2282" s="112" t="n">
        <v>0</v>
      </c>
      <c r="S2282" s="112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26" t="n">
        <v>46136</v>
      </c>
      <c r="H2283" s="125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12" t="n">
        <v>0</v>
      </c>
      <c r="R2283" s="112" t="n">
        <v>0</v>
      </c>
      <c r="S2283" s="112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26" t="n">
        <v>46136</v>
      </c>
      <c r="H2284" s="125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12" t="n">
        <v>0</v>
      </c>
      <c r="R2284" s="112" t="n">
        <v>0</v>
      </c>
      <c r="S2284" s="112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26" t="n">
        <v>46136</v>
      </c>
      <c r="H2285" s="125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12" t="n">
        <v>0</v>
      </c>
      <c r="R2285" s="112" t="n">
        <v>0</v>
      </c>
      <c r="S2285" s="112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26" t="n">
        <v>46136</v>
      </c>
      <c r="H2286" s="125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12" t="n">
        <v>0</v>
      </c>
      <c r="R2286" s="112" t="n">
        <v>0</v>
      </c>
      <c r="S2286" s="112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26" t="n">
        <v>46136</v>
      </c>
      <c r="H2287" s="125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12" t="n">
        <v>0</v>
      </c>
      <c r="R2287" s="112" t="n">
        <v>0</v>
      </c>
      <c r="S2287" s="112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26" t="n">
        <v>46136</v>
      </c>
      <c r="H2288" s="125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12" t="n">
        <v>0</v>
      </c>
      <c r="R2288" s="112" t="n">
        <v>0</v>
      </c>
      <c r="S2288" s="112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26" t="n">
        <v>46136</v>
      </c>
      <c r="H2289" s="125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12" t="n">
        <v>0</v>
      </c>
      <c r="R2289" s="112" t="n">
        <v>0</v>
      </c>
      <c r="S2289" s="112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26" t="n">
        <v>46136</v>
      </c>
      <c r="H2290" s="125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12" t="n">
        <v>0</v>
      </c>
      <c r="R2290" s="112" t="n">
        <v>0</v>
      </c>
      <c r="S2290" s="112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26" t="n">
        <v>46136</v>
      </c>
      <c r="H2291" s="125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12" t="n">
        <v>0</v>
      </c>
      <c r="R2291" s="112" t="n">
        <v>0</v>
      </c>
      <c r="S2291" s="112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26" t="n">
        <v>46136</v>
      </c>
      <c r="H2292" s="125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12" t="n">
        <v>0</v>
      </c>
      <c r="R2292" s="112" t="n">
        <v>0</v>
      </c>
      <c r="S2292" s="112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26" t="n">
        <v>46136</v>
      </c>
      <c r="H2293" s="125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12" t="n">
        <v>0</v>
      </c>
      <c r="R2293" s="112" t="n">
        <v>0</v>
      </c>
      <c r="S2293" s="112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26" t="n">
        <v>46136</v>
      </c>
      <c r="H2294" s="125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12" t="n">
        <v>0</v>
      </c>
      <c r="R2294" s="112" t="n">
        <v>0</v>
      </c>
      <c r="S2294" s="112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26" t="n">
        <v>46136</v>
      </c>
      <c r="H2295" s="125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12" t="n">
        <v>0</v>
      </c>
      <c r="R2295" s="112" t="n">
        <v>0</v>
      </c>
      <c r="S2295" s="112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26" t="n">
        <v>46136</v>
      </c>
      <c r="H2296" s="125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12" t="n">
        <v>0</v>
      </c>
      <c r="R2296" s="112" t="n">
        <v>0</v>
      </c>
      <c r="S2296" s="112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26" t="n">
        <v>46136</v>
      </c>
      <c r="H2297" s="125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12" t="n">
        <v>0</v>
      </c>
      <c r="R2297" s="112" t="n">
        <v>0</v>
      </c>
      <c r="S2297" s="112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26" t="n">
        <v>46136</v>
      </c>
      <c r="H2298" s="125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12" t="n">
        <v>0</v>
      </c>
      <c r="R2298" s="112" t="n">
        <v>0</v>
      </c>
      <c r="S2298" s="112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26" t="n">
        <v>46136</v>
      </c>
      <c r="H2299" s="125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12" t="n">
        <v>0</v>
      </c>
      <c r="R2299" s="112" t="n">
        <v>0</v>
      </c>
      <c r="S2299" s="112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26" t="n">
        <v>46136</v>
      </c>
      <c r="H2300" s="125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12" t="n">
        <v>0</v>
      </c>
      <c r="R2300" s="112" t="n">
        <v>0</v>
      </c>
      <c r="S2300" s="112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26" t="n">
        <v>46136</v>
      </c>
      <c r="H2301" s="125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12" t="n">
        <v>0</v>
      </c>
      <c r="R2301" s="112" t="n">
        <v>0</v>
      </c>
      <c r="S2301" s="112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26" t="n">
        <v>46136</v>
      </c>
      <c r="H2302" s="125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12" t="n">
        <v>0</v>
      </c>
      <c r="R2302" s="112" t="n">
        <v>0</v>
      </c>
      <c r="S2302" s="112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26" t="n">
        <v>46136</v>
      </c>
      <c r="H2303" s="125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12" t="n">
        <v>0</v>
      </c>
      <c r="R2303" s="112" t="n">
        <v>0</v>
      </c>
      <c r="S2303" s="112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26" t="n">
        <v>46136</v>
      </c>
      <c r="H2304" s="125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12" t="n">
        <v>0</v>
      </c>
      <c r="R2304" s="112" t="n">
        <v>0</v>
      </c>
      <c r="S2304" s="112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26" t="n">
        <v>46136</v>
      </c>
      <c r="H2305" s="125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12" t="n">
        <v>0</v>
      </c>
      <c r="R2305" s="112" t="n">
        <v>0</v>
      </c>
      <c r="S2305" s="112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26" t="n">
        <v>46136</v>
      </c>
      <c r="H2306" s="125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12" t="n">
        <v>0</v>
      </c>
      <c r="R2306" s="112" t="n">
        <v>0</v>
      </c>
      <c r="S2306" s="112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26" t="n">
        <v>46136</v>
      </c>
      <c r="H2307" s="125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12" t="n">
        <v>0</v>
      </c>
      <c r="R2307" s="112" t="n">
        <v>0</v>
      </c>
      <c r="S2307" s="112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26" t="n">
        <v>46136</v>
      </c>
      <c r="H2308" s="125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12" t="n">
        <v>0</v>
      </c>
      <c r="R2308" s="112" t="n">
        <v>0</v>
      </c>
      <c r="S2308" s="112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26" t="n">
        <v>46136</v>
      </c>
      <c r="H2309" s="125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12" t="n">
        <v>0</v>
      </c>
      <c r="R2309" s="112" t="n">
        <v>0</v>
      </c>
      <c r="S2309" s="112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26" t="n">
        <v>46136</v>
      </c>
      <c r="H2310" s="125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12" t="n">
        <v>0</v>
      </c>
      <c r="R2310" s="112" t="n">
        <v>0</v>
      </c>
      <c r="S2310" s="112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25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12" t="n">
        <v>0</v>
      </c>
      <c r="R2311" s="112" t="n">
        <v>0</v>
      </c>
      <c r="S2311" s="112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25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12" t="n">
        <v>0</v>
      </c>
      <c r="R2312" s="112" t="n">
        <v>0</v>
      </c>
      <c r="S2312" s="112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25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12" t="n">
        <v>0</v>
      </c>
      <c r="R2313" s="112" t="n">
        <v>0</v>
      </c>
      <c r="S2313" s="112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25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12" t="n">
        <v>0</v>
      </c>
      <c r="R2314" s="112" t="n">
        <v>0</v>
      </c>
      <c r="S2314" s="112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25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12" t="n">
        <v>0</v>
      </c>
      <c r="R2315" s="112" t="n">
        <v>0</v>
      </c>
      <c r="S2315" s="112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25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12" t="n">
        <v>0</v>
      </c>
      <c r="R2316" s="112" t="n">
        <v>0</v>
      </c>
      <c r="S2316" s="112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25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12" t="n">
        <v>0</v>
      </c>
      <c r="R2317" s="112" t="n">
        <v>0</v>
      </c>
      <c r="S2317" s="112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25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12" t="n">
        <v>0</v>
      </c>
      <c r="R2318" s="112" t="n">
        <v>0</v>
      </c>
      <c r="S2318" s="112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25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12" t="n">
        <v>0</v>
      </c>
      <c r="R2319" s="112" t="n">
        <v>0</v>
      </c>
      <c r="S2319" s="112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25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12" t="n">
        <v>0</v>
      </c>
      <c r="R2320" s="112" t="n">
        <v>0</v>
      </c>
      <c r="S2320" s="112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25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12" t="n">
        <v>0</v>
      </c>
      <c r="R2321" s="112" t="n">
        <v>0</v>
      </c>
      <c r="S2321" s="112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25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12" t="n">
        <v>0</v>
      </c>
      <c r="R2322" s="112" t="n">
        <v>0</v>
      </c>
      <c r="S2322" s="112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25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12" t="n">
        <v>0</v>
      </c>
      <c r="R2323" s="112" t="n">
        <v>0</v>
      </c>
      <c r="S2323" s="112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25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12" t="n">
        <v>0</v>
      </c>
      <c r="R2324" s="112" t="n">
        <v>0</v>
      </c>
      <c r="S2324" s="112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25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12" t="n">
        <v>0</v>
      </c>
      <c r="R2325" s="112" t="n">
        <v>0</v>
      </c>
      <c r="S2325" s="112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25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12" t="n">
        <v>32.91</v>
      </c>
      <c r="R2326" s="112" t="n">
        <v>0</v>
      </c>
      <c r="S2326" s="112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25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12" t="n">
        <v>262.76</v>
      </c>
      <c r="R2327" s="112" t="n">
        <v>0</v>
      </c>
      <c r="S2327" s="112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25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12" t="n">
        <v>26.01</v>
      </c>
      <c r="R2328" s="112" t="n">
        <v>0</v>
      </c>
      <c r="S2328" s="112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25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12" t="n">
        <v>55.37</v>
      </c>
      <c r="R2329" s="112" t="n">
        <v>0</v>
      </c>
      <c r="S2329" s="112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25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12" t="n">
        <v>111.44</v>
      </c>
      <c r="R2330" s="112" t="n">
        <v>0</v>
      </c>
      <c r="S2330" s="112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25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12" t="n">
        <v>79.64</v>
      </c>
      <c r="R2331" s="112" t="n">
        <v>0</v>
      </c>
      <c r="S2331" s="112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25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12" t="n">
        <v>0</v>
      </c>
      <c r="R2332" s="112" t="n">
        <v>0</v>
      </c>
      <c r="S2332" s="112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25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12" t="n">
        <v>0</v>
      </c>
      <c r="R2333" s="112" t="n">
        <v>0</v>
      </c>
      <c r="S2333" s="112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25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12" t="n">
        <v>0</v>
      </c>
      <c r="R2334" s="112" t="n">
        <v>0</v>
      </c>
      <c r="S2334" s="112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25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12" t="n">
        <v>0</v>
      </c>
      <c r="R2335" s="112" t="n">
        <v>0</v>
      </c>
      <c r="S2335" s="112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25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12" t="n">
        <v>0</v>
      </c>
      <c r="R2336" s="112" t="n">
        <v>0</v>
      </c>
      <c r="S2336" s="112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25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12" t="n">
        <v>0</v>
      </c>
      <c r="R2337" s="112" t="n">
        <v>0</v>
      </c>
      <c r="S2337" s="112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25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12" t="n">
        <v>0</v>
      </c>
      <c r="R2338" s="112" t="n">
        <v>0</v>
      </c>
      <c r="S2338" s="112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25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12" t="n">
        <v>0</v>
      </c>
      <c r="R2339" s="112" t="n">
        <v>0</v>
      </c>
      <c r="S2339" s="112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26" t="n">
        <v>46142</v>
      </c>
      <c r="H2340" s="125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12" t="n">
        <v>0</v>
      </c>
      <c r="R2340" s="112" t="n">
        <v>0</v>
      </c>
      <c r="S2340" s="112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26" t="n">
        <v>46142</v>
      </c>
      <c r="H2341" s="125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12" t="n">
        <v>0</v>
      </c>
      <c r="R2341" s="112" t="n">
        <v>0</v>
      </c>
      <c r="S2341" s="112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26" t="n">
        <v>46146</v>
      </c>
      <c r="H2342" s="125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12" t="n">
        <v>0</v>
      </c>
      <c r="R2342" s="112" t="n">
        <v>0</v>
      </c>
      <c r="S2342" s="112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26" t="n">
        <v>46146</v>
      </c>
      <c r="H2343" s="125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12" t="n">
        <v>0</v>
      </c>
      <c r="R2343" s="112" t="n">
        <v>0</v>
      </c>
      <c r="S2343" s="112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26" t="n">
        <v>46146</v>
      </c>
      <c r="H2344" s="125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12" t="n">
        <v>0</v>
      </c>
      <c r="R2344" s="112" t="n">
        <v>0</v>
      </c>
      <c r="S2344" s="112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26" t="n">
        <v>46146</v>
      </c>
      <c r="H2345" s="125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12" t="n">
        <v>0</v>
      </c>
      <c r="R2345" s="112" t="n">
        <v>0</v>
      </c>
      <c r="S2345" s="112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26" t="n">
        <v>46146</v>
      </c>
      <c r="H2346" s="125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12" t="n">
        <v>11.63</v>
      </c>
      <c r="R2346" s="112" t="n">
        <v>0</v>
      </c>
      <c r="S2346" s="112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26" t="n">
        <v>46146</v>
      </c>
      <c r="H2347" s="125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12" t="n">
        <v>144.08</v>
      </c>
      <c r="R2347" s="112" t="n">
        <v>0</v>
      </c>
      <c r="S2347" s="112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26" t="n">
        <v>46146</v>
      </c>
      <c r="H2348" s="125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12" t="n">
        <v>-144.08</v>
      </c>
      <c r="R2348" s="112" t="n">
        <v>0</v>
      </c>
      <c r="S2348" s="112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26" t="n">
        <v>46146</v>
      </c>
      <c r="H2349" s="125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12" t="n">
        <v>-55.23</v>
      </c>
      <c r="R2349" s="112" t="n">
        <v>0</v>
      </c>
      <c r="S2349" s="112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26" t="n">
        <v>46146</v>
      </c>
      <c r="H2350" s="125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12" t="n">
        <v>-11.63</v>
      </c>
      <c r="R2350" s="112" t="n">
        <v>0</v>
      </c>
      <c r="S2350" s="112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26" t="n">
        <v>46146</v>
      </c>
      <c r="H2351" s="125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12" t="n">
        <v>-221.83</v>
      </c>
      <c r="R2351" s="112" t="n">
        <v>0</v>
      </c>
      <c r="S2351" s="112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26" t="n">
        <v>46146</v>
      </c>
      <c r="H2352" s="125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12" t="n">
        <v>221.83</v>
      </c>
      <c r="R2352" s="112" t="n">
        <v>0</v>
      </c>
      <c r="S2352" s="112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26" t="n">
        <v>46146</v>
      </c>
      <c r="H2353" s="125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12" t="n">
        <v>40.8</v>
      </c>
      <c r="R2353" s="112" t="n">
        <v>0</v>
      </c>
      <c r="S2353" s="112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26" t="n">
        <v>46146</v>
      </c>
      <c r="H2354" s="125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12" t="n">
        <v>55.23</v>
      </c>
      <c r="R2354" s="112" t="n">
        <v>0</v>
      </c>
      <c r="S2354" s="112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26" t="n">
        <v>46146</v>
      </c>
      <c r="H2355" s="125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12" t="n">
        <v>-40.8</v>
      </c>
      <c r="R2355" s="112" t="n">
        <v>0</v>
      </c>
      <c r="S2355" s="112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26" t="n">
        <v>46146</v>
      </c>
      <c r="H2356" s="125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12" t="n">
        <v>0</v>
      </c>
      <c r="R2356" s="112" t="n">
        <v>0</v>
      </c>
      <c r="S2356" s="112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26" t="n">
        <v>46146</v>
      </c>
      <c r="H2357" s="125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12" t="n">
        <v>0</v>
      </c>
      <c r="R2357" s="112" t="n">
        <v>0</v>
      </c>
      <c r="S2357" s="112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26" t="n">
        <v>46146</v>
      </c>
      <c r="H2358" s="125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12" t="n">
        <v>0</v>
      </c>
      <c r="R2358" s="112" t="n">
        <v>0</v>
      </c>
      <c r="S2358" s="112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26" t="n">
        <v>46146</v>
      </c>
      <c r="H2359" s="125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12" t="n">
        <v>0</v>
      </c>
      <c r="R2359" s="112" t="n">
        <v>0</v>
      </c>
      <c r="S2359" s="112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26" t="n">
        <v>46146</v>
      </c>
      <c r="H2360" s="125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12" t="n">
        <v>0</v>
      </c>
      <c r="R2360" s="112" t="n">
        <v>0</v>
      </c>
      <c r="S2360" s="112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26" t="n">
        <v>46147</v>
      </c>
      <c r="H2361" s="125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12" t="n">
        <v>0</v>
      </c>
      <c r="R2361" s="112" t="n">
        <v>0</v>
      </c>
      <c r="S2361" s="112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26" t="n">
        <v>46147</v>
      </c>
      <c r="H2362" s="125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12" t="n">
        <v>0</v>
      </c>
      <c r="R2362" s="112" t="n">
        <v>0</v>
      </c>
      <c r="S2362" s="112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26" t="n">
        <v>46147</v>
      </c>
      <c r="H2363" s="125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12" t="n">
        <v>0</v>
      </c>
      <c r="R2363" s="112" t="n">
        <v>0</v>
      </c>
      <c r="S2363" s="112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26" t="n">
        <v>46147</v>
      </c>
      <c r="H2364" s="125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12" t="n">
        <v>0</v>
      </c>
      <c r="R2364" s="112" t="n">
        <v>0</v>
      </c>
      <c r="S2364" s="112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26" t="n">
        <v>46147</v>
      </c>
      <c r="H2365" s="125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12" t="n">
        <v>0</v>
      </c>
      <c r="R2365" s="112" t="n">
        <v>0</v>
      </c>
      <c r="S2365" s="112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26" t="n">
        <v>46147</v>
      </c>
      <c r="H2366" s="125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12" t="n">
        <v>0</v>
      </c>
      <c r="R2366" s="112" t="n">
        <v>0</v>
      </c>
      <c r="S2366" s="112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26" t="n">
        <v>46147</v>
      </c>
      <c r="H2367" s="125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12" t="n">
        <v>0</v>
      </c>
      <c r="R2367" s="112" t="n">
        <v>0</v>
      </c>
      <c r="S2367" s="112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26" t="n">
        <v>46147</v>
      </c>
      <c r="H2368" s="125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12" t="n">
        <v>0</v>
      </c>
      <c r="R2368" s="112" t="n">
        <v>0</v>
      </c>
      <c r="S2368" s="112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26" t="n">
        <v>46147</v>
      </c>
      <c r="H2369" s="125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12" t="n">
        <v>0</v>
      </c>
      <c r="R2369" s="112" t="n">
        <v>0</v>
      </c>
      <c r="S2369" s="112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26" t="n">
        <v>46147</v>
      </c>
      <c r="H2370" s="125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12" t="n">
        <v>0</v>
      </c>
      <c r="R2370" s="112" t="n">
        <v>0</v>
      </c>
      <c r="S2370" s="112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26" t="n">
        <v>46147</v>
      </c>
      <c r="H2371" s="125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12" t="n">
        <v>0</v>
      </c>
      <c r="R2371" s="112" t="n">
        <v>0</v>
      </c>
      <c r="S2371" s="112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26" t="n">
        <v>46147</v>
      </c>
      <c r="H2372" s="125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12" t="n">
        <v>0</v>
      </c>
      <c r="R2372" s="112" t="n">
        <v>0</v>
      </c>
      <c r="S2372" s="112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26" t="n">
        <v>46147</v>
      </c>
      <c r="H2373" s="125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12" t="n">
        <v>0</v>
      </c>
      <c r="R2373" s="112" t="n">
        <v>0</v>
      </c>
      <c r="S2373" s="112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26" t="n">
        <v>46149</v>
      </c>
      <c r="H2374" s="125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12" t="n">
        <v>-122.41</v>
      </c>
      <c r="R2374" s="112" t="n">
        <v>0</v>
      </c>
      <c r="S2374" s="112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26" t="n">
        <v>46149</v>
      </c>
      <c r="H2375" s="125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12" t="n">
        <v>-53.46</v>
      </c>
      <c r="R2375" s="112" t="n">
        <v>0</v>
      </c>
      <c r="S2375" s="112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26" t="n">
        <v>46149</v>
      </c>
      <c r="H2376" s="125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12" t="n">
        <v>122.41</v>
      </c>
      <c r="R2376" s="112" t="n">
        <v>0</v>
      </c>
      <c r="S2376" s="112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26" t="n">
        <v>46149</v>
      </c>
      <c r="H2377" s="125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12" t="n">
        <v>53.46</v>
      </c>
      <c r="R2377" s="112" t="n">
        <v>0</v>
      </c>
      <c r="S2377" s="112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26" t="n">
        <v>46149</v>
      </c>
      <c r="H2378" s="125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12" t="n">
        <v>0</v>
      </c>
      <c r="R2378" s="112" t="n">
        <v>0</v>
      </c>
      <c r="S2378" s="112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26" t="n">
        <v>46149</v>
      </c>
      <c r="H2379" s="125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12" t="n">
        <v>0</v>
      </c>
      <c r="R2379" s="112" t="n">
        <v>0</v>
      </c>
      <c r="S2379" s="112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26" t="n">
        <v>46150</v>
      </c>
      <c r="H2380" s="125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12" t="n">
        <v>2525.25</v>
      </c>
      <c r="R2380" s="112" t="n">
        <v>0</v>
      </c>
      <c r="S2380" s="112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26" t="n">
        <v>46150</v>
      </c>
      <c r="H2381" s="125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12" t="n">
        <v>3298.92</v>
      </c>
      <c r="R2381" s="112" t="n">
        <v>0</v>
      </c>
      <c r="S2381" s="112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26" t="n">
        <v>46153</v>
      </c>
      <c r="H2382" s="125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12" t="n">
        <v>0</v>
      </c>
      <c r="R2382" s="112" t="n">
        <v>0</v>
      </c>
      <c r="S2382" s="112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26" t="n">
        <v>46153</v>
      </c>
      <c r="H2383" s="125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12" t="n">
        <v>0</v>
      </c>
      <c r="R2383" s="112" t="n">
        <v>0</v>
      </c>
      <c r="S2383" s="112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26" t="n">
        <v>46153</v>
      </c>
      <c r="H2384" s="125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12" t="n">
        <v>0</v>
      </c>
      <c r="R2384" s="112" t="n">
        <v>0</v>
      </c>
      <c r="S2384" s="112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26" t="n">
        <v>46153</v>
      </c>
      <c r="H2385" s="125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12" t="n">
        <v>0</v>
      </c>
      <c r="R2385" s="112" t="n">
        <v>0</v>
      </c>
      <c r="S2385" s="112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26" t="n">
        <v>46153</v>
      </c>
      <c r="H2386" s="125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12" t="n">
        <v>0</v>
      </c>
      <c r="R2386" s="112" t="n">
        <v>0</v>
      </c>
      <c r="S2386" s="112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26" t="n">
        <v>46153</v>
      </c>
      <c r="H2387" s="125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12" t="n">
        <v>0</v>
      </c>
      <c r="R2387" s="112" t="n">
        <v>0</v>
      </c>
      <c r="S2387" s="112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25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12" t="n">
        <v>0</v>
      </c>
      <c r="R2388" s="112" t="n">
        <v>0</v>
      </c>
      <c r="S2388" s="112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25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12" t="n">
        <v>0</v>
      </c>
      <c r="R2389" s="112" t="n">
        <v>0</v>
      </c>
      <c r="S2389" s="112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25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12" t="n">
        <v>0</v>
      </c>
      <c r="R2390" s="112" t="n">
        <v>0</v>
      </c>
      <c r="S2390" s="112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25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12" t="n">
        <v>0</v>
      </c>
      <c r="R2391" s="112" t="n">
        <v>0</v>
      </c>
      <c r="S2391" s="112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25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12" t="n">
        <v>0</v>
      </c>
      <c r="R2392" s="112" t="n">
        <v>0</v>
      </c>
      <c r="S2392" s="112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26" t="n">
        <v>46153</v>
      </c>
      <c r="H2393" s="125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12" t="n">
        <v>0</v>
      </c>
      <c r="R2393" s="112" t="n">
        <v>0</v>
      </c>
      <c r="S2393" s="112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26" t="n">
        <v>46153</v>
      </c>
      <c r="H2394" s="125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12" t="n">
        <v>0</v>
      </c>
      <c r="R2394" s="112" t="n">
        <v>0</v>
      </c>
      <c r="S2394" s="112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26" t="n">
        <v>46153</v>
      </c>
      <c r="H2395" s="125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12" t="n">
        <v>0</v>
      </c>
      <c r="R2395" s="112" t="n">
        <v>0</v>
      </c>
      <c r="S2395" s="112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26" t="n">
        <v>46153</v>
      </c>
      <c r="H2396" s="125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12" t="n">
        <v>0</v>
      </c>
      <c r="R2396" s="112" t="n">
        <v>0</v>
      </c>
      <c r="S2396" s="112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26" t="n">
        <v>46153</v>
      </c>
      <c r="H2397" s="125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12" t="n">
        <v>0</v>
      </c>
      <c r="R2397" s="112" t="n">
        <v>0</v>
      </c>
      <c r="S2397" s="112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26" t="n">
        <v>46153</v>
      </c>
      <c r="H2398" s="125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12" t="n">
        <v>0</v>
      </c>
      <c r="R2398" s="112" t="n">
        <v>0</v>
      </c>
      <c r="S2398" s="112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26" t="n">
        <v>46153</v>
      </c>
      <c r="H2399" s="125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12" t="n">
        <v>0</v>
      </c>
      <c r="R2399" s="112" t="n">
        <v>0</v>
      </c>
      <c r="S2399" s="112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26" t="n">
        <v>46160</v>
      </c>
      <c r="H2400" s="125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12" t="n">
        <v>0</v>
      </c>
      <c r="R2400" s="112" t="n">
        <v>0</v>
      </c>
      <c r="S2400" s="112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26" t="n">
        <v>46160</v>
      </c>
      <c r="H2401" s="125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12" t="n">
        <v>0</v>
      </c>
      <c r="R2401" s="112" t="n">
        <v>0</v>
      </c>
      <c r="S2401" s="112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26" t="n">
        <v>46161</v>
      </c>
      <c r="H2402" s="125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12" t="n">
        <v>0</v>
      </c>
      <c r="R2402" s="112" t="n">
        <v>0</v>
      </c>
      <c r="S2402" s="112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26" t="n">
        <v>46161</v>
      </c>
      <c r="H2403" s="125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12" t="n">
        <v>0</v>
      </c>
      <c r="R2403" s="112" t="n">
        <v>0</v>
      </c>
      <c r="S2403" s="112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26" t="n">
        <v>46162</v>
      </c>
      <c r="H2404" s="125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12" t="n">
        <v>0</v>
      </c>
      <c r="R2404" s="112" t="n">
        <v>0</v>
      </c>
      <c r="S2404" s="112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26" t="n">
        <v>46162</v>
      </c>
      <c r="H2405" s="125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12" t="n">
        <v>0</v>
      </c>
      <c r="R2405" s="112" t="n">
        <v>0</v>
      </c>
      <c r="S2405" s="112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26" t="n">
        <v>46162</v>
      </c>
      <c r="H2406" s="125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12" t="n">
        <v>0</v>
      </c>
      <c r="R2406" s="112" t="n">
        <v>0</v>
      </c>
      <c r="S2406" s="112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26" t="n">
        <v>46162</v>
      </c>
      <c r="H2407" s="125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12" t="n">
        <v>0</v>
      </c>
      <c r="R2407" s="112" t="n">
        <v>0</v>
      </c>
      <c r="S2407" s="112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D2408" t="inlineStr"/>
      <c r="E2408" t="inlineStr">
        <is>
          <t>OC</t>
        </is>
      </c>
      <c r="F2408" t="inlineStr"/>
      <c r="G2408" s="126" t="inlineStr"/>
      <c r="H2408" s="125" t="n">
        <v>46044</v>
      </c>
      <c r="I2408" t="inlineStr"/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N2408" t="inlineStr"/>
      <c r="O2408" t="inlineStr">
        <is>
          <t>21284</t>
        </is>
      </c>
      <c r="P2408" t="inlineStr">
        <is>
          <t>HOPKINS, DUSTIN W.</t>
        </is>
      </c>
      <c r="Q2408" s="112" t="n">
        <v>0</v>
      </c>
      <c r="R2408" s="112" t="n">
        <v>59.5</v>
      </c>
      <c r="S2408" s="112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D2409" t="inlineStr"/>
      <c r="E2409" t="inlineStr">
        <is>
          <t>OC</t>
        </is>
      </c>
      <c r="F2409" t="inlineStr"/>
      <c r="G2409" s="126" t="inlineStr"/>
      <c r="H2409" s="125" t="n">
        <v>46078</v>
      </c>
      <c r="I2409" t="inlineStr"/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N2409" t="inlineStr"/>
      <c r="O2409" t="inlineStr">
        <is>
          <t>21212</t>
        </is>
      </c>
      <c r="P2409" t="inlineStr">
        <is>
          <t>FRANKSON, CHANCELLOR R.</t>
        </is>
      </c>
      <c r="Q2409" s="112" t="n">
        <v>0</v>
      </c>
      <c r="R2409" s="112" t="n">
        <v>171.32</v>
      </c>
      <c r="S2409" s="112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D2410" t="inlineStr"/>
      <c r="E2410" t="inlineStr">
        <is>
          <t>OC</t>
        </is>
      </c>
      <c r="F2410" t="inlineStr"/>
      <c r="G2410" s="126" t="inlineStr"/>
      <c r="H2410" s="125" t="n">
        <v>46078</v>
      </c>
      <c r="I2410" t="inlineStr"/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N2410" t="inlineStr"/>
      <c r="O2410" t="inlineStr">
        <is>
          <t>12561</t>
        </is>
      </c>
      <c r="P2410" t="inlineStr">
        <is>
          <t>CROSS COUNTRY INFRASTRUCTURE SERVICES INC.</t>
        </is>
      </c>
      <c r="Q2410" s="112" t="n">
        <v>0</v>
      </c>
      <c r="R2410" s="112" t="n">
        <v>5876.91</v>
      </c>
      <c r="S2410" s="112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D2411" t="inlineStr"/>
      <c r="E2411" t="inlineStr">
        <is>
          <t>OC</t>
        </is>
      </c>
      <c r="F2411" t="inlineStr"/>
      <c r="G2411" s="126" t="inlineStr"/>
      <c r="H2411" s="125" t="n">
        <v>46078</v>
      </c>
      <c r="I2411" t="inlineStr"/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N2411" t="inlineStr"/>
      <c r="O2411" t="inlineStr">
        <is>
          <t>12561</t>
        </is>
      </c>
      <c r="P2411" t="inlineStr">
        <is>
          <t>CROSS COUNTRY INFRASTRUCTURE SERVICES INC.</t>
        </is>
      </c>
      <c r="Q2411" s="112" t="n">
        <v>0</v>
      </c>
      <c r="R2411" s="112" t="n">
        <v>193.81</v>
      </c>
      <c r="S2411" s="112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D2412" t="inlineStr"/>
      <c r="E2412" t="inlineStr">
        <is>
          <t>OC</t>
        </is>
      </c>
      <c r="F2412" t="inlineStr"/>
      <c r="G2412" s="126" t="inlineStr"/>
      <c r="H2412" s="125" t="n">
        <v>46106</v>
      </c>
      <c r="I2412" t="inlineStr"/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N2412" t="inlineStr"/>
      <c r="O2412" t="inlineStr">
        <is>
          <t>12177</t>
        </is>
      </c>
      <c r="P2412" t="inlineStr">
        <is>
          <t>TRAFFIC CONTROL PRODUCTS OF LOUISIANA CO. INC.</t>
        </is>
      </c>
      <c r="Q2412" s="112" t="n">
        <v>0</v>
      </c>
      <c r="R2412" s="112" t="n">
        <v>2364.45</v>
      </c>
      <c r="S2412" s="112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D2413" t="inlineStr"/>
      <c r="E2413" t="inlineStr">
        <is>
          <t>OC</t>
        </is>
      </c>
      <c r="F2413" t="inlineStr"/>
      <c r="G2413" s="126" t="inlineStr"/>
      <c r="H2413" s="125" t="n">
        <v>46112</v>
      </c>
      <c r="I2413" t="inlineStr"/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N2413" t="inlineStr"/>
      <c r="O2413" t="inlineStr">
        <is>
          <t>12561</t>
        </is>
      </c>
      <c r="P2413" t="inlineStr">
        <is>
          <t>CROSS COUNTRY INFRASTRUCTURE SERVICES INC.</t>
        </is>
      </c>
      <c r="Q2413" s="112" t="n">
        <v>0</v>
      </c>
      <c r="R2413" s="112" t="n">
        <v>2013.64</v>
      </c>
      <c r="S2413" s="112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D2414" t="inlineStr"/>
      <c r="E2414" t="inlineStr">
        <is>
          <t>OC</t>
        </is>
      </c>
      <c r="F2414" t="inlineStr"/>
      <c r="G2414" s="126" t="inlineStr"/>
      <c r="H2414" s="125" t="n">
        <v>46113</v>
      </c>
      <c r="I2414" t="inlineStr"/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N2414" t="inlineStr"/>
      <c r="O2414" t="inlineStr">
        <is>
          <t>13193</t>
        </is>
      </c>
      <c r="P2414" t="inlineStr">
        <is>
          <t>SALINAS, NICHOLAS A</t>
        </is>
      </c>
      <c r="Q2414" s="112" t="n">
        <v>0</v>
      </c>
      <c r="R2414" s="112" t="n">
        <v>187.48</v>
      </c>
      <c r="S2414" s="112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D2415" t="inlineStr"/>
      <c r="E2415" t="inlineStr">
        <is>
          <t>OC</t>
        </is>
      </c>
      <c r="F2415" t="inlineStr"/>
      <c r="G2415" s="126" t="inlineStr"/>
      <c r="H2415" s="125" t="n">
        <v>46113</v>
      </c>
      <c r="I2415" t="inlineStr"/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N2415" t="inlineStr"/>
      <c r="O2415" t="inlineStr">
        <is>
          <t>20401</t>
        </is>
      </c>
      <c r="P2415" t="inlineStr">
        <is>
          <t>RDC HOLDINGS LLC</t>
        </is>
      </c>
      <c r="Q2415" s="112" t="n">
        <v>0</v>
      </c>
      <c r="R2415" s="112" t="n">
        <v>2711.45</v>
      </c>
      <c r="S2415" s="112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D2416" t="inlineStr"/>
      <c r="E2416" t="inlineStr">
        <is>
          <t>OC</t>
        </is>
      </c>
      <c r="F2416" t="inlineStr"/>
      <c r="G2416" s="126" t="inlineStr"/>
      <c r="H2416" s="125" t="n">
        <v>46113</v>
      </c>
      <c r="I2416" t="inlineStr"/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N2416" t="inlineStr"/>
      <c r="O2416" t="inlineStr">
        <is>
          <t>21265</t>
        </is>
      </c>
      <c r="P2416" t="inlineStr">
        <is>
          <t>WHARTON FEED &amp; SUPPLY LLC</t>
        </is>
      </c>
      <c r="Q2416" s="112" t="n">
        <v>0</v>
      </c>
      <c r="R2416" s="112" t="n">
        <v>82.23</v>
      </c>
      <c r="S2416" s="112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D2417" t="inlineStr"/>
      <c r="E2417" t="inlineStr">
        <is>
          <t>OC</t>
        </is>
      </c>
      <c r="F2417" t="inlineStr"/>
      <c r="G2417" s="126" t="inlineStr"/>
      <c r="H2417" s="125" t="n">
        <v>46113</v>
      </c>
      <c r="I2417" t="inlineStr"/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N2417" t="inlineStr"/>
      <c r="O2417" t="inlineStr">
        <is>
          <t>21265</t>
        </is>
      </c>
      <c r="P2417" t="inlineStr">
        <is>
          <t>WHARTON FEED &amp; SUPPLY LLC</t>
        </is>
      </c>
      <c r="Q2417" s="112" t="n">
        <v>0</v>
      </c>
      <c r="R2417" s="112" t="n">
        <v>46.99</v>
      </c>
      <c r="S2417" s="112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D2418" t="inlineStr"/>
      <c r="E2418" t="inlineStr">
        <is>
          <t>OC</t>
        </is>
      </c>
      <c r="F2418" t="inlineStr"/>
      <c r="G2418" s="126" t="inlineStr"/>
      <c r="H2418" s="125" t="n">
        <v>46139</v>
      </c>
      <c r="I2418" t="inlineStr"/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N2418" t="inlineStr"/>
      <c r="O2418" t="inlineStr">
        <is>
          <t>12561</t>
        </is>
      </c>
      <c r="P2418" t="inlineStr">
        <is>
          <t>CROSS COUNTRY INFRASTRUCTURE SERVICES INC.</t>
        </is>
      </c>
      <c r="Q2418" s="112" t="n">
        <v>0</v>
      </c>
      <c r="R2418" s="112" t="n">
        <v>422.13</v>
      </c>
      <c r="S2418" s="112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D2419" t="inlineStr"/>
      <c r="E2419" t="inlineStr">
        <is>
          <t>OC</t>
        </is>
      </c>
      <c r="F2419" t="inlineStr"/>
      <c r="G2419" s="126" t="inlineStr"/>
      <c r="H2419" s="125" t="n">
        <v>46139</v>
      </c>
      <c r="I2419" t="inlineStr"/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N2419" t="inlineStr"/>
      <c r="O2419" t="inlineStr">
        <is>
          <t>12561</t>
        </is>
      </c>
      <c r="P2419" t="inlineStr">
        <is>
          <t>CROSS COUNTRY INFRASTRUCTURE SERVICES INC.</t>
        </is>
      </c>
      <c r="Q2419" s="112" t="n">
        <v>0</v>
      </c>
      <c r="R2419" s="112" t="n">
        <v>1084.2</v>
      </c>
      <c r="S2419" s="112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D2420" t="inlineStr"/>
      <c r="E2420" t="inlineStr">
        <is>
          <t>OC</t>
        </is>
      </c>
      <c r="F2420" t="inlineStr"/>
      <c r="G2420" s="126" t="inlineStr"/>
      <c r="H2420" s="125" t="n">
        <v>46120</v>
      </c>
      <c r="I2420" t="inlineStr"/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N2420" t="inlineStr"/>
      <c r="O2420" t="inlineStr">
        <is>
          <t>12450</t>
        </is>
      </c>
      <c r="P2420" t="inlineStr">
        <is>
          <t>BROUSSARD, MARK A</t>
        </is>
      </c>
      <c r="Q2420" s="112" t="n">
        <v>0</v>
      </c>
      <c r="R2420" s="112" t="n">
        <v>5069.66</v>
      </c>
      <c r="S2420" s="112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D2421" t="inlineStr"/>
      <c r="E2421" t="inlineStr">
        <is>
          <t>OC</t>
        </is>
      </c>
      <c r="F2421" t="inlineStr"/>
      <c r="G2421" s="126" t="inlineStr"/>
      <c r="H2421" s="125" t="n">
        <v>46133</v>
      </c>
      <c r="I2421" t="inlineStr"/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N2421" t="inlineStr"/>
      <c r="O2421" t="inlineStr">
        <is>
          <t>2285</t>
        </is>
      </c>
      <c r="P2421" t="inlineStr"/>
      <c r="Q2421" s="112" t="n">
        <v>0</v>
      </c>
      <c r="R2421" s="112" t="n">
        <v>172.83</v>
      </c>
      <c r="S2421" s="112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D2422" t="inlineStr"/>
      <c r="E2422" t="inlineStr">
        <is>
          <t>OC</t>
        </is>
      </c>
      <c r="F2422" t="inlineStr"/>
      <c r="G2422" s="126" t="inlineStr"/>
      <c r="H2422" s="125" t="n">
        <v>46133</v>
      </c>
      <c r="I2422" t="inlineStr"/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N2422" t="inlineStr"/>
      <c r="O2422" t="inlineStr">
        <is>
          <t>2285</t>
        </is>
      </c>
      <c r="P2422" t="inlineStr"/>
      <c r="Q2422" s="112" t="n">
        <v>0</v>
      </c>
      <c r="R2422" s="112" t="n">
        <v>61.65</v>
      </c>
      <c r="S2422" s="112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D2423" t="inlineStr"/>
      <c r="E2423" t="inlineStr">
        <is>
          <t>OC</t>
        </is>
      </c>
      <c r="F2423" t="inlineStr"/>
      <c r="G2423" s="126" t="inlineStr"/>
      <c r="H2423" s="125" t="n">
        <v>46133</v>
      </c>
      <c r="I2423" t="inlineStr"/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N2423" t="inlineStr"/>
      <c r="O2423" t="inlineStr">
        <is>
          <t>2285</t>
        </is>
      </c>
      <c r="P2423" t="inlineStr"/>
      <c r="Q2423" s="112" t="n">
        <v>0</v>
      </c>
      <c r="R2423" s="112" t="n">
        <v>76.81</v>
      </c>
      <c r="S2423" s="112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D2424" t="inlineStr"/>
      <c r="E2424" t="inlineStr">
        <is>
          <t>OC</t>
        </is>
      </c>
      <c r="F2424" t="inlineStr"/>
      <c r="G2424" s="126" t="inlineStr"/>
      <c r="H2424" s="125" t="n">
        <v>46133</v>
      </c>
      <c r="I2424" t="inlineStr"/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N2424" t="inlineStr"/>
      <c r="O2424" t="inlineStr">
        <is>
          <t>2285</t>
        </is>
      </c>
      <c r="P2424" t="inlineStr"/>
      <c r="Q2424" s="112" t="n">
        <v>0</v>
      </c>
      <c r="R2424" s="112" t="n">
        <v>-82.98999999999999</v>
      </c>
      <c r="S2424" s="112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D2425" t="inlineStr"/>
      <c r="E2425" t="inlineStr">
        <is>
          <t>OC</t>
        </is>
      </c>
      <c r="F2425" t="inlineStr"/>
      <c r="G2425" s="126" t="inlineStr"/>
      <c r="H2425" s="125" t="n">
        <v>46126</v>
      </c>
      <c r="I2425" t="inlineStr"/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N2425" t="inlineStr"/>
      <c r="O2425" t="inlineStr">
        <is>
          <t>2282</t>
        </is>
      </c>
      <c r="P2425" t="inlineStr"/>
      <c r="Q2425" s="112" t="n">
        <v>0</v>
      </c>
      <c r="R2425" s="112" t="n">
        <v>21.64</v>
      </c>
      <c r="S2425" s="112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D2426" t="inlineStr"/>
      <c r="E2426" t="inlineStr">
        <is>
          <t>OC</t>
        </is>
      </c>
      <c r="F2426" t="inlineStr"/>
      <c r="G2426" s="126" t="inlineStr"/>
      <c r="H2426" s="125" t="n">
        <v>46126</v>
      </c>
      <c r="I2426" t="inlineStr"/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N2426" t="inlineStr"/>
      <c r="O2426" t="inlineStr">
        <is>
          <t>2282</t>
        </is>
      </c>
      <c r="P2426" t="inlineStr"/>
      <c r="Q2426" s="112" t="n">
        <v>0</v>
      </c>
      <c r="R2426" s="112" t="n">
        <v>81.12</v>
      </c>
      <c r="S2426" s="112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D2427" t="inlineStr"/>
      <c r="E2427" t="inlineStr">
        <is>
          <t>OC</t>
        </is>
      </c>
      <c r="F2427" t="inlineStr"/>
      <c r="G2427" s="126" t="inlineStr"/>
      <c r="H2427" s="125" t="n">
        <v>46127</v>
      </c>
      <c r="I2427" t="inlineStr"/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N2427" t="inlineStr"/>
      <c r="O2427" t="inlineStr">
        <is>
          <t>21265</t>
        </is>
      </c>
      <c r="P2427" t="inlineStr">
        <is>
          <t>WHARTON FEED &amp; SUPPLY LLC</t>
        </is>
      </c>
      <c r="Q2427" s="112" t="n">
        <v>0</v>
      </c>
      <c r="R2427" s="112" t="n">
        <v>52.52</v>
      </c>
      <c r="S2427" s="112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D2428" t="inlineStr"/>
      <c r="E2428" t="inlineStr">
        <is>
          <t>OC</t>
        </is>
      </c>
      <c r="F2428" t="inlineStr"/>
      <c r="G2428" s="126" t="inlineStr"/>
      <c r="H2428" s="125" t="n">
        <v>46127</v>
      </c>
      <c r="I2428" t="inlineStr"/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N2428" t="inlineStr"/>
      <c r="O2428" t="inlineStr">
        <is>
          <t>20395</t>
        </is>
      </c>
      <c r="P2428" t="inlineStr">
        <is>
          <t>AMAZON.COM SERVICES LLC</t>
        </is>
      </c>
      <c r="Q2428" s="112" t="n">
        <v>0</v>
      </c>
      <c r="R2428" s="112" t="n">
        <v>584.1</v>
      </c>
      <c r="S2428" s="112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D2429" t="inlineStr"/>
      <c r="E2429" t="inlineStr">
        <is>
          <t>OC</t>
        </is>
      </c>
      <c r="F2429" t="inlineStr"/>
      <c r="G2429" s="126" t="inlineStr"/>
      <c r="H2429" s="125" t="n">
        <v>46129</v>
      </c>
      <c r="I2429" t="inlineStr"/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N2429" t="inlineStr"/>
      <c r="O2429" t="inlineStr"/>
      <c r="P2429" t="inlineStr"/>
      <c r="Q2429" s="112" t="n">
        <v>0</v>
      </c>
      <c r="R2429" s="112" t="n">
        <v>18.87</v>
      </c>
      <c r="S2429" s="112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D2430" t="inlineStr"/>
      <c r="E2430" t="inlineStr">
        <is>
          <t>OC</t>
        </is>
      </c>
      <c r="F2430" t="inlineStr"/>
      <c r="G2430" s="126" t="inlineStr"/>
      <c r="H2430" s="125" t="n">
        <v>46135</v>
      </c>
      <c r="I2430" t="inlineStr"/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N2430" t="inlineStr"/>
      <c r="O2430" t="inlineStr">
        <is>
          <t>12561</t>
        </is>
      </c>
      <c r="P2430" t="inlineStr">
        <is>
          <t>CROSS COUNTRY INFRASTRUCTURE SERVICES INC.</t>
        </is>
      </c>
      <c r="Q2430" s="112" t="n">
        <v>0</v>
      </c>
      <c r="R2430" s="112" t="n">
        <v>797.4</v>
      </c>
      <c r="S2430" s="112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D2431" t="inlineStr"/>
      <c r="E2431" t="inlineStr">
        <is>
          <t>OC</t>
        </is>
      </c>
      <c r="F2431" t="inlineStr"/>
      <c r="G2431" s="126" t="inlineStr"/>
      <c r="H2431" s="125" t="n">
        <v>46135</v>
      </c>
      <c r="I2431" t="inlineStr"/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N2431" t="inlineStr"/>
      <c r="O2431" t="inlineStr">
        <is>
          <t>12747</t>
        </is>
      </c>
      <c r="P2431" t="inlineStr">
        <is>
          <t>GRAINGER, INC.</t>
        </is>
      </c>
      <c r="Q2431" s="112" t="n">
        <v>0</v>
      </c>
      <c r="R2431" s="112" t="n">
        <v>242.53</v>
      </c>
      <c r="S2431" s="112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D2432" t="inlineStr"/>
      <c r="E2432" t="inlineStr">
        <is>
          <t>OC</t>
        </is>
      </c>
      <c r="F2432" t="inlineStr"/>
      <c r="G2432" s="126" t="inlineStr"/>
      <c r="H2432" s="125" t="n">
        <v>46134</v>
      </c>
      <c r="I2432" t="inlineStr"/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N2432" t="inlineStr"/>
      <c r="O2432" t="inlineStr">
        <is>
          <t>21212</t>
        </is>
      </c>
      <c r="P2432" t="inlineStr">
        <is>
          <t>FRANKSON, CHANCELLOR R.</t>
        </is>
      </c>
      <c r="Q2432" s="112" t="n">
        <v>0</v>
      </c>
      <c r="R2432" s="112" t="n">
        <v>129.89</v>
      </c>
      <c r="S2432" s="112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D2433" t="inlineStr"/>
      <c r="E2433" t="inlineStr">
        <is>
          <t>OC</t>
        </is>
      </c>
      <c r="F2433" t="inlineStr"/>
      <c r="G2433" s="126" t="inlineStr"/>
      <c r="H2433" s="125" t="n">
        <v>46140</v>
      </c>
      <c r="I2433" t="inlineStr"/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N2433" t="inlineStr"/>
      <c r="O2433" t="inlineStr">
        <is>
          <t>20746</t>
        </is>
      </c>
      <c r="P2433" t="inlineStr">
        <is>
          <t>ALLTERRA CENTRAL, INC</t>
        </is>
      </c>
      <c r="Q2433" s="112" t="n">
        <v>0</v>
      </c>
      <c r="R2433" s="112" t="n">
        <v>3089.3</v>
      </c>
      <c r="S2433" s="112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D2434" t="inlineStr"/>
      <c r="E2434" t="inlineStr">
        <is>
          <t>OC</t>
        </is>
      </c>
      <c r="F2434" t="inlineStr"/>
      <c r="G2434" s="126" t="inlineStr"/>
      <c r="H2434" s="125" t="n">
        <v>46141</v>
      </c>
      <c r="I2434" t="inlineStr"/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N2434" t="inlineStr"/>
      <c r="O2434" t="inlineStr">
        <is>
          <t>12561</t>
        </is>
      </c>
      <c r="P2434" t="inlineStr">
        <is>
          <t>CROSS COUNTRY INFRASTRUCTURE SERVICES INC.</t>
        </is>
      </c>
      <c r="Q2434" s="112" t="n">
        <v>0</v>
      </c>
      <c r="R2434" s="112" t="n">
        <v>4479.6</v>
      </c>
      <c r="S2434" s="112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D2435" t="inlineStr"/>
      <c r="E2435" t="inlineStr">
        <is>
          <t>OC</t>
        </is>
      </c>
      <c r="F2435" t="inlineStr"/>
      <c r="G2435" s="126" t="inlineStr"/>
      <c r="H2435" s="125" t="n">
        <v>46141</v>
      </c>
      <c r="I2435" t="inlineStr"/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N2435" t="inlineStr"/>
      <c r="O2435" t="inlineStr">
        <is>
          <t>12561</t>
        </is>
      </c>
      <c r="P2435" t="inlineStr">
        <is>
          <t>CROSS COUNTRY INFRASTRUCTURE SERVICES INC.</t>
        </is>
      </c>
      <c r="Q2435" s="112" t="n">
        <v>0</v>
      </c>
      <c r="R2435" s="112" t="n">
        <v>11301.32</v>
      </c>
      <c r="S2435" s="112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D2436" t="inlineStr"/>
      <c r="E2436" t="inlineStr">
        <is>
          <t>OC</t>
        </is>
      </c>
      <c r="F2436" t="inlineStr"/>
      <c r="G2436" s="126" t="inlineStr"/>
      <c r="H2436" s="125" t="n">
        <v>46141</v>
      </c>
      <c r="I2436" t="inlineStr"/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N2436" t="inlineStr"/>
      <c r="O2436" t="inlineStr">
        <is>
          <t>12561</t>
        </is>
      </c>
      <c r="P2436" t="inlineStr">
        <is>
          <t>CROSS COUNTRY INFRASTRUCTURE SERVICES INC.</t>
        </is>
      </c>
      <c r="Q2436" s="112" t="n">
        <v>0</v>
      </c>
      <c r="R2436" s="112" t="n">
        <v>635.74</v>
      </c>
      <c r="S2436" s="112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D2437" t="inlineStr"/>
      <c r="E2437" t="inlineStr">
        <is>
          <t>OC</t>
        </is>
      </c>
      <c r="F2437" t="inlineStr"/>
      <c r="G2437" s="126" t="inlineStr"/>
      <c r="H2437" s="125" t="n">
        <v>46141</v>
      </c>
      <c r="I2437" t="inlineStr"/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N2437" t="inlineStr"/>
      <c r="O2437" t="inlineStr">
        <is>
          <t>12561</t>
        </is>
      </c>
      <c r="P2437" t="inlineStr">
        <is>
          <t>CROSS COUNTRY INFRASTRUCTURE SERVICES INC.</t>
        </is>
      </c>
      <c r="Q2437" s="112" t="n">
        <v>0</v>
      </c>
      <c r="R2437" s="112" t="n">
        <v>793.91</v>
      </c>
      <c r="S2437" s="112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D2438" t="inlineStr"/>
      <c r="E2438" t="inlineStr">
        <is>
          <t>OC</t>
        </is>
      </c>
      <c r="F2438" t="inlineStr"/>
      <c r="G2438" s="126" t="inlineStr"/>
      <c r="H2438" s="125" t="n">
        <v>46141</v>
      </c>
      <c r="I2438" t="inlineStr"/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N2438" t="inlineStr"/>
      <c r="O2438" t="inlineStr">
        <is>
          <t>12561</t>
        </is>
      </c>
      <c r="P2438" t="inlineStr">
        <is>
          <t>CROSS COUNTRY INFRASTRUCTURE SERVICES INC.</t>
        </is>
      </c>
      <c r="Q2438" s="112" t="n">
        <v>0</v>
      </c>
      <c r="R2438" s="112" t="n">
        <v>7811.34</v>
      </c>
      <c r="S2438" s="112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D2439" t="inlineStr"/>
      <c r="E2439" t="inlineStr">
        <is>
          <t>OC</t>
        </is>
      </c>
      <c r="F2439" t="inlineStr"/>
      <c r="G2439" s="126" t="inlineStr"/>
      <c r="H2439" s="125" t="n">
        <v>46141</v>
      </c>
      <c r="I2439" t="inlineStr"/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N2439" t="inlineStr"/>
      <c r="O2439" t="inlineStr">
        <is>
          <t>13343</t>
        </is>
      </c>
      <c r="P2439" t="inlineStr">
        <is>
          <t>ULINE INC</t>
        </is>
      </c>
      <c r="Q2439" s="112" t="n">
        <v>0</v>
      </c>
      <c r="R2439" s="112" t="n">
        <v>1285.99</v>
      </c>
      <c r="S2439" s="112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D2440" t="inlineStr"/>
      <c r="E2440" t="inlineStr">
        <is>
          <t>OC</t>
        </is>
      </c>
      <c r="F2440" t="inlineStr"/>
      <c r="G2440" s="126" t="inlineStr"/>
      <c r="H2440" s="125" t="n">
        <v>46142</v>
      </c>
      <c r="I2440" t="inlineStr"/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N2440" t="inlineStr"/>
      <c r="O2440" t="inlineStr">
        <is>
          <t>20395</t>
        </is>
      </c>
      <c r="P2440" t="inlineStr">
        <is>
          <t>AMAZON.COM SERVICES LLC</t>
        </is>
      </c>
      <c r="Q2440" s="112" t="n">
        <v>0</v>
      </c>
      <c r="R2440" s="112" t="n">
        <v>3131.82</v>
      </c>
      <c r="S2440" s="112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D2441" t="inlineStr"/>
      <c r="E2441" t="inlineStr">
        <is>
          <t>OC</t>
        </is>
      </c>
      <c r="F2441" t="inlineStr"/>
      <c r="G2441" s="126" t="inlineStr"/>
      <c r="H2441" s="125" t="n">
        <v>46142</v>
      </c>
      <c r="I2441" t="inlineStr"/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N2441" t="inlineStr"/>
      <c r="O2441" t="inlineStr">
        <is>
          <t>20395</t>
        </is>
      </c>
      <c r="P2441" t="inlineStr">
        <is>
          <t>AMAZON.COM SERVICES LLC</t>
        </is>
      </c>
      <c r="Q2441" s="112" t="n">
        <v>0</v>
      </c>
      <c r="R2441" s="112" t="n">
        <v>252.82</v>
      </c>
      <c r="S2441" s="112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D2442" t="inlineStr"/>
      <c r="E2442" t="inlineStr">
        <is>
          <t>OC</t>
        </is>
      </c>
      <c r="F2442" t="inlineStr"/>
      <c r="G2442" s="126" t="inlineStr"/>
      <c r="H2442" s="125" t="n">
        <v>46142</v>
      </c>
      <c r="I2442" t="inlineStr"/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N2442" t="inlineStr"/>
      <c r="O2442" t="inlineStr">
        <is>
          <t>20395</t>
        </is>
      </c>
      <c r="P2442" t="inlineStr">
        <is>
          <t>AMAZON.COM SERVICES LLC</t>
        </is>
      </c>
      <c r="Q2442" s="112" t="n">
        <v>0</v>
      </c>
      <c r="R2442" s="112" t="n">
        <v>209.6</v>
      </c>
      <c r="S2442" s="112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D2443" t="inlineStr"/>
      <c r="E2443" t="inlineStr">
        <is>
          <t>OC</t>
        </is>
      </c>
      <c r="F2443" t="inlineStr"/>
      <c r="G2443" s="126" t="inlineStr"/>
      <c r="H2443" s="125" t="n">
        <v>46156</v>
      </c>
      <c r="I2443" t="inlineStr"/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N2443" t="inlineStr"/>
      <c r="O2443" t="inlineStr">
        <is>
          <t>12843</t>
        </is>
      </c>
      <c r="P2443" t="inlineStr">
        <is>
          <t>JONES TRANSPORT, LLC</t>
        </is>
      </c>
      <c r="Q2443" s="112" t="n">
        <v>0</v>
      </c>
      <c r="R2443" s="112" t="n">
        <v>1800</v>
      </c>
      <c r="S2443" s="112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D2444" t="inlineStr"/>
      <c r="E2444" t="inlineStr">
        <is>
          <t>OC</t>
        </is>
      </c>
      <c r="F2444" t="inlineStr"/>
      <c r="G2444" s="126" t="inlineStr"/>
      <c r="H2444" s="125" t="n">
        <v>46152</v>
      </c>
      <c r="I2444" t="inlineStr"/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N2444" t="inlineStr"/>
      <c r="O2444" t="inlineStr">
        <is>
          <t>12806</t>
        </is>
      </c>
      <c r="P2444" t="inlineStr">
        <is>
          <t>HOLT CAT</t>
        </is>
      </c>
      <c r="Q2444" s="112" t="n">
        <v>0</v>
      </c>
      <c r="R2444" s="112" t="n">
        <v>171.51</v>
      </c>
      <c r="S2444" s="112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D2445" t="inlineStr"/>
      <c r="E2445" t="inlineStr">
        <is>
          <t>OC</t>
        </is>
      </c>
      <c r="F2445" t="inlineStr"/>
      <c r="G2445" s="126" t="inlineStr"/>
      <c r="H2445" s="125" t="n">
        <v>46152</v>
      </c>
      <c r="I2445" t="inlineStr"/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N2445" t="inlineStr"/>
      <c r="O2445" t="inlineStr">
        <is>
          <t>12561</t>
        </is>
      </c>
      <c r="P2445" t="inlineStr">
        <is>
          <t>CROSS COUNTRY INFRASTRUCTURE SERVICES INC.</t>
        </is>
      </c>
      <c r="Q2445" s="112" t="n">
        <v>0</v>
      </c>
      <c r="R2445" s="112" t="n">
        <v>881.04</v>
      </c>
      <c r="S2445" s="112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D2446" t="inlineStr"/>
      <c r="E2446" t="inlineStr">
        <is>
          <t>OC</t>
        </is>
      </c>
      <c r="F2446" t="inlineStr"/>
      <c r="G2446" s="126" t="inlineStr"/>
      <c r="H2446" s="125" t="n">
        <v>46147</v>
      </c>
      <c r="I2446" t="inlineStr"/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N2446" t="inlineStr"/>
      <c r="O2446" t="inlineStr">
        <is>
          <t>12561</t>
        </is>
      </c>
      <c r="P2446" t="inlineStr">
        <is>
          <t>CROSS COUNTRY INFRASTRUCTURE SERVICES INC.</t>
        </is>
      </c>
      <c r="Q2446" s="112" t="n">
        <v>0</v>
      </c>
      <c r="R2446" s="112" t="n">
        <v>12484.86</v>
      </c>
      <c r="S2446" s="112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D2447" t="inlineStr"/>
      <c r="E2447" t="inlineStr">
        <is>
          <t>OC</t>
        </is>
      </c>
      <c r="F2447" t="inlineStr"/>
      <c r="G2447" s="126" t="inlineStr"/>
      <c r="H2447" s="125" t="n">
        <v>46147</v>
      </c>
      <c r="I2447" t="inlineStr"/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N2447" t="inlineStr"/>
      <c r="O2447" t="inlineStr">
        <is>
          <t>20395</t>
        </is>
      </c>
      <c r="P2447" t="inlineStr">
        <is>
          <t>AMAZON.COM SERVICES LLC</t>
        </is>
      </c>
      <c r="Q2447" s="112" t="n">
        <v>0</v>
      </c>
      <c r="R2447" s="112" t="n">
        <v>519.45</v>
      </c>
      <c r="S2447" s="112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D2448" t="inlineStr"/>
      <c r="E2448" t="inlineStr">
        <is>
          <t>OC</t>
        </is>
      </c>
      <c r="F2448" t="inlineStr"/>
      <c r="G2448" s="126" t="inlineStr"/>
      <c r="H2448" s="125" t="n">
        <v>46147</v>
      </c>
      <c r="I2448" t="inlineStr"/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N2448" t="inlineStr"/>
      <c r="O2448" t="inlineStr">
        <is>
          <t>20395</t>
        </is>
      </c>
      <c r="P2448" t="inlineStr">
        <is>
          <t>AMAZON.COM SERVICES LLC</t>
        </is>
      </c>
      <c r="Q2448" s="112" t="n">
        <v>0</v>
      </c>
      <c r="R2448" s="112" t="n">
        <v>536.15</v>
      </c>
      <c r="S2448" s="112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D2449" t="inlineStr"/>
      <c r="E2449" t="inlineStr">
        <is>
          <t>OC</t>
        </is>
      </c>
      <c r="F2449" t="inlineStr"/>
      <c r="G2449" s="126" t="inlineStr"/>
      <c r="H2449" s="125" t="n">
        <v>46147</v>
      </c>
      <c r="I2449" t="inlineStr"/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N2449" t="inlineStr"/>
      <c r="O2449" t="inlineStr">
        <is>
          <t>21265</t>
        </is>
      </c>
      <c r="P2449" t="inlineStr">
        <is>
          <t>WHARTON FEED &amp; SUPPLY LLC</t>
        </is>
      </c>
      <c r="Q2449" s="112" t="n">
        <v>0</v>
      </c>
      <c r="R2449" s="112" t="n">
        <v>285.52</v>
      </c>
      <c r="S2449" s="112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D2450" t="inlineStr"/>
      <c r="E2450" t="inlineStr">
        <is>
          <t>OC</t>
        </is>
      </c>
      <c r="F2450" t="inlineStr"/>
      <c r="G2450" s="126" t="inlineStr"/>
      <c r="H2450" s="125" t="n">
        <v>46147</v>
      </c>
      <c r="I2450" t="inlineStr"/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N2450" t="inlineStr"/>
      <c r="O2450" t="inlineStr">
        <is>
          <t>12311</t>
        </is>
      </c>
      <c r="P2450" t="inlineStr">
        <is>
          <t>ACTION SPECIALTIES, LLC</t>
        </is>
      </c>
      <c r="Q2450" s="112" t="n">
        <v>0</v>
      </c>
      <c r="R2450" s="112" t="n">
        <v>5072.58</v>
      </c>
      <c r="S2450" s="112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D2451" t="inlineStr"/>
      <c r="E2451" t="inlineStr">
        <is>
          <t>OC</t>
        </is>
      </c>
      <c r="F2451" t="inlineStr"/>
      <c r="G2451" s="126" t="inlineStr"/>
      <c r="H2451" s="125" t="n">
        <v>46147</v>
      </c>
      <c r="I2451" t="inlineStr"/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N2451" t="inlineStr"/>
      <c r="O2451" t="inlineStr">
        <is>
          <t>12311</t>
        </is>
      </c>
      <c r="P2451" t="inlineStr">
        <is>
          <t>ACTION SPECIALTIES, LLC</t>
        </is>
      </c>
      <c r="Q2451" s="112" t="n">
        <v>0</v>
      </c>
      <c r="R2451" s="112" t="n">
        <v>247.72</v>
      </c>
      <c r="S2451" s="112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D2452" t="inlineStr"/>
      <c r="E2452" t="inlineStr">
        <is>
          <t>OC</t>
        </is>
      </c>
      <c r="F2452" t="inlineStr"/>
      <c r="G2452" s="126" t="inlineStr"/>
      <c r="H2452" s="125" t="n">
        <v>46147</v>
      </c>
      <c r="I2452" t="inlineStr"/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N2452" t="inlineStr"/>
      <c r="O2452" t="inlineStr">
        <is>
          <t>19480</t>
        </is>
      </c>
      <c r="P2452" t="inlineStr">
        <is>
          <t>TOTAL TOOL SUPPLY LLC</t>
        </is>
      </c>
      <c r="Q2452" s="112" t="n">
        <v>0</v>
      </c>
      <c r="R2452" s="112" t="n">
        <v>1891.14</v>
      </c>
      <c r="S2452" s="112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D2453" t="inlineStr"/>
      <c r="E2453" t="inlineStr">
        <is>
          <t>OC</t>
        </is>
      </c>
      <c r="F2453" t="inlineStr"/>
      <c r="G2453" s="126" t="inlineStr"/>
      <c r="H2453" s="125" t="n">
        <v>46149</v>
      </c>
      <c r="I2453" t="inlineStr"/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N2453" t="inlineStr"/>
      <c r="O2453" t="inlineStr">
        <is>
          <t>21346</t>
        </is>
      </c>
      <c r="P2453" t="inlineStr">
        <is>
          <t>LOWRY'S SIGN SHOP</t>
        </is>
      </c>
      <c r="Q2453" s="112" t="n">
        <v>0</v>
      </c>
      <c r="R2453" s="112" t="n">
        <v>2844.9</v>
      </c>
      <c r="S2453" s="112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D2454" t="inlineStr"/>
      <c r="E2454" t="inlineStr">
        <is>
          <t>OC</t>
        </is>
      </c>
      <c r="F2454" t="inlineStr"/>
      <c r="G2454" s="126" t="inlineStr"/>
      <c r="H2454" s="125" t="n">
        <v>46149</v>
      </c>
      <c r="I2454" t="inlineStr"/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N2454" t="inlineStr"/>
      <c r="O2454" t="inlineStr">
        <is>
          <t>21346</t>
        </is>
      </c>
      <c r="P2454" t="inlineStr">
        <is>
          <t>LOWRY'S SIGN SHOP</t>
        </is>
      </c>
      <c r="Q2454" s="112" t="n">
        <v>0</v>
      </c>
      <c r="R2454" s="112" t="n">
        <v>65</v>
      </c>
      <c r="S2454" s="112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D2455" t="inlineStr"/>
      <c r="E2455" t="inlineStr">
        <is>
          <t>OC</t>
        </is>
      </c>
      <c r="F2455" t="inlineStr"/>
      <c r="G2455" s="126" t="inlineStr"/>
      <c r="H2455" s="125" t="n">
        <v>46153</v>
      </c>
      <c r="I2455" t="inlineStr"/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N2455" t="inlineStr"/>
      <c r="O2455" t="inlineStr">
        <is>
          <t>12808</t>
        </is>
      </c>
      <c r="P2455" t="inlineStr">
        <is>
          <t>HOME DEPOT CREDIT SERVICES</t>
        </is>
      </c>
      <c r="Q2455" s="112" t="n">
        <v>0</v>
      </c>
      <c r="R2455" s="112" t="n">
        <v>461.85</v>
      </c>
      <c r="S2455" s="112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D2456" t="inlineStr"/>
      <c r="E2456" t="inlineStr">
        <is>
          <t>OC</t>
        </is>
      </c>
      <c r="F2456" t="inlineStr"/>
      <c r="G2456" s="126" t="inlineStr"/>
      <c r="H2456" s="125" t="n">
        <v>46153</v>
      </c>
      <c r="I2456" t="inlineStr"/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N2456" t="inlineStr"/>
      <c r="O2456" t="inlineStr">
        <is>
          <t>20395</t>
        </is>
      </c>
      <c r="P2456" t="inlineStr">
        <is>
          <t>AMAZON.COM SERVICES LLC</t>
        </is>
      </c>
      <c r="Q2456" s="112" t="n">
        <v>0</v>
      </c>
      <c r="R2456" s="112" t="n">
        <v>32.46</v>
      </c>
      <c r="S2456" s="112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D2457" t="inlineStr"/>
      <c r="E2457" t="inlineStr">
        <is>
          <t>OC</t>
        </is>
      </c>
      <c r="F2457" t="inlineStr"/>
      <c r="G2457" s="126" t="inlineStr"/>
      <c r="H2457" s="125" t="n">
        <v>46156</v>
      </c>
      <c r="I2457" t="inlineStr"/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N2457" t="inlineStr"/>
      <c r="O2457" t="inlineStr">
        <is>
          <t>19480</t>
        </is>
      </c>
      <c r="P2457" t="inlineStr">
        <is>
          <t>TOTAL TOOL SUPPLY LLC</t>
        </is>
      </c>
      <c r="Q2457" s="112" t="n">
        <v>0</v>
      </c>
      <c r="R2457" s="112" t="n">
        <v>17097.99</v>
      </c>
      <c r="S2457" s="112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D2458" t="inlineStr"/>
      <c r="E2458" t="inlineStr">
        <is>
          <t>OC</t>
        </is>
      </c>
      <c r="F2458" t="inlineStr"/>
      <c r="G2458" s="126" t="inlineStr"/>
      <c r="H2458" s="125" t="n">
        <v>46152</v>
      </c>
      <c r="I2458" t="inlineStr"/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N2458" t="inlineStr"/>
      <c r="O2458" t="inlineStr">
        <is>
          <t>12287</t>
        </is>
      </c>
      <c r="P2458" t="inlineStr">
        <is>
          <t>24 HOUR SAFETY LLC</t>
        </is>
      </c>
      <c r="Q2458" s="112" t="n">
        <v>0</v>
      </c>
      <c r="R2458" s="112" t="n">
        <v>2834.42</v>
      </c>
      <c r="S2458" s="112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D2459" t="inlineStr"/>
      <c r="E2459" t="inlineStr">
        <is>
          <t>OC</t>
        </is>
      </c>
      <c r="F2459" t="inlineStr"/>
      <c r="G2459" s="126" t="inlineStr"/>
      <c r="H2459" s="125" t="n">
        <v>46152</v>
      </c>
      <c r="I2459" t="inlineStr"/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N2459" t="inlineStr"/>
      <c r="O2459" t="inlineStr">
        <is>
          <t>12747</t>
        </is>
      </c>
      <c r="P2459" t="inlineStr">
        <is>
          <t>GRAINGER, INC.</t>
        </is>
      </c>
      <c r="Q2459" s="112" t="n">
        <v>0</v>
      </c>
      <c r="R2459" s="112" t="n">
        <v>-227.7</v>
      </c>
      <c r="S2459" s="112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D2460" t="inlineStr"/>
      <c r="E2460" t="inlineStr">
        <is>
          <t>OC</t>
        </is>
      </c>
      <c r="F2460" t="inlineStr"/>
      <c r="G2460" s="126" t="inlineStr"/>
      <c r="H2460" s="125" t="n">
        <v>46159</v>
      </c>
      <c r="I2460" t="inlineStr"/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N2460" t="inlineStr"/>
      <c r="O2460" t="inlineStr">
        <is>
          <t>19480</t>
        </is>
      </c>
      <c r="P2460" t="inlineStr">
        <is>
          <t>TOTAL TOOL SUPPLY LLC</t>
        </is>
      </c>
      <c r="Q2460" s="112" t="n">
        <v>0</v>
      </c>
      <c r="R2460" s="112" t="n">
        <v>6357.53</v>
      </c>
      <c r="S2460" s="112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26" t="n">
        <v>46140</v>
      </c>
      <c r="H2461" s="125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12" t="n">
        <v>0</v>
      </c>
      <c r="R2461" s="112" t="n">
        <v>0</v>
      </c>
      <c r="S2461" s="112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26" t="n">
        <v>46140</v>
      </c>
      <c r="H2462" s="125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12" t="n">
        <v>0</v>
      </c>
      <c r="R2462" s="112" t="n">
        <v>0</v>
      </c>
      <c r="S2462" s="112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26" t="n">
        <v>46140</v>
      </c>
      <c r="H2463" s="125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12" t="n">
        <v>0</v>
      </c>
      <c r="R2463" s="112" t="n">
        <v>0</v>
      </c>
      <c r="S2463" s="112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26" t="n">
        <v>46140</v>
      </c>
      <c r="H2464" s="125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12" t="n">
        <v>0</v>
      </c>
      <c r="R2464" s="112" t="n">
        <v>0</v>
      </c>
      <c r="S2464" s="112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26" t="n">
        <v>46140</v>
      </c>
      <c r="H2465" s="125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12" t="n">
        <v>0</v>
      </c>
      <c r="R2465" s="112" t="n">
        <v>0</v>
      </c>
      <c r="S2465" s="112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26" t="n">
        <v>46140</v>
      </c>
      <c r="H2466" s="125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12" t="n">
        <v>0</v>
      </c>
      <c r="R2466" s="112" t="n">
        <v>0</v>
      </c>
      <c r="S2466" s="112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26" t="n">
        <v>46140</v>
      </c>
      <c r="H2467" s="125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12" t="n">
        <v>0</v>
      </c>
      <c r="R2467" s="112" t="n">
        <v>0</v>
      </c>
      <c r="S2467" s="112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26" t="n">
        <v>46140</v>
      </c>
      <c r="H2468" s="125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12" t="n">
        <v>0</v>
      </c>
      <c r="R2468" s="112" t="n">
        <v>0</v>
      </c>
      <c r="S2468" s="112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26" t="n">
        <v>46140</v>
      </c>
      <c r="H2469" s="125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12" t="n">
        <v>0</v>
      </c>
      <c r="R2469" s="112" t="n">
        <v>0</v>
      </c>
      <c r="S2469" s="112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26" t="n">
        <v>46134</v>
      </c>
      <c r="H2470" s="125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12" t="n">
        <v>0</v>
      </c>
      <c r="R2470" s="112" t="n">
        <v>0</v>
      </c>
      <c r="S2470" s="112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26" t="n">
        <v>46134</v>
      </c>
      <c r="H2471" s="125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12" t="n">
        <v>0</v>
      </c>
      <c r="R2471" s="112" t="n">
        <v>0</v>
      </c>
      <c r="S2471" s="112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26" t="n">
        <v>46134</v>
      </c>
      <c r="H2472" s="125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12" t="n">
        <v>0</v>
      </c>
      <c r="R2472" s="112" t="n">
        <v>0</v>
      </c>
      <c r="S2472" s="112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26" t="n">
        <v>46168</v>
      </c>
      <c r="H2473" s="125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12" t="n">
        <v>-19390.56</v>
      </c>
      <c r="R2473" s="112" t="n">
        <v>0</v>
      </c>
      <c r="S2473" s="112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26" t="n">
        <v>46168</v>
      </c>
      <c r="H2474" s="125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12" t="n">
        <v>-21199.79</v>
      </c>
      <c r="R2474" s="112" t="n">
        <v>0</v>
      </c>
      <c r="S2474" s="112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26" t="n">
        <v>46168</v>
      </c>
      <c r="H2475" s="125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12" t="n">
        <v>-21645.16</v>
      </c>
      <c r="R2475" s="112" t="n">
        <v>0</v>
      </c>
      <c r="S2475" s="112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26" t="n">
        <v>46168</v>
      </c>
      <c r="H2476" s="125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12" t="n">
        <v>-1327.11</v>
      </c>
      <c r="R2476" s="112" t="n">
        <v>0</v>
      </c>
      <c r="S2476" s="112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D2477" t="inlineStr"/>
      <c r="E2477" t="inlineStr">
        <is>
          <t>OC</t>
        </is>
      </c>
      <c r="F2477" t="inlineStr"/>
      <c r="G2477" s="126" t="inlineStr"/>
      <c r="H2477" s="125" t="n">
        <v>46000</v>
      </c>
      <c r="I2477" t="inlineStr"/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N2477" t="inlineStr"/>
      <c r="O2477" t="inlineStr">
        <is>
          <t>2197</t>
        </is>
      </c>
      <c r="P2477" t="inlineStr"/>
      <c r="Q2477" s="112" t="n">
        <v>0</v>
      </c>
      <c r="R2477" s="112" t="n">
        <v>557.0700000000001</v>
      </c>
      <c r="S2477" s="112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D2478" t="inlineStr"/>
      <c r="E2478" t="inlineStr">
        <is>
          <t>OC</t>
        </is>
      </c>
      <c r="F2478" t="inlineStr"/>
      <c r="G2478" s="126" t="inlineStr"/>
      <c r="H2478" s="125" t="n">
        <v>46032</v>
      </c>
      <c r="I2478" t="inlineStr"/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N2478" t="inlineStr"/>
      <c r="O2478" t="inlineStr">
        <is>
          <t>2218</t>
        </is>
      </c>
      <c r="P2478" t="inlineStr"/>
      <c r="Q2478" s="112" t="n">
        <v>0</v>
      </c>
      <c r="R2478" s="112" t="n">
        <v>485.8</v>
      </c>
      <c r="S2478" s="112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D2479" t="inlineStr"/>
      <c r="E2479" t="inlineStr">
        <is>
          <t>OC</t>
        </is>
      </c>
      <c r="F2479" t="inlineStr"/>
      <c r="G2479" s="126" t="inlineStr"/>
      <c r="H2479" s="125" t="n">
        <v>46063</v>
      </c>
      <c r="I2479" t="inlineStr"/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N2479" t="inlineStr"/>
      <c r="O2479" t="inlineStr">
        <is>
          <t>2233</t>
        </is>
      </c>
      <c r="P2479" t="inlineStr"/>
      <c r="Q2479" s="112" t="n">
        <v>0</v>
      </c>
      <c r="R2479" s="112" t="n">
        <v>149.84</v>
      </c>
      <c r="S2479" s="112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D2480" t="inlineStr"/>
      <c r="E2480" t="inlineStr">
        <is>
          <t>OC</t>
        </is>
      </c>
      <c r="F2480" t="inlineStr"/>
      <c r="G2480" s="126" t="inlineStr"/>
      <c r="H2480" s="125" t="n">
        <v>46094</v>
      </c>
      <c r="I2480" t="inlineStr"/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N2480" t="inlineStr"/>
      <c r="O2480" t="inlineStr">
        <is>
          <t>2251</t>
        </is>
      </c>
      <c r="P2480" t="inlineStr"/>
      <c r="Q2480" s="112" t="n">
        <v>0</v>
      </c>
      <c r="R2480" s="112" t="n">
        <v>1230.72</v>
      </c>
      <c r="S2480" s="112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D2481" t="inlineStr"/>
      <c r="E2481" t="inlineStr">
        <is>
          <t>OC</t>
        </is>
      </c>
      <c r="F2481" t="inlineStr"/>
      <c r="G2481" s="126" t="inlineStr"/>
      <c r="H2481" s="125" t="n">
        <v>46125</v>
      </c>
      <c r="I2481" t="inlineStr"/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N2481" t="inlineStr"/>
      <c r="O2481" t="inlineStr">
        <is>
          <t>2281</t>
        </is>
      </c>
      <c r="P2481" t="inlineStr"/>
      <c r="Q2481" s="112" t="n">
        <v>0</v>
      </c>
      <c r="R2481" s="112" t="n">
        <v>10471.97</v>
      </c>
      <c r="S2481" s="112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D2482" t="inlineStr"/>
      <c r="E2482" t="inlineStr">
        <is>
          <t>OC</t>
        </is>
      </c>
      <c r="F2482" t="inlineStr"/>
      <c r="G2482" s="126" t="inlineStr"/>
      <c r="H2482" s="125" t="n">
        <v>46153</v>
      </c>
      <c r="I2482" t="inlineStr"/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N2482" t="inlineStr"/>
      <c r="O2482" t="inlineStr">
        <is>
          <t>2301</t>
        </is>
      </c>
      <c r="P2482" t="inlineStr"/>
      <c r="Q2482" s="112" t="n">
        <v>0</v>
      </c>
      <c r="R2482" s="112" t="n">
        <v>29204.33</v>
      </c>
      <c r="S2482" s="112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D2483" t="inlineStr"/>
      <c r="E2483" t="inlineStr">
        <is>
          <t>OC</t>
        </is>
      </c>
      <c r="F2483" t="inlineStr"/>
      <c r="G2483" s="126" t="inlineStr"/>
      <c r="H2483" s="125" t="n">
        <v>46147</v>
      </c>
      <c r="I2483" t="inlineStr"/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N2483" t="inlineStr"/>
      <c r="O2483" t="inlineStr">
        <is>
          <t>12561</t>
        </is>
      </c>
      <c r="P2483" t="inlineStr">
        <is>
          <t>CROSS COUNTRY INFRASTRUCTURE SERVICES INC.</t>
        </is>
      </c>
      <c r="Q2483" s="112" t="n">
        <v>0</v>
      </c>
      <c r="R2483" s="112" t="n">
        <v>499.47</v>
      </c>
      <c r="S2483" s="112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D2484" t="inlineStr"/>
      <c r="E2484" t="inlineStr">
        <is>
          <t>OC</t>
        </is>
      </c>
      <c r="F2484" t="inlineStr"/>
      <c r="G2484" s="126" t="inlineStr"/>
      <c r="H2484" s="125" t="n">
        <v>46147</v>
      </c>
      <c r="I2484" t="inlineStr"/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N2484" t="inlineStr"/>
      <c r="O2484" t="inlineStr">
        <is>
          <t>19480</t>
        </is>
      </c>
      <c r="P2484" t="inlineStr">
        <is>
          <t>TOTAL TOOL SUPPLY LLC</t>
        </is>
      </c>
      <c r="Q2484" s="112" t="n">
        <v>0</v>
      </c>
      <c r="R2484" s="112" t="n">
        <v>326.17</v>
      </c>
      <c r="S2484" s="112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D2485" t="inlineStr"/>
      <c r="E2485" t="inlineStr">
        <is>
          <t>OC</t>
        </is>
      </c>
      <c r="F2485" t="inlineStr"/>
      <c r="G2485" s="126" t="inlineStr"/>
      <c r="H2485" s="125" t="n">
        <v>46101</v>
      </c>
      <c r="I2485" t="inlineStr"/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N2485" t="inlineStr"/>
      <c r="O2485" t="inlineStr">
        <is>
          <t>2253</t>
        </is>
      </c>
      <c r="P2485" t="inlineStr"/>
      <c r="Q2485" s="112" t="n">
        <v>0</v>
      </c>
      <c r="R2485" s="112" t="n">
        <v>1010151.51</v>
      </c>
      <c r="S2485" s="112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D2486" t="inlineStr"/>
      <c r="E2486" t="inlineStr">
        <is>
          <t>OC</t>
        </is>
      </c>
      <c r="F2486" t="inlineStr"/>
      <c r="G2486" s="126" t="inlineStr"/>
      <c r="H2486" s="125" t="n">
        <v>46160</v>
      </c>
      <c r="I2486" t="inlineStr"/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N2486" t="inlineStr"/>
      <c r="O2486" t="inlineStr">
        <is>
          <t>2313</t>
        </is>
      </c>
      <c r="P2486" t="inlineStr"/>
      <c r="Q2486" s="112" t="n">
        <v>0</v>
      </c>
      <c r="R2486" s="112" t="n">
        <v>25350.91</v>
      </c>
      <c r="S2486" s="112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D2487" t="inlineStr"/>
      <c r="E2487" t="inlineStr">
        <is>
          <t>EQ</t>
        </is>
      </c>
      <c r="F2487" t="inlineStr"/>
      <c r="G2487" s="126" t="inlineStr"/>
      <c r="H2487" s="125" t="n">
        <v>46138</v>
      </c>
      <c r="I2487" t="inlineStr"/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N2487" t="inlineStr"/>
      <c r="O2487" t="inlineStr">
        <is>
          <t>RT1344</t>
        </is>
      </c>
      <c r="P2487" t="inlineStr"/>
      <c r="Q2487" s="112" t="n">
        <v>0</v>
      </c>
      <c r="R2487" s="112" t="n">
        <v>79.14</v>
      </c>
      <c r="S2487" s="112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D2488" t="inlineStr"/>
      <c r="E2488" t="inlineStr">
        <is>
          <t>EQ</t>
        </is>
      </c>
      <c r="F2488" t="inlineStr"/>
      <c r="G2488" s="126" t="inlineStr"/>
      <c r="H2488" s="125" t="n">
        <v>46138</v>
      </c>
      <c r="I2488" t="inlineStr"/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N2488" t="inlineStr"/>
      <c r="O2488" t="inlineStr">
        <is>
          <t>RT1344</t>
        </is>
      </c>
      <c r="P2488" t="inlineStr"/>
      <c r="Q2488" s="112" t="n">
        <v>0</v>
      </c>
      <c r="R2488" s="112" t="n">
        <v>79.14</v>
      </c>
      <c r="S2488" s="112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D2489" t="inlineStr"/>
      <c r="E2489" t="inlineStr">
        <is>
          <t>EQ</t>
        </is>
      </c>
      <c r="F2489" t="inlineStr"/>
      <c r="G2489" s="126" t="inlineStr"/>
      <c r="H2489" s="125" t="n">
        <v>46138</v>
      </c>
      <c r="I2489" t="inlineStr"/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N2489" t="inlineStr"/>
      <c r="O2489" t="inlineStr">
        <is>
          <t>RT1344</t>
        </is>
      </c>
      <c r="P2489" t="inlineStr"/>
      <c r="Q2489" s="112" t="n">
        <v>0</v>
      </c>
      <c r="R2489" s="112" t="n">
        <v>79.14</v>
      </c>
      <c r="S2489" s="112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D2490" t="inlineStr"/>
      <c r="E2490" t="inlineStr">
        <is>
          <t>EQ</t>
        </is>
      </c>
      <c r="F2490" t="inlineStr"/>
      <c r="G2490" s="126" t="inlineStr"/>
      <c r="H2490" s="125" t="n">
        <v>46138</v>
      </c>
      <c r="I2490" t="inlineStr"/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N2490" t="inlineStr"/>
      <c r="O2490" t="inlineStr">
        <is>
          <t>FE017</t>
        </is>
      </c>
      <c r="P2490" t="inlineStr"/>
      <c r="Q2490" s="112" t="n">
        <v>0</v>
      </c>
      <c r="R2490" s="112" t="n">
        <v>0</v>
      </c>
      <c r="S2490" s="112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D2491" t="inlineStr"/>
      <c r="E2491" t="inlineStr">
        <is>
          <t>EQ</t>
        </is>
      </c>
      <c r="F2491" t="inlineStr"/>
      <c r="G2491" s="126" t="inlineStr"/>
      <c r="H2491" s="125" t="n">
        <v>46138</v>
      </c>
      <c r="I2491" t="inlineStr"/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N2491" t="inlineStr"/>
      <c r="O2491" t="inlineStr">
        <is>
          <t>FE017</t>
        </is>
      </c>
      <c r="P2491" t="inlineStr"/>
      <c r="Q2491" s="112" t="n">
        <v>0</v>
      </c>
      <c r="R2491" s="112" t="n">
        <v>0</v>
      </c>
      <c r="S2491" s="112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D2492" t="inlineStr"/>
      <c r="E2492" t="inlineStr">
        <is>
          <t>EQ</t>
        </is>
      </c>
      <c r="F2492" t="inlineStr"/>
      <c r="G2492" s="126" t="inlineStr"/>
      <c r="H2492" s="125" t="n">
        <v>46138</v>
      </c>
      <c r="I2492" t="inlineStr"/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N2492" t="inlineStr"/>
      <c r="O2492" t="inlineStr">
        <is>
          <t>FE017</t>
        </is>
      </c>
      <c r="P2492" t="inlineStr"/>
      <c r="Q2492" s="112" t="n">
        <v>0</v>
      </c>
      <c r="R2492" s="112" t="n">
        <v>0</v>
      </c>
      <c r="S2492" s="112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D2493" t="inlineStr"/>
      <c r="E2493" t="inlineStr">
        <is>
          <t>EQ</t>
        </is>
      </c>
      <c r="F2493" t="inlineStr"/>
      <c r="G2493" s="126" t="inlineStr"/>
      <c r="H2493" s="125" t="n">
        <v>46138</v>
      </c>
      <c r="I2493" t="inlineStr"/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N2493" t="inlineStr"/>
      <c r="O2493" t="inlineStr">
        <is>
          <t>FT011</t>
        </is>
      </c>
      <c r="P2493" t="inlineStr"/>
      <c r="Q2493" s="112" t="n">
        <v>0</v>
      </c>
      <c r="R2493" s="112" t="n">
        <v>291.67</v>
      </c>
      <c r="S2493" s="112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D2494" t="inlineStr"/>
      <c r="E2494" t="inlineStr">
        <is>
          <t>EQ</t>
        </is>
      </c>
      <c r="F2494" t="inlineStr"/>
      <c r="G2494" s="126" t="inlineStr"/>
      <c r="H2494" s="125" t="n">
        <v>46138</v>
      </c>
      <c r="I2494" t="inlineStr"/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N2494" t="inlineStr"/>
      <c r="O2494" t="inlineStr">
        <is>
          <t>FT011</t>
        </is>
      </c>
      <c r="P2494" t="inlineStr"/>
      <c r="Q2494" s="112" t="n">
        <v>0</v>
      </c>
      <c r="R2494" s="112" t="n">
        <v>291.67</v>
      </c>
      <c r="S2494" s="112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D2495" t="inlineStr"/>
      <c r="E2495" t="inlineStr">
        <is>
          <t>EQ</t>
        </is>
      </c>
      <c r="F2495" t="inlineStr"/>
      <c r="G2495" s="126" t="inlineStr"/>
      <c r="H2495" s="125" t="n">
        <v>46138</v>
      </c>
      <c r="I2495" t="inlineStr"/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N2495" t="inlineStr"/>
      <c r="O2495" t="inlineStr">
        <is>
          <t>FT011</t>
        </is>
      </c>
      <c r="P2495" t="inlineStr"/>
      <c r="Q2495" s="112" t="n">
        <v>0</v>
      </c>
      <c r="R2495" s="112" t="n">
        <v>291.67</v>
      </c>
      <c r="S2495" s="112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D2496" t="inlineStr"/>
      <c r="E2496" t="inlineStr">
        <is>
          <t>EQ</t>
        </is>
      </c>
      <c r="F2496" t="inlineStr"/>
      <c r="G2496" s="126" t="inlineStr"/>
      <c r="H2496" s="125" t="n">
        <v>46138</v>
      </c>
      <c r="I2496" t="inlineStr"/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N2496" t="inlineStr"/>
      <c r="O2496" t="inlineStr">
        <is>
          <t>WLD146</t>
        </is>
      </c>
      <c r="P2496" t="inlineStr"/>
      <c r="Q2496" s="112" t="n">
        <v>0</v>
      </c>
      <c r="R2496" s="112" t="n">
        <v>50</v>
      </c>
      <c r="S2496" s="112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D2497" t="inlineStr"/>
      <c r="E2497" t="inlineStr">
        <is>
          <t>EQ</t>
        </is>
      </c>
      <c r="F2497" t="inlineStr"/>
      <c r="G2497" s="126" t="inlineStr"/>
      <c r="H2497" s="125" t="n">
        <v>46138</v>
      </c>
      <c r="I2497" t="inlineStr"/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N2497" t="inlineStr"/>
      <c r="O2497" t="inlineStr">
        <is>
          <t>WLD146</t>
        </is>
      </c>
      <c r="P2497" t="inlineStr"/>
      <c r="Q2497" s="112" t="n">
        <v>0</v>
      </c>
      <c r="R2497" s="112" t="n">
        <v>50</v>
      </c>
      <c r="S2497" s="112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D2498" t="inlineStr"/>
      <c r="E2498" t="inlineStr">
        <is>
          <t>EQ</t>
        </is>
      </c>
      <c r="F2498" t="inlineStr"/>
      <c r="G2498" s="126" t="inlineStr"/>
      <c r="H2498" s="125" t="n">
        <v>46138</v>
      </c>
      <c r="I2498" t="inlineStr"/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N2498" t="inlineStr"/>
      <c r="O2498" t="inlineStr">
        <is>
          <t>WLD146</t>
        </is>
      </c>
      <c r="P2498" t="inlineStr"/>
      <c r="Q2498" s="112" t="n">
        <v>0</v>
      </c>
      <c r="R2498" s="112" t="n">
        <v>50</v>
      </c>
      <c r="S2498" s="112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D2499" t="inlineStr"/>
      <c r="E2499" t="inlineStr">
        <is>
          <t>EQ</t>
        </is>
      </c>
      <c r="F2499" t="inlineStr"/>
      <c r="G2499" s="126" t="inlineStr"/>
      <c r="H2499" s="125" t="n">
        <v>46138</v>
      </c>
      <c r="I2499" t="inlineStr"/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N2499" t="inlineStr"/>
      <c r="O2499" t="inlineStr">
        <is>
          <t>RT1447</t>
        </is>
      </c>
      <c r="P2499" t="inlineStr"/>
      <c r="Q2499" s="112" t="n">
        <v>0</v>
      </c>
      <c r="R2499" s="112" t="n">
        <v>79.14</v>
      </c>
      <c r="S2499" s="112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D2500" t="inlineStr"/>
      <c r="E2500" t="inlineStr">
        <is>
          <t>EQ</t>
        </is>
      </c>
      <c r="F2500" t="inlineStr"/>
      <c r="G2500" s="126" t="inlineStr"/>
      <c r="H2500" s="125" t="n">
        <v>46138</v>
      </c>
      <c r="I2500" t="inlineStr"/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N2500" t="inlineStr"/>
      <c r="O2500" t="inlineStr">
        <is>
          <t>RT1447</t>
        </is>
      </c>
      <c r="P2500" t="inlineStr"/>
      <c r="Q2500" s="112" t="n">
        <v>0</v>
      </c>
      <c r="R2500" s="112" t="n">
        <v>79.14</v>
      </c>
      <c r="S2500" s="112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D2501" t="inlineStr"/>
      <c r="E2501" t="inlineStr">
        <is>
          <t>EQ</t>
        </is>
      </c>
      <c r="F2501" t="inlineStr"/>
      <c r="G2501" s="126" t="inlineStr"/>
      <c r="H2501" s="125" t="n">
        <v>46138</v>
      </c>
      <c r="I2501" t="inlineStr"/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N2501" t="inlineStr"/>
      <c r="O2501" t="inlineStr">
        <is>
          <t>RT1447</t>
        </is>
      </c>
      <c r="P2501" t="inlineStr"/>
      <c r="Q2501" s="112" t="n">
        <v>0</v>
      </c>
      <c r="R2501" s="112" t="n">
        <v>79.14</v>
      </c>
      <c r="S2501" s="112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D2502" t="inlineStr"/>
      <c r="E2502" t="inlineStr">
        <is>
          <t>EQ</t>
        </is>
      </c>
      <c r="F2502" t="inlineStr"/>
      <c r="G2502" s="126" t="inlineStr"/>
      <c r="H2502" s="125" t="n">
        <v>46138</v>
      </c>
      <c r="I2502" t="inlineStr"/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N2502" t="inlineStr"/>
      <c r="O2502" t="inlineStr">
        <is>
          <t>RT1385</t>
        </is>
      </c>
      <c r="P2502" t="inlineStr"/>
      <c r="Q2502" s="112" t="n">
        <v>0</v>
      </c>
      <c r="R2502" s="112" t="n">
        <v>79.14</v>
      </c>
      <c r="S2502" s="112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D2503" t="inlineStr"/>
      <c r="E2503" t="inlineStr">
        <is>
          <t>EQ</t>
        </is>
      </c>
      <c r="F2503" t="inlineStr"/>
      <c r="G2503" s="126" t="inlineStr"/>
      <c r="H2503" s="125" t="n">
        <v>46138</v>
      </c>
      <c r="I2503" t="inlineStr"/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N2503" t="inlineStr"/>
      <c r="O2503" t="inlineStr">
        <is>
          <t>RT1385</t>
        </is>
      </c>
      <c r="P2503" t="inlineStr"/>
      <c r="Q2503" s="112" t="n">
        <v>0</v>
      </c>
      <c r="R2503" s="112" t="n">
        <v>79.14</v>
      </c>
      <c r="S2503" s="112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D2504" t="inlineStr"/>
      <c r="E2504" t="inlineStr">
        <is>
          <t>EQ</t>
        </is>
      </c>
      <c r="F2504" t="inlineStr"/>
      <c r="G2504" s="126" t="inlineStr"/>
      <c r="H2504" s="125" t="n">
        <v>46138</v>
      </c>
      <c r="I2504" t="inlineStr"/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N2504" t="inlineStr"/>
      <c r="O2504" t="inlineStr">
        <is>
          <t>RT1385</t>
        </is>
      </c>
      <c r="P2504" t="inlineStr"/>
      <c r="Q2504" s="112" t="n">
        <v>0</v>
      </c>
      <c r="R2504" s="112" t="n">
        <v>79.14</v>
      </c>
      <c r="S2504" s="112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D2505" t="inlineStr"/>
      <c r="E2505" t="inlineStr">
        <is>
          <t>EQ</t>
        </is>
      </c>
      <c r="F2505" t="inlineStr"/>
      <c r="G2505" s="126" t="inlineStr"/>
      <c r="H2505" s="125" t="n">
        <v>46138</v>
      </c>
      <c r="I2505" t="inlineStr"/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N2505" t="inlineStr"/>
      <c r="O2505" t="inlineStr">
        <is>
          <t>SSAUGKIT1</t>
        </is>
      </c>
      <c r="P2505" t="inlineStr"/>
      <c r="Q2505" s="112" t="n">
        <v>0</v>
      </c>
      <c r="R2505" s="112" t="n">
        <v>35</v>
      </c>
      <c r="S2505" s="112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D2506" t="inlineStr"/>
      <c r="E2506" t="inlineStr">
        <is>
          <t>EQ</t>
        </is>
      </c>
      <c r="F2506" t="inlineStr"/>
      <c r="G2506" s="126" t="inlineStr"/>
      <c r="H2506" s="125" t="n">
        <v>46138</v>
      </c>
      <c r="I2506" t="inlineStr"/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N2506" t="inlineStr"/>
      <c r="O2506" t="inlineStr">
        <is>
          <t>SSAUGKIT1</t>
        </is>
      </c>
      <c r="P2506" t="inlineStr"/>
      <c r="Q2506" s="112" t="n">
        <v>0</v>
      </c>
      <c r="R2506" s="112" t="n">
        <v>35</v>
      </c>
      <c r="S2506" s="112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D2507" t="inlineStr"/>
      <c r="E2507" t="inlineStr">
        <is>
          <t>EQ</t>
        </is>
      </c>
      <c r="F2507" t="inlineStr"/>
      <c r="G2507" s="126" t="inlineStr"/>
      <c r="H2507" s="125" t="n">
        <v>46138</v>
      </c>
      <c r="I2507" t="inlineStr"/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N2507" t="inlineStr"/>
      <c r="O2507" t="inlineStr">
        <is>
          <t>SSAUGKIT1</t>
        </is>
      </c>
      <c r="P2507" t="inlineStr"/>
      <c r="Q2507" s="112" t="n">
        <v>0</v>
      </c>
      <c r="R2507" s="112" t="n">
        <v>35</v>
      </c>
      <c r="S2507" s="112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D2508" t="inlineStr"/>
      <c r="E2508" t="inlineStr">
        <is>
          <t>EQ</t>
        </is>
      </c>
      <c r="F2508" t="inlineStr"/>
      <c r="G2508" s="126" t="inlineStr"/>
      <c r="H2508" s="125" t="n">
        <v>46138</v>
      </c>
      <c r="I2508" t="inlineStr"/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N2508" t="inlineStr"/>
      <c r="O2508" t="inlineStr">
        <is>
          <t>TR425</t>
        </is>
      </c>
      <c r="P2508" t="inlineStr"/>
      <c r="Q2508" s="112" t="n">
        <v>0</v>
      </c>
      <c r="R2508" s="112" t="n">
        <v>65</v>
      </c>
      <c r="S2508" s="112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D2509" t="inlineStr"/>
      <c r="E2509" t="inlineStr">
        <is>
          <t>EQ</t>
        </is>
      </c>
      <c r="F2509" t="inlineStr"/>
      <c r="G2509" s="126" t="inlineStr"/>
      <c r="H2509" s="125" t="n">
        <v>46138</v>
      </c>
      <c r="I2509" t="inlineStr"/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N2509" t="inlineStr"/>
      <c r="O2509" t="inlineStr">
        <is>
          <t>TR425</t>
        </is>
      </c>
      <c r="P2509" t="inlineStr"/>
      <c r="Q2509" s="112" t="n">
        <v>0</v>
      </c>
      <c r="R2509" s="112" t="n">
        <v>65</v>
      </c>
      <c r="S2509" s="112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D2510" t="inlineStr"/>
      <c r="E2510" t="inlineStr">
        <is>
          <t>EQ</t>
        </is>
      </c>
      <c r="F2510" t="inlineStr"/>
      <c r="G2510" s="126" t="inlineStr"/>
      <c r="H2510" s="125" t="n">
        <v>46138</v>
      </c>
      <c r="I2510" t="inlineStr"/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N2510" t="inlineStr"/>
      <c r="O2510" t="inlineStr">
        <is>
          <t>TR425</t>
        </is>
      </c>
      <c r="P2510" t="inlineStr"/>
      <c r="Q2510" s="112" t="n">
        <v>0</v>
      </c>
      <c r="R2510" s="112" t="n">
        <v>65</v>
      </c>
      <c r="S2510" s="112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D2511" t="inlineStr"/>
      <c r="E2511" t="inlineStr">
        <is>
          <t>EQ</t>
        </is>
      </c>
      <c r="F2511" t="inlineStr"/>
      <c r="G2511" s="126" t="inlineStr"/>
      <c r="H2511" s="125" t="n">
        <v>46138</v>
      </c>
      <c r="I2511" t="inlineStr"/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N2511" t="inlineStr"/>
      <c r="O2511" t="inlineStr">
        <is>
          <t>TR428</t>
        </is>
      </c>
      <c r="P2511" t="inlineStr"/>
      <c r="Q2511" s="112" t="n">
        <v>0</v>
      </c>
      <c r="R2511" s="112" t="n">
        <v>15</v>
      </c>
      <c r="S2511" s="112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D2512" t="inlineStr"/>
      <c r="E2512" t="inlineStr">
        <is>
          <t>EQ</t>
        </is>
      </c>
      <c r="F2512" t="inlineStr"/>
      <c r="G2512" s="126" t="inlineStr"/>
      <c r="H2512" s="125" t="n">
        <v>46138</v>
      </c>
      <c r="I2512" t="inlineStr"/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N2512" t="inlineStr"/>
      <c r="O2512" t="inlineStr">
        <is>
          <t>TR428</t>
        </is>
      </c>
      <c r="P2512" t="inlineStr"/>
      <c r="Q2512" s="112" t="n">
        <v>0</v>
      </c>
      <c r="R2512" s="112" t="n">
        <v>15</v>
      </c>
      <c r="S2512" s="112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D2513" t="inlineStr"/>
      <c r="E2513" t="inlineStr">
        <is>
          <t>EQ</t>
        </is>
      </c>
      <c r="F2513" t="inlineStr"/>
      <c r="G2513" s="126" t="inlineStr"/>
      <c r="H2513" s="125" t="n">
        <v>46138</v>
      </c>
      <c r="I2513" t="inlineStr"/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N2513" t="inlineStr"/>
      <c r="O2513" t="inlineStr">
        <is>
          <t>TR428</t>
        </is>
      </c>
      <c r="P2513" t="inlineStr"/>
      <c r="Q2513" s="112" t="n">
        <v>0</v>
      </c>
      <c r="R2513" s="112" t="n">
        <v>15</v>
      </c>
      <c r="S2513" s="112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D2514" t="inlineStr"/>
      <c r="E2514" t="inlineStr">
        <is>
          <t>EQ</t>
        </is>
      </c>
      <c r="F2514" t="inlineStr"/>
      <c r="G2514" s="126" t="inlineStr"/>
      <c r="H2514" s="125" t="n">
        <v>46138</v>
      </c>
      <c r="I2514" t="inlineStr"/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N2514" t="inlineStr"/>
      <c r="O2514" t="inlineStr">
        <is>
          <t>TR145</t>
        </is>
      </c>
      <c r="P2514" t="inlineStr"/>
      <c r="Q2514" s="112" t="n">
        <v>0</v>
      </c>
      <c r="R2514" s="112" t="n">
        <v>65</v>
      </c>
      <c r="S2514" s="112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D2515" t="inlineStr"/>
      <c r="E2515" t="inlineStr">
        <is>
          <t>EQ</t>
        </is>
      </c>
      <c r="F2515" t="inlineStr"/>
      <c r="G2515" s="126" t="inlineStr"/>
      <c r="H2515" s="125" t="n">
        <v>46138</v>
      </c>
      <c r="I2515" t="inlineStr"/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N2515" t="inlineStr"/>
      <c r="O2515" t="inlineStr">
        <is>
          <t>TR145</t>
        </is>
      </c>
      <c r="P2515" t="inlineStr"/>
      <c r="Q2515" s="112" t="n">
        <v>0</v>
      </c>
      <c r="R2515" s="112" t="n">
        <v>65</v>
      </c>
      <c r="S2515" s="112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D2516" t="inlineStr"/>
      <c r="E2516" t="inlineStr">
        <is>
          <t>EQ</t>
        </is>
      </c>
      <c r="F2516" t="inlineStr"/>
      <c r="G2516" s="126" t="inlineStr"/>
      <c r="H2516" s="125" t="n">
        <v>46138</v>
      </c>
      <c r="I2516" t="inlineStr"/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N2516" t="inlineStr"/>
      <c r="O2516" t="inlineStr">
        <is>
          <t>TR145</t>
        </is>
      </c>
      <c r="P2516" t="inlineStr"/>
      <c r="Q2516" s="112" t="n">
        <v>0</v>
      </c>
      <c r="R2516" s="112" t="n">
        <v>65</v>
      </c>
      <c r="S2516" s="112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D2517" t="inlineStr"/>
      <c r="E2517" t="inlineStr">
        <is>
          <t>EQ</t>
        </is>
      </c>
      <c r="F2517" t="inlineStr"/>
      <c r="G2517" s="126" t="inlineStr"/>
      <c r="H2517" s="125" t="n">
        <v>46138</v>
      </c>
      <c r="I2517" t="inlineStr"/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N2517" t="inlineStr"/>
      <c r="O2517" t="inlineStr">
        <is>
          <t>TR260</t>
        </is>
      </c>
      <c r="P2517" t="inlineStr"/>
      <c r="Q2517" s="112" t="n">
        <v>0</v>
      </c>
      <c r="R2517" s="112" t="n">
        <v>75</v>
      </c>
      <c r="S2517" s="112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D2518" t="inlineStr"/>
      <c r="E2518" t="inlineStr">
        <is>
          <t>EQ</t>
        </is>
      </c>
      <c r="F2518" t="inlineStr"/>
      <c r="G2518" s="126" t="inlineStr"/>
      <c r="H2518" s="125" t="n">
        <v>46138</v>
      </c>
      <c r="I2518" t="inlineStr"/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N2518" t="inlineStr"/>
      <c r="O2518" t="inlineStr">
        <is>
          <t>TR260</t>
        </is>
      </c>
      <c r="P2518" t="inlineStr"/>
      <c r="Q2518" s="112" t="n">
        <v>0</v>
      </c>
      <c r="R2518" s="112" t="n">
        <v>75</v>
      </c>
      <c r="S2518" s="112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D2519" t="inlineStr"/>
      <c r="E2519" t="inlineStr">
        <is>
          <t>EQ</t>
        </is>
      </c>
      <c r="F2519" t="inlineStr"/>
      <c r="G2519" s="126" t="inlineStr"/>
      <c r="H2519" s="125" t="n">
        <v>46138</v>
      </c>
      <c r="I2519" t="inlineStr"/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N2519" t="inlineStr"/>
      <c r="O2519" t="inlineStr">
        <is>
          <t>TR260</t>
        </is>
      </c>
      <c r="P2519" t="inlineStr"/>
      <c r="Q2519" s="112" t="n">
        <v>0</v>
      </c>
      <c r="R2519" s="112" t="n">
        <v>75</v>
      </c>
      <c r="S2519" s="112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D2520" t="inlineStr"/>
      <c r="E2520" t="inlineStr">
        <is>
          <t>EQ</t>
        </is>
      </c>
      <c r="F2520" t="inlineStr"/>
      <c r="G2520" s="126" t="inlineStr"/>
      <c r="H2520" s="125" t="n">
        <v>46138</v>
      </c>
      <c r="I2520" t="inlineStr"/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N2520" t="inlineStr"/>
      <c r="O2520" t="inlineStr">
        <is>
          <t>RT1479</t>
        </is>
      </c>
      <c r="P2520" t="inlineStr"/>
      <c r="Q2520" s="112" t="n">
        <v>0</v>
      </c>
      <c r="R2520" s="112" t="n">
        <v>79.14</v>
      </c>
      <c r="S2520" s="112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D2521" t="inlineStr"/>
      <c r="E2521" t="inlineStr">
        <is>
          <t>EQ</t>
        </is>
      </c>
      <c r="F2521" t="inlineStr"/>
      <c r="G2521" s="126" t="inlineStr"/>
      <c r="H2521" s="125" t="n">
        <v>46138</v>
      </c>
      <c r="I2521" t="inlineStr"/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N2521" t="inlineStr"/>
      <c r="O2521" t="inlineStr">
        <is>
          <t>RT1479</t>
        </is>
      </c>
      <c r="P2521" t="inlineStr"/>
      <c r="Q2521" s="112" t="n">
        <v>0</v>
      </c>
      <c r="R2521" s="112" t="n">
        <v>79.14</v>
      </c>
      <c r="S2521" s="112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D2522" t="inlineStr"/>
      <c r="E2522" t="inlineStr">
        <is>
          <t>EQ</t>
        </is>
      </c>
      <c r="F2522" t="inlineStr"/>
      <c r="G2522" s="126" t="inlineStr"/>
      <c r="H2522" s="125" t="n">
        <v>46138</v>
      </c>
      <c r="I2522" t="inlineStr"/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N2522" t="inlineStr"/>
      <c r="O2522" t="inlineStr">
        <is>
          <t>RT1479</t>
        </is>
      </c>
      <c r="P2522" t="inlineStr"/>
      <c r="Q2522" s="112" t="n">
        <v>0</v>
      </c>
      <c r="R2522" s="112" t="n">
        <v>79.14</v>
      </c>
      <c r="S2522" s="112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D2523" t="inlineStr"/>
      <c r="E2523" t="inlineStr">
        <is>
          <t>EQ</t>
        </is>
      </c>
      <c r="F2523" t="inlineStr"/>
      <c r="G2523" s="126" t="inlineStr"/>
      <c r="H2523" s="125" t="n">
        <v>46138</v>
      </c>
      <c r="I2523" t="inlineStr"/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N2523" t="inlineStr"/>
      <c r="O2523" t="inlineStr">
        <is>
          <t>TR154</t>
        </is>
      </c>
      <c r="P2523" t="inlineStr"/>
      <c r="Q2523" s="112" t="n">
        <v>0</v>
      </c>
      <c r="R2523" s="112" t="n">
        <v>15</v>
      </c>
      <c r="S2523" s="112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D2524" t="inlineStr"/>
      <c r="E2524" t="inlineStr">
        <is>
          <t>EQ</t>
        </is>
      </c>
      <c r="F2524" t="inlineStr"/>
      <c r="G2524" s="126" t="inlineStr"/>
      <c r="H2524" s="125" t="n">
        <v>46138</v>
      </c>
      <c r="I2524" t="inlineStr"/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N2524" t="inlineStr"/>
      <c r="O2524" t="inlineStr">
        <is>
          <t>TR154</t>
        </is>
      </c>
      <c r="P2524" t="inlineStr"/>
      <c r="Q2524" s="112" t="n">
        <v>0</v>
      </c>
      <c r="R2524" s="112" t="n">
        <v>15</v>
      </c>
      <c r="S2524" s="112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D2525" t="inlineStr"/>
      <c r="E2525" t="inlineStr">
        <is>
          <t>EQ</t>
        </is>
      </c>
      <c r="F2525" t="inlineStr"/>
      <c r="G2525" s="126" t="inlineStr"/>
      <c r="H2525" s="125" t="n">
        <v>46138</v>
      </c>
      <c r="I2525" t="inlineStr"/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N2525" t="inlineStr"/>
      <c r="O2525" t="inlineStr">
        <is>
          <t>TR154</t>
        </is>
      </c>
      <c r="P2525" t="inlineStr"/>
      <c r="Q2525" s="112" t="n">
        <v>0</v>
      </c>
      <c r="R2525" s="112" t="n">
        <v>15</v>
      </c>
      <c r="S2525" s="112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D2526" t="inlineStr"/>
      <c r="E2526" t="inlineStr">
        <is>
          <t>EQ</t>
        </is>
      </c>
      <c r="F2526" t="inlineStr"/>
      <c r="G2526" s="126" t="inlineStr"/>
      <c r="H2526" s="125" t="n">
        <v>46138</v>
      </c>
      <c r="I2526" t="inlineStr"/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N2526" t="inlineStr"/>
      <c r="O2526" t="inlineStr">
        <is>
          <t>TR280</t>
        </is>
      </c>
      <c r="P2526" t="inlineStr"/>
      <c r="Q2526" s="112" t="n">
        <v>0</v>
      </c>
      <c r="R2526" s="112" t="n">
        <v>15</v>
      </c>
      <c r="S2526" s="112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D2527" t="inlineStr"/>
      <c r="E2527" t="inlineStr">
        <is>
          <t>EQ</t>
        </is>
      </c>
      <c r="F2527" t="inlineStr"/>
      <c r="G2527" s="126" t="inlineStr"/>
      <c r="H2527" s="125" t="n">
        <v>46138</v>
      </c>
      <c r="I2527" t="inlineStr"/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N2527" t="inlineStr"/>
      <c r="O2527" t="inlineStr">
        <is>
          <t>TR280</t>
        </is>
      </c>
      <c r="P2527" t="inlineStr"/>
      <c r="Q2527" s="112" t="n">
        <v>0</v>
      </c>
      <c r="R2527" s="112" t="n">
        <v>15</v>
      </c>
      <c r="S2527" s="112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D2528" t="inlineStr"/>
      <c r="E2528" t="inlineStr">
        <is>
          <t>EQ</t>
        </is>
      </c>
      <c r="F2528" t="inlineStr"/>
      <c r="G2528" s="126" t="inlineStr"/>
      <c r="H2528" s="125" t="n">
        <v>46138</v>
      </c>
      <c r="I2528" t="inlineStr"/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N2528" t="inlineStr"/>
      <c r="O2528" t="inlineStr">
        <is>
          <t>TR280</t>
        </is>
      </c>
      <c r="P2528" t="inlineStr"/>
      <c r="Q2528" s="112" t="n">
        <v>0</v>
      </c>
      <c r="R2528" s="112" t="n">
        <v>15</v>
      </c>
      <c r="S2528" s="112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D2529" t="inlineStr"/>
      <c r="E2529" t="inlineStr">
        <is>
          <t>EQ</t>
        </is>
      </c>
      <c r="F2529" t="inlineStr"/>
      <c r="G2529" s="126" t="inlineStr"/>
      <c r="H2529" s="125" t="n">
        <v>46138</v>
      </c>
      <c r="I2529" t="inlineStr"/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N2529" t="inlineStr"/>
      <c r="O2529" t="inlineStr">
        <is>
          <t>WHV001</t>
        </is>
      </c>
      <c r="P2529" t="inlineStr"/>
      <c r="Q2529" s="112" t="n">
        <v>0</v>
      </c>
      <c r="R2529" s="112" t="n">
        <v>250</v>
      </c>
      <c r="S2529" s="112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D2530" t="inlineStr"/>
      <c r="E2530" t="inlineStr">
        <is>
          <t>EQ</t>
        </is>
      </c>
      <c r="F2530" t="inlineStr"/>
      <c r="G2530" s="126" t="inlineStr"/>
      <c r="H2530" s="125" t="n">
        <v>46138</v>
      </c>
      <c r="I2530" t="inlineStr"/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N2530" t="inlineStr"/>
      <c r="O2530" t="inlineStr">
        <is>
          <t>WHV001</t>
        </is>
      </c>
      <c r="P2530" t="inlineStr"/>
      <c r="Q2530" s="112" t="n">
        <v>0</v>
      </c>
      <c r="R2530" s="112" t="n">
        <v>250</v>
      </c>
      <c r="S2530" s="112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D2531" t="inlineStr"/>
      <c r="E2531" t="inlineStr">
        <is>
          <t>EQ</t>
        </is>
      </c>
      <c r="F2531" t="inlineStr"/>
      <c r="G2531" s="126" t="inlineStr"/>
      <c r="H2531" s="125" t="n">
        <v>46138</v>
      </c>
      <c r="I2531" t="inlineStr"/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N2531" t="inlineStr"/>
      <c r="O2531" t="inlineStr">
        <is>
          <t>WHV001</t>
        </is>
      </c>
      <c r="P2531" t="inlineStr"/>
      <c r="Q2531" s="112" t="n">
        <v>0</v>
      </c>
      <c r="R2531" s="112" t="n">
        <v>250</v>
      </c>
      <c r="S2531" s="112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D2532" t="inlineStr"/>
      <c r="E2532" t="inlineStr">
        <is>
          <t>EQ</t>
        </is>
      </c>
      <c r="F2532" t="inlineStr"/>
      <c r="G2532" s="126" t="inlineStr"/>
      <c r="H2532" s="125" t="n">
        <v>46138</v>
      </c>
      <c r="I2532" t="inlineStr"/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N2532" t="inlineStr"/>
      <c r="O2532" t="inlineStr">
        <is>
          <t>TR473</t>
        </is>
      </c>
      <c r="P2532" t="inlineStr"/>
      <c r="Q2532" s="112" t="n">
        <v>0</v>
      </c>
      <c r="R2532" s="112" t="n">
        <v>0</v>
      </c>
      <c r="S2532" s="112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D2533" t="inlineStr"/>
      <c r="E2533" t="inlineStr">
        <is>
          <t>EQ</t>
        </is>
      </c>
      <c r="F2533" t="inlineStr"/>
      <c r="G2533" s="126" t="inlineStr"/>
      <c r="H2533" s="125" t="n">
        <v>46138</v>
      </c>
      <c r="I2533" t="inlineStr"/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N2533" t="inlineStr"/>
      <c r="O2533" t="inlineStr">
        <is>
          <t>TR473</t>
        </is>
      </c>
      <c r="P2533" t="inlineStr"/>
      <c r="Q2533" s="112" t="n">
        <v>0</v>
      </c>
      <c r="R2533" s="112" t="n">
        <v>0</v>
      </c>
      <c r="S2533" s="112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D2534" t="inlineStr"/>
      <c r="E2534" t="inlineStr">
        <is>
          <t>EQ</t>
        </is>
      </c>
      <c r="F2534" t="inlineStr"/>
      <c r="G2534" s="126" t="inlineStr"/>
      <c r="H2534" s="125" t="n">
        <v>46138</v>
      </c>
      <c r="I2534" t="inlineStr"/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N2534" t="inlineStr"/>
      <c r="O2534" t="inlineStr">
        <is>
          <t>TR473</t>
        </is>
      </c>
      <c r="P2534" t="inlineStr"/>
      <c r="Q2534" s="112" t="n">
        <v>0</v>
      </c>
      <c r="R2534" s="112" t="n">
        <v>0</v>
      </c>
      <c r="S2534" s="112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D2535" t="inlineStr"/>
      <c r="E2535" t="inlineStr">
        <is>
          <t>EQ</t>
        </is>
      </c>
      <c r="F2535" t="inlineStr"/>
      <c r="G2535" s="126" t="inlineStr"/>
      <c r="H2535" s="125" t="n">
        <v>46138</v>
      </c>
      <c r="I2535" t="inlineStr"/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N2535" t="inlineStr"/>
      <c r="O2535" t="inlineStr">
        <is>
          <t>TR461</t>
        </is>
      </c>
      <c r="P2535" t="inlineStr"/>
      <c r="Q2535" s="112" t="n">
        <v>0</v>
      </c>
      <c r="R2535" s="112" t="n">
        <v>65</v>
      </c>
      <c r="S2535" s="112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D2536" t="inlineStr"/>
      <c r="E2536" t="inlineStr">
        <is>
          <t>EQ</t>
        </is>
      </c>
      <c r="F2536" t="inlineStr"/>
      <c r="G2536" s="126" t="inlineStr"/>
      <c r="H2536" s="125" t="n">
        <v>46138</v>
      </c>
      <c r="I2536" t="inlineStr"/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N2536" t="inlineStr"/>
      <c r="O2536" t="inlineStr">
        <is>
          <t>TR461</t>
        </is>
      </c>
      <c r="P2536" t="inlineStr"/>
      <c r="Q2536" s="112" t="n">
        <v>0</v>
      </c>
      <c r="R2536" s="112" t="n">
        <v>65</v>
      </c>
      <c r="S2536" s="112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D2537" t="inlineStr"/>
      <c r="E2537" t="inlineStr">
        <is>
          <t>EQ</t>
        </is>
      </c>
      <c r="F2537" t="inlineStr"/>
      <c r="G2537" s="126" t="inlineStr"/>
      <c r="H2537" s="125" t="n">
        <v>46138</v>
      </c>
      <c r="I2537" t="inlineStr"/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N2537" t="inlineStr"/>
      <c r="O2537" t="inlineStr">
        <is>
          <t>TR461</t>
        </is>
      </c>
      <c r="P2537" t="inlineStr"/>
      <c r="Q2537" s="112" t="n">
        <v>0</v>
      </c>
      <c r="R2537" s="112" t="n">
        <v>65</v>
      </c>
      <c r="S2537" s="112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D2538" t="inlineStr"/>
      <c r="E2538" t="inlineStr">
        <is>
          <t>EQ</t>
        </is>
      </c>
      <c r="F2538" t="inlineStr"/>
      <c r="G2538" s="126" t="inlineStr"/>
      <c r="H2538" s="125" t="n">
        <v>46138</v>
      </c>
      <c r="I2538" t="inlineStr"/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N2538" t="inlineStr"/>
      <c r="O2538" t="inlineStr">
        <is>
          <t>TR462</t>
        </is>
      </c>
      <c r="P2538" t="inlineStr"/>
      <c r="Q2538" s="112" t="n">
        <v>0</v>
      </c>
      <c r="R2538" s="112" t="n">
        <v>65</v>
      </c>
      <c r="S2538" s="112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D2539" t="inlineStr"/>
      <c r="E2539" t="inlineStr">
        <is>
          <t>EQ</t>
        </is>
      </c>
      <c r="F2539" t="inlineStr"/>
      <c r="G2539" s="126" t="inlineStr"/>
      <c r="H2539" s="125" t="n">
        <v>46138</v>
      </c>
      <c r="I2539" t="inlineStr"/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N2539" t="inlineStr"/>
      <c r="O2539" t="inlineStr">
        <is>
          <t>TR462</t>
        </is>
      </c>
      <c r="P2539" t="inlineStr"/>
      <c r="Q2539" s="112" t="n">
        <v>0</v>
      </c>
      <c r="R2539" s="112" t="n">
        <v>65</v>
      </c>
      <c r="S2539" s="112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D2540" t="inlineStr"/>
      <c r="E2540" t="inlineStr">
        <is>
          <t>EQ</t>
        </is>
      </c>
      <c r="F2540" t="inlineStr"/>
      <c r="G2540" s="126" t="inlineStr"/>
      <c r="H2540" s="125" t="n">
        <v>46138</v>
      </c>
      <c r="I2540" t="inlineStr"/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N2540" t="inlineStr"/>
      <c r="O2540" t="inlineStr">
        <is>
          <t>TR462</t>
        </is>
      </c>
      <c r="P2540" t="inlineStr"/>
      <c r="Q2540" s="112" t="n">
        <v>0</v>
      </c>
      <c r="R2540" s="112" t="n">
        <v>65</v>
      </c>
      <c r="S2540" s="112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D2541" t="inlineStr"/>
      <c r="E2541" t="inlineStr">
        <is>
          <t>EQ</t>
        </is>
      </c>
      <c r="F2541" t="inlineStr"/>
      <c r="G2541" s="126" t="inlineStr"/>
      <c r="H2541" s="125" t="n">
        <v>46138</v>
      </c>
      <c r="I2541" t="inlineStr"/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N2541" t="inlineStr"/>
      <c r="O2541" t="inlineStr">
        <is>
          <t>TR463</t>
        </is>
      </c>
      <c r="P2541" t="inlineStr"/>
      <c r="Q2541" s="112" t="n">
        <v>0</v>
      </c>
      <c r="R2541" s="112" t="n">
        <v>65</v>
      </c>
      <c r="S2541" s="112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D2542" t="inlineStr"/>
      <c r="E2542" t="inlineStr">
        <is>
          <t>EQ</t>
        </is>
      </c>
      <c r="F2542" t="inlineStr"/>
      <c r="G2542" s="126" t="inlineStr"/>
      <c r="H2542" s="125" t="n">
        <v>46138</v>
      </c>
      <c r="I2542" t="inlineStr"/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N2542" t="inlineStr"/>
      <c r="O2542" t="inlineStr">
        <is>
          <t>TR463</t>
        </is>
      </c>
      <c r="P2542" t="inlineStr"/>
      <c r="Q2542" s="112" t="n">
        <v>0</v>
      </c>
      <c r="R2542" s="112" t="n">
        <v>65</v>
      </c>
      <c r="S2542" s="112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D2543" t="inlineStr"/>
      <c r="E2543" t="inlineStr">
        <is>
          <t>EQ</t>
        </is>
      </c>
      <c r="F2543" t="inlineStr"/>
      <c r="G2543" s="126" t="inlineStr"/>
      <c r="H2543" s="125" t="n">
        <v>46138</v>
      </c>
      <c r="I2543" t="inlineStr"/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N2543" t="inlineStr"/>
      <c r="O2543" t="inlineStr">
        <is>
          <t>TR463</t>
        </is>
      </c>
      <c r="P2543" t="inlineStr"/>
      <c r="Q2543" s="112" t="n">
        <v>0</v>
      </c>
      <c r="R2543" s="112" t="n">
        <v>65</v>
      </c>
      <c r="S2543" s="112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D2544" t="inlineStr"/>
      <c r="E2544" t="inlineStr">
        <is>
          <t>EQ</t>
        </is>
      </c>
      <c r="F2544" t="inlineStr"/>
      <c r="G2544" s="126" t="inlineStr"/>
      <c r="H2544" s="125" t="n">
        <v>46138</v>
      </c>
      <c r="I2544" t="inlineStr"/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N2544" t="inlineStr"/>
      <c r="O2544" t="inlineStr">
        <is>
          <t>TR464</t>
        </is>
      </c>
      <c r="P2544" t="inlineStr"/>
      <c r="Q2544" s="112" t="n">
        <v>0</v>
      </c>
      <c r="R2544" s="112" t="n">
        <v>65</v>
      </c>
      <c r="S2544" s="112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D2545" t="inlineStr"/>
      <c r="E2545" t="inlineStr">
        <is>
          <t>EQ</t>
        </is>
      </c>
      <c r="F2545" t="inlineStr"/>
      <c r="G2545" s="126" t="inlineStr"/>
      <c r="H2545" s="125" t="n">
        <v>46138</v>
      </c>
      <c r="I2545" t="inlineStr"/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N2545" t="inlineStr"/>
      <c r="O2545" t="inlineStr">
        <is>
          <t>TR464</t>
        </is>
      </c>
      <c r="P2545" t="inlineStr"/>
      <c r="Q2545" s="112" t="n">
        <v>0</v>
      </c>
      <c r="R2545" s="112" t="n">
        <v>65</v>
      </c>
      <c r="S2545" s="112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D2546" t="inlineStr"/>
      <c r="E2546" t="inlineStr">
        <is>
          <t>EQ</t>
        </is>
      </c>
      <c r="F2546" t="inlineStr"/>
      <c r="G2546" s="126" t="inlineStr"/>
      <c r="H2546" s="125" t="n">
        <v>46138</v>
      </c>
      <c r="I2546" t="inlineStr"/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N2546" t="inlineStr"/>
      <c r="O2546" t="inlineStr">
        <is>
          <t>TR464</t>
        </is>
      </c>
      <c r="P2546" t="inlineStr"/>
      <c r="Q2546" s="112" t="n">
        <v>0</v>
      </c>
      <c r="R2546" s="112" t="n">
        <v>65</v>
      </c>
      <c r="S2546" s="112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D2547" t="inlineStr"/>
      <c r="E2547" t="inlineStr">
        <is>
          <t>EQ</t>
        </is>
      </c>
      <c r="F2547" t="inlineStr"/>
      <c r="G2547" s="126" t="inlineStr"/>
      <c r="H2547" s="125" t="n">
        <v>46138</v>
      </c>
      <c r="I2547" t="inlineStr"/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N2547" t="inlineStr"/>
      <c r="O2547" t="inlineStr">
        <is>
          <t>TR456</t>
        </is>
      </c>
      <c r="P2547" t="inlineStr"/>
      <c r="Q2547" s="112" t="n">
        <v>0</v>
      </c>
      <c r="R2547" s="112" t="n">
        <v>65</v>
      </c>
      <c r="S2547" s="112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D2548" t="inlineStr"/>
      <c r="E2548" t="inlineStr">
        <is>
          <t>EQ</t>
        </is>
      </c>
      <c r="F2548" t="inlineStr"/>
      <c r="G2548" s="126" t="inlineStr"/>
      <c r="H2548" s="125" t="n">
        <v>46138</v>
      </c>
      <c r="I2548" t="inlineStr"/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N2548" t="inlineStr"/>
      <c r="O2548" t="inlineStr">
        <is>
          <t>TR456</t>
        </is>
      </c>
      <c r="P2548" t="inlineStr"/>
      <c r="Q2548" s="112" t="n">
        <v>0</v>
      </c>
      <c r="R2548" s="112" t="n">
        <v>65</v>
      </c>
      <c r="S2548" s="112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D2549" t="inlineStr"/>
      <c r="E2549" t="inlineStr">
        <is>
          <t>EQ</t>
        </is>
      </c>
      <c r="F2549" t="inlineStr"/>
      <c r="G2549" s="126" t="inlineStr"/>
      <c r="H2549" s="125" t="n">
        <v>46138</v>
      </c>
      <c r="I2549" t="inlineStr"/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N2549" t="inlineStr"/>
      <c r="O2549" t="inlineStr">
        <is>
          <t>TR456</t>
        </is>
      </c>
      <c r="P2549" t="inlineStr"/>
      <c r="Q2549" s="112" t="n">
        <v>0</v>
      </c>
      <c r="R2549" s="112" t="n">
        <v>65</v>
      </c>
      <c r="S2549" s="112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D2550" t="inlineStr"/>
      <c r="E2550" t="inlineStr">
        <is>
          <t>EQ</t>
        </is>
      </c>
      <c r="F2550" t="inlineStr"/>
      <c r="G2550" s="126" t="inlineStr"/>
      <c r="H2550" s="125" t="n">
        <v>46138</v>
      </c>
      <c r="I2550" t="inlineStr"/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N2550" t="inlineStr"/>
      <c r="O2550" t="inlineStr">
        <is>
          <t>WTL002</t>
        </is>
      </c>
      <c r="P2550" t="inlineStr"/>
      <c r="Q2550" s="112" t="n">
        <v>0</v>
      </c>
      <c r="R2550" s="112" t="n">
        <v>55</v>
      </c>
      <c r="S2550" s="112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D2551" t="inlineStr"/>
      <c r="E2551" t="inlineStr">
        <is>
          <t>EQ</t>
        </is>
      </c>
      <c r="F2551" t="inlineStr"/>
      <c r="G2551" s="126" t="inlineStr"/>
      <c r="H2551" s="125" t="n">
        <v>46138</v>
      </c>
      <c r="I2551" t="inlineStr"/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N2551" t="inlineStr"/>
      <c r="O2551" t="inlineStr">
        <is>
          <t>WTL002</t>
        </is>
      </c>
      <c r="P2551" t="inlineStr"/>
      <c r="Q2551" s="112" t="n">
        <v>0</v>
      </c>
      <c r="R2551" s="112" t="n">
        <v>55</v>
      </c>
      <c r="S2551" s="112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D2552" t="inlineStr"/>
      <c r="E2552" t="inlineStr">
        <is>
          <t>EQ</t>
        </is>
      </c>
      <c r="F2552" t="inlineStr"/>
      <c r="G2552" s="126" t="inlineStr"/>
      <c r="H2552" s="125" t="n">
        <v>46138</v>
      </c>
      <c r="I2552" t="inlineStr"/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N2552" t="inlineStr"/>
      <c r="O2552" t="inlineStr">
        <is>
          <t>WTL002</t>
        </is>
      </c>
      <c r="P2552" t="inlineStr"/>
      <c r="Q2552" s="112" t="n">
        <v>0</v>
      </c>
      <c r="R2552" s="112" t="n">
        <v>55</v>
      </c>
      <c r="S2552" s="112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D2553" t="inlineStr"/>
      <c r="E2553" t="inlineStr">
        <is>
          <t>EQ</t>
        </is>
      </c>
      <c r="F2553" t="inlineStr"/>
      <c r="G2553" s="126" t="inlineStr"/>
      <c r="H2553" s="125" t="n">
        <v>46166</v>
      </c>
      <c r="I2553" t="inlineStr"/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N2553" t="inlineStr"/>
      <c r="O2553" t="inlineStr">
        <is>
          <t>BH235</t>
        </is>
      </c>
      <c r="P2553" t="inlineStr"/>
      <c r="Q2553" s="112" t="n">
        <v>0</v>
      </c>
      <c r="R2553" s="112" t="n">
        <v>125</v>
      </c>
      <c r="S2553" s="112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D2554" t="inlineStr"/>
      <c r="E2554" t="inlineStr">
        <is>
          <t>EQ</t>
        </is>
      </c>
      <c r="F2554" t="inlineStr"/>
      <c r="G2554" s="126" t="inlineStr"/>
      <c r="H2554" s="125" t="n">
        <v>46166</v>
      </c>
      <c r="I2554" t="inlineStr"/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N2554" t="inlineStr"/>
      <c r="O2554" t="inlineStr">
        <is>
          <t>FE017</t>
        </is>
      </c>
      <c r="P2554" t="inlineStr"/>
      <c r="Q2554" s="112" t="n">
        <v>0</v>
      </c>
      <c r="R2554" s="112" t="n">
        <v>0</v>
      </c>
      <c r="S2554" s="112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D2555" t="inlineStr"/>
      <c r="E2555" t="inlineStr">
        <is>
          <t>EQ</t>
        </is>
      </c>
      <c r="F2555" t="inlineStr"/>
      <c r="G2555" s="126" t="inlineStr"/>
      <c r="H2555" s="125" t="n">
        <v>46166</v>
      </c>
      <c r="I2555" t="inlineStr"/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N2555" t="inlineStr"/>
      <c r="O2555" t="inlineStr">
        <is>
          <t>FE017</t>
        </is>
      </c>
      <c r="P2555" t="inlineStr"/>
      <c r="Q2555" s="112" t="n">
        <v>0</v>
      </c>
      <c r="R2555" s="112" t="n">
        <v>0</v>
      </c>
      <c r="S2555" s="112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D2556" t="inlineStr"/>
      <c r="E2556" t="inlineStr">
        <is>
          <t>EQ</t>
        </is>
      </c>
      <c r="F2556" t="inlineStr"/>
      <c r="G2556" s="126" t="inlineStr"/>
      <c r="H2556" s="125" t="n">
        <v>46166</v>
      </c>
      <c r="I2556" t="inlineStr"/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N2556" t="inlineStr"/>
      <c r="O2556" t="inlineStr">
        <is>
          <t>FE017</t>
        </is>
      </c>
      <c r="P2556" t="inlineStr"/>
      <c r="Q2556" s="112" t="n">
        <v>0</v>
      </c>
      <c r="R2556" s="112" t="n">
        <v>0</v>
      </c>
      <c r="S2556" s="112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D2557" t="inlineStr"/>
      <c r="E2557" t="inlineStr">
        <is>
          <t>EQ</t>
        </is>
      </c>
      <c r="F2557" t="inlineStr"/>
      <c r="G2557" s="126" t="inlineStr"/>
      <c r="H2557" s="125" t="n">
        <v>46166</v>
      </c>
      <c r="I2557" t="inlineStr"/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N2557" t="inlineStr"/>
      <c r="O2557" t="inlineStr">
        <is>
          <t>FT011</t>
        </is>
      </c>
      <c r="P2557" t="inlineStr"/>
      <c r="Q2557" s="112" t="n">
        <v>0</v>
      </c>
      <c r="R2557" s="112" t="n">
        <v>291.67</v>
      </c>
      <c r="S2557" s="112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D2558" t="inlineStr"/>
      <c r="E2558" t="inlineStr">
        <is>
          <t>EQ</t>
        </is>
      </c>
      <c r="F2558" t="inlineStr"/>
      <c r="G2558" s="126" t="inlineStr"/>
      <c r="H2558" s="125" t="n">
        <v>46166</v>
      </c>
      <c r="I2558" t="inlineStr"/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N2558" t="inlineStr"/>
      <c r="O2558" t="inlineStr">
        <is>
          <t>FT011</t>
        </is>
      </c>
      <c r="P2558" t="inlineStr"/>
      <c r="Q2558" s="112" t="n">
        <v>0</v>
      </c>
      <c r="R2558" s="112" t="n">
        <v>291.67</v>
      </c>
      <c r="S2558" s="112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D2559" t="inlineStr"/>
      <c r="E2559" t="inlineStr">
        <is>
          <t>EQ</t>
        </is>
      </c>
      <c r="F2559" t="inlineStr"/>
      <c r="G2559" s="126" t="inlineStr"/>
      <c r="H2559" s="125" t="n">
        <v>46166</v>
      </c>
      <c r="I2559" t="inlineStr"/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N2559" t="inlineStr"/>
      <c r="O2559" t="inlineStr">
        <is>
          <t>FT011</t>
        </is>
      </c>
      <c r="P2559" t="inlineStr"/>
      <c r="Q2559" s="112" t="n">
        <v>0</v>
      </c>
      <c r="R2559" s="112" t="n">
        <v>291.67</v>
      </c>
      <c r="S2559" s="112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D2560" t="inlineStr"/>
      <c r="E2560" t="inlineStr">
        <is>
          <t>EQ</t>
        </is>
      </c>
      <c r="F2560" t="inlineStr"/>
      <c r="G2560" s="126" t="inlineStr"/>
      <c r="H2560" s="125" t="n">
        <v>46166</v>
      </c>
      <c r="I2560" t="inlineStr"/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N2560" t="inlineStr"/>
      <c r="O2560" t="inlineStr">
        <is>
          <t>WLD146</t>
        </is>
      </c>
      <c r="P2560" t="inlineStr"/>
      <c r="Q2560" s="112" t="n">
        <v>0</v>
      </c>
      <c r="R2560" s="112" t="n">
        <v>50</v>
      </c>
      <c r="S2560" s="112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D2561" t="inlineStr"/>
      <c r="E2561" t="inlineStr">
        <is>
          <t>EQ</t>
        </is>
      </c>
      <c r="F2561" t="inlineStr"/>
      <c r="G2561" s="126" t="inlineStr"/>
      <c r="H2561" s="125" t="n">
        <v>46166</v>
      </c>
      <c r="I2561" t="inlineStr"/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N2561" t="inlineStr"/>
      <c r="O2561" t="inlineStr">
        <is>
          <t>WLD146</t>
        </is>
      </c>
      <c r="P2561" t="inlineStr"/>
      <c r="Q2561" s="112" t="n">
        <v>0</v>
      </c>
      <c r="R2561" s="112" t="n">
        <v>50</v>
      </c>
      <c r="S2561" s="112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D2562" t="inlineStr"/>
      <c r="E2562" t="inlineStr">
        <is>
          <t>EQ</t>
        </is>
      </c>
      <c r="F2562" t="inlineStr"/>
      <c r="G2562" s="126" t="inlineStr"/>
      <c r="H2562" s="125" t="n">
        <v>46166</v>
      </c>
      <c r="I2562" t="inlineStr"/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N2562" t="inlineStr"/>
      <c r="O2562" t="inlineStr">
        <is>
          <t>WLD146</t>
        </is>
      </c>
      <c r="P2562" t="inlineStr"/>
      <c r="Q2562" s="112" t="n">
        <v>0</v>
      </c>
      <c r="R2562" s="112" t="n">
        <v>50</v>
      </c>
      <c r="S2562" s="112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D2563" t="inlineStr"/>
      <c r="E2563" t="inlineStr">
        <is>
          <t>EQ</t>
        </is>
      </c>
      <c r="F2563" t="inlineStr"/>
      <c r="G2563" s="126" t="inlineStr"/>
      <c r="H2563" s="125" t="n">
        <v>46166</v>
      </c>
      <c r="I2563" t="inlineStr"/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N2563" t="inlineStr"/>
      <c r="O2563" t="inlineStr">
        <is>
          <t>RT1447</t>
        </is>
      </c>
      <c r="P2563" t="inlineStr"/>
      <c r="Q2563" s="112" t="n">
        <v>0</v>
      </c>
      <c r="R2563" s="112" t="n">
        <v>79.14</v>
      </c>
      <c r="S2563" s="112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D2564" t="inlineStr"/>
      <c r="E2564" t="inlineStr">
        <is>
          <t>EQ</t>
        </is>
      </c>
      <c r="F2564" t="inlineStr"/>
      <c r="G2564" s="126" t="inlineStr"/>
      <c r="H2564" s="125" t="n">
        <v>46166</v>
      </c>
      <c r="I2564" t="inlineStr"/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N2564" t="inlineStr"/>
      <c r="O2564" t="inlineStr">
        <is>
          <t>RT1447</t>
        </is>
      </c>
      <c r="P2564" t="inlineStr"/>
      <c r="Q2564" s="112" t="n">
        <v>0</v>
      </c>
      <c r="R2564" s="112" t="n">
        <v>79.14</v>
      </c>
      <c r="S2564" s="112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D2565" t="inlineStr"/>
      <c r="E2565" t="inlineStr">
        <is>
          <t>EQ</t>
        </is>
      </c>
      <c r="F2565" t="inlineStr"/>
      <c r="G2565" s="126" t="inlineStr"/>
      <c r="H2565" s="125" t="n">
        <v>46166</v>
      </c>
      <c r="I2565" t="inlineStr"/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N2565" t="inlineStr"/>
      <c r="O2565" t="inlineStr">
        <is>
          <t>RT1447</t>
        </is>
      </c>
      <c r="P2565" t="inlineStr"/>
      <c r="Q2565" s="112" t="n">
        <v>0</v>
      </c>
      <c r="R2565" s="112" t="n">
        <v>79.14</v>
      </c>
      <c r="S2565" s="112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D2566" t="inlineStr"/>
      <c r="E2566" t="inlineStr">
        <is>
          <t>EQ</t>
        </is>
      </c>
      <c r="F2566" t="inlineStr"/>
      <c r="G2566" s="126" t="inlineStr"/>
      <c r="H2566" s="125" t="n">
        <v>46166</v>
      </c>
      <c r="I2566" t="inlineStr"/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N2566" t="inlineStr"/>
      <c r="O2566" t="inlineStr">
        <is>
          <t>RT1447</t>
        </is>
      </c>
      <c r="P2566" t="inlineStr"/>
      <c r="Q2566" s="112" t="n">
        <v>0</v>
      </c>
      <c r="R2566" s="112" t="n">
        <v>79.14</v>
      </c>
      <c r="S2566" s="112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D2567" t="inlineStr"/>
      <c r="E2567" t="inlineStr">
        <is>
          <t>EQ</t>
        </is>
      </c>
      <c r="F2567" t="inlineStr"/>
      <c r="G2567" s="126" t="inlineStr"/>
      <c r="H2567" s="125" t="n">
        <v>46166</v>
      </c>
      <c r="I2567" t="inlineStr"/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N2567" t="inlineStr"/>
      <c r="O2567" t="inlineStr">
        <is>
          <t>RT1385</t>
        </is>
      </c>
      <c r="P2567" t="inlineStr"/>
      <c r="Q2567" s="112" t="n">
        <v>0</v>
      </c>
      <c r="R2567" s="112" t="n">
        <v>79.14</v>
      </c>
      <c r="S2567" s="112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D2568" t="inlineStr"/>
      <c r="E2568" t="inlineStr">
        <is>
          <t>EQ</t>
        </is>
      </c>
      <c r="F2568" t="inlineStr"/>
      <c r="G2568" s="126" t="inlineStr"/>
      <c r="H2568" s="125" t="n">
        <v>46166</v>
      </c>
      <c r="I2568" t="inlineStr"/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N2568" t="inlineStr"/>
      <c r="O2568" t="inlineStr">
        <is>
          <t>RT1385</t>
        </is>
      </c>
      <c r="P2568" t="inlineStr"/>
      <c r="Q2568" s="112" t="n">
        <v>0</v>
      </c>
      <c r="R2568" s="112" t="n">
        <v>79.14</v>
      </c>
      <c r="S2568" s="112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D2569" t="inlineStr"/>
      <c r="E2569" t="inlineStr">
        <is>
          <t>EQ</t>
        </is>
      </c>
      <c r="F2569" t="inlineStr"/>
      <c r="G2569" s="126" t="inlineStr"/>
      <c r="H2569" s="125" t="n">
        <v>46166</v>
      </c>
      <c r="I2569" t="inlineStr"/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N2569" t="inlineStr"/>
      <c r="O2569" t="inlineStr">
        <is>
          <t>RT1385</t>
        </is>
      </c>
      <c r="P2569" t="inlineStr"/>
      <c r="Q2569" s="112" t="n">
        <v>0</v>
      </c>
      <c r="R2569" s="112" t="n">
        <v>79.14</v>
      </c>
      <c r="S2569" s="112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D2570" t="inlineStr"/>
      <c r="E2570" t="inlineStr">
        <is>
          <t>EQ</t>
        </is>
      </c>
      <c r="F2570" t="inlineStr"/>
      <c r="G2570" s="126" t="inlineStr"/>
      <c r="H2570" s="125" t="n">
        <v>46166</v>
      </c>
      <c r="I2570" t="inlineStr"/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N2570" t="inlineStr"/>
      <c r="O2570" t="inlineStr">
        <is>
          <t>SSAUGKIT1</t>
        </is>
      </c>
      <c r="P2570" t="inlineStr"/>
      <c r="Q2570" s="112" t="n">
        <v>0</v>
      </c>
      <c r="R2570" s="112" t="n">
        <v>35</v>
      </c>
      <c r="S2570" s="112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D2571" t="inlineStr"/>
      <c r="E2571" t="inlineStr">
        <is>
          <t>EQ</t>
        </is>
      </c>
      <c r="F2571" t="inlineStr"/>
      <c r="G2571" s="126" t="inlineStr"/>
      <c r="H2571" s="125" t="n">
        <v>46166</v>
      </c>
      <c r="I2571" t="inlineStr"/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N2571" t="inlineStr"/>
      <c r="O2571" t="inlineStr">
        <is>
          <t>SSAUGKIT1</t>
        </is>
      </c>
      <c r="P2571" t="inlineStr"/>
      <c r="Q2571" s="112" t="n">
        <v>0</v>
      </c>
      <c r="R2571" s="112" t="n">
        <v>35</v>
      </c>
      <c r="S2571" s="112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D2572" t="inlineStr"/>
      <c r="E2572" t="inlineStr">
        <is>
          <t>EQ</t>
        </is>
      </c>
      <c r="F2572" t="inlineStr"/>
      <c r="G2572" s="126" t="inlineStr"/>
      <c r="H2572" s="125" t="n">
        <v>46166</v>
      </c>
      <c r="I2572" t="inlineStr"/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N2572" t="inlineStr"/>
      <c r="O2572" t="inlineStr">
        <is>
          <t>SSAUGKIT1</t>
        </is>
      </c>
      <c r="P2572" t="inlineStr"/>
      <c r="Q2572" s="112" t="n">
        <v>0</v>
      </c>
      <c r="R2572" s="112" t="n">
        <v>35</v>
      </c>
      <c r="S2572" s="112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D2573" t="inlineStr"/>
      <c r="E2573" t="inlineStr">
        <is>
          <t>EQ</t>
        </is>
      </c>
      <c r="F2573" t="inlineStr"/>
      <c r="G2573" s="126" t="inlineStr"/>
      <c r="H2573" s="125" t="n">
        <v>46166</v>
      </c>
      <c r="I2573" t="inlineStr"/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N2573" t="inlineStr"/>
      <c r="O2573" t="inlineStr">
        <is>
          <t>TR425</t>
        </is>
      </c>
      <c r="P2573" t="inlineStr"/>
      <c r="Q2573" s="112" t="n">
        <v>0</v>
      </c>
      <c r="R2573" s="112" t="n">
        <v>65</v>
      </c>
      <c r="S2573" s="112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D2574" t="inlineStr"/>
      <c r="E2574" t="inlineStr">
        <is>
          <t>EQ</t>
        </is>
      </c>
      <c r="F2574" t="inlineStr"/>
      <c r="G2574" s="126" t="inlineStr"/>
      <c r="H2574" s="125" t="n">
        <v>46166</v>
      </c>
      <c r="I2574" t="inlineStr"/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N2574" t="inlineStr"/>
      <c r="O2574" t="inlineStr">
        <is>
          <t>TR425</t>
        </is>
      </c>
      <c r="P2574" t="inlineStr"/>
      <c r="Q2574" s="112" t="n">
        <v>0</v>
      </c>
      <c r="R2574" s="112" t="n">
        <v>65</v>
      </c>
      <c r="S2574" s="112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D2575" t="inlineStr"/>
      <c r="E2575" t="inlineStr">
        <is>
          <t>EQ</t>
        </is>
      </c>
      <c r="F2575" t="inlineStr"/>
      <c r="G2575" s="126" t="inlineStr"/>
      <c r="H2575" s="125" t="n">
        <v>46166</v>
      </c>
      <c r="I2575" t="inlineStr"/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N2575" t="inlineStr"/>
      <c r="O2575" t="inlineStr">
        <is>
          <t>TR425</t>
        </is>
      </c>
      <c r="P2575" t="inlineStr"/>
      <c r="Q2575" s="112" t="n">
        <v>0</v>
      </c>
      <c r="R2575" s="112" t="n">
        <v>65</v>
      </c>
      <c r="S2575" s="112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D2576" t="inlineStr"/>
      <c r="E2576" t="inlineStr">
        <is>
          <t>EQ</t>
        </is>
      </c>
      <c r="F2576" t="inlineStr"/>
      <c r="G2576" s="126" t="inlineStr"/>
      <c r="H2576" s="125" t="n">
        <v>46166</v>
      </c>
      <c r="I2576" t="inlineStr"/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N2576" t="inlineStr"/>
      <c r="O2576" t="inlineStr">
        <is>
          <t>TR428</t>
        </is>
      </c>
      <c r="P2576" t="inlineStr"/>
      <c r="Q2576" s="112" t="n">
        <v>0</v>
      </c>
      <c r="R2576" s="112" t="n">
        <v>15</v>
      </c>
      <c r="S2576" s="112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D2577" t="inlineStr"/>
      <c r="E2577" t="inlineStr">
        <is>
          <t>EQ</t>
        </is>
      </c>
      <c r="F2577" t="inlineStr"/>
      <c r="G2577" s="126" t="inlineStr"/>
      <c r="H2577" s="125" t="n">
        <v>46166</v>
      </c>
      <c r="I2577" t="inlineStr"/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N2577" t="inlineStr"/>
      <c r="O2577" t="inlineStr">
        <is>
          <t>TR428</t>
        </is>
      </c>
      <c r="P2577" t="inlineStr"/>
      <c r="Q2577" s="112" t="n">
        <v>0</v>
      </c>
      <c r="R2577" s="112" t="n">
        <v>15</v>
      </c>
      <c r="S2577" s="112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D2578" t="inlineStr"/>
      <c r="E2578" t="inlineStr">
        <is>
          <t>EQ</t>
        </is>
      </c>
      <c r="F2578" t="inlineStr"/>
      <c r="G2578" s="126" t="inlineStr"/>
      <c r="H2578" s="125" t="n">
        <v>46166</v>
      </c>
      <c r="I2578" t="inlineStr"/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N2578" t="inlineStr"/>
      <c r="O2578" t="inlineStr">
        <is>
          <t>TR428</t>
        </is>
      </c>
      <c r="P2578" t="inlineStr"/>
      <c r="Q2578" s="112" t="n">
        <v>0</v>
      </c>
      <c r="R2578" s="112" t="n">
        <v>15</v>
      </c>
      <c r="S2578" s="112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D2579" t="inlineStr"/>
      <c r="E2579" t="inlineStr">
        <is>
          <t>EQ</t>
        </is>
      </c>
      <c r="F2579" t="inlineStr"/>
      <c r="G2579" s="126" t="inlineStr"/>
      <c r="H2579" s="125" t="n">
        <v>46166</v>
      </c>
      <c r="I2579" t="inlineStr"/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N2579" t="inlineStr"/>
      <c r="O2579" t="inlineStr">
        <is>
          <t>TR145</t>
        </is>
      </c>
      <c r="P2579" t="inlineStr"/>
      <c r="Q2579" s="112" t="n">
        <v>0</v>
      </c>
      <c r="R2579" s="112" t="n">
        <v>65</v>
      </c>
      <c r="S2579" s="112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D2580" t="inlineStr"/>
      <c r="E2580" t="inlineStr">
        <is>
          <t>EQ</t>
        </is>
      </c>
      <c r="F2580" t="inlineStr"/>
      <c r="G2580" s="126" t="inlineStr"/>
      <c r="H2580" s="125" t="n">
        <v>46166</v>
      </c>
      <c r="I2580" t="inlineStr"/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N2580" t="inlineStr"/>
      <c r="O2580" t="inlineStr">
        <is>
          <t>TR145</t>
        </is>
      </c>
      <c r="P2580" t="inlineStr"/>
      <c r="Q2580" s="112" t="n">
        <v>0</v>
      </c>
      <c r="R2580" s="112" t="n">
        <v>65</v>
      </c>
      <c r="S2580" s="112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D2581" t="inlineStr"/>
      <c r="E2581" t="inlineStr">
        <is>
          <t>EQ</t>
        </is>
      </c>
      <c r="F2581" t="inlineStr"/>
      <c r="G2581" s="126" t="inlineStr"/>
      <c r="H2581" s="125" t="n">
        <v>46166</v>
      </c>
      <c r="I2581" t="inlineStr"/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N2581" t="inlineStr"/>
      <c r="O2581" t="inlineStr">
        <is>
          <t>TR145</t>
        </is>
      </c>
      <c r="P2581" t="inlineStr"/>
      <c r="Q2581" s="112" t="n">
        <v>0</v>
      </c>
      <c r="R2581" s="112" t="n">
        <v>65</v>
      </c>
      <c r="S2581" s="112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D2582" t="inlineStr"/>
      <c r="E2582" t="inlineStr">
        <is>
          <t>EQ</t>
        </is>
      </c>
      <c r="F2582" t="inlineStr"/>
      <c r="G2582" s="126" t="inlineStr"/>
      <c r="H2582" s="125" t="n">
        <v>46166</v>
      </c>
      <c r="I2582" t="inlineStr"/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N2582" t="inlineStr"/>
      <c r="O2582" t="inlineStr">
        <is>
          <t>TR154</t>
        </is>
      </c>
      <c r="P2582" t="inlineStr"/>
      <c r="Q2582" s="112" t="n">
        <v>0</v>
      </c>
      <c r="R2582" s="112" t="n">
        <v>15</v>
      </c>
      <c r="S2582" s="112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D2583" t="inlineStr"/>
      <c r="E2583" t="inlineStr">
        <is>
          <t>EQ</t>
        </is>
      </c>
      <c r="F2583" t="inlineStr"/>
      <c r="G2583" s="126" t="inlineStr"/>
      <c r="H2583" s="125" t="n">
        <v>46166</v>
      </c>
      <c r="I2583" t="inlineStr"/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N2583" t="inlineStr"/>
      <c r="O2583" t="inlineStr">
        <is>
          <t>TR154</t>
        </is>
      </c>
      <c r="P2583" t="inlineStr"/>
      <c r="Q2583" s="112" t="n">
        <v>0</v>
      </c>
      <c r="R2583" s="112" t="n">
        <v>15</v>
      </c>
      <c r="S2583" s="112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D2584" t="inlineStr"/>
      <c r="E2584" t="inlineStr">
        <is>
          <t>EQ</t>
        </is>
      </c>
      <c r="F2584" t="inlineStr"/>
      <c r="G2584" s="126" t="inlineStr"/>
      <c r="H2584" s="125" t="n">
        <v>46166</v>
      </c>
      <c r="I2584" t="inlineStr"/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N2584" t="inlineStr"/>
      <c r="O2584" t="inlineStr">
        <is>
          <t>TR154</t>
        </is>
      </c>
      <c r="P2584" t="inlineStr"/>
      <c r="Q2584" s="112" t="n">
        <v>0</v>
      </c>
      <c r="R2584" s="112" t="n">
        <v>15</v>
      </c>
      <c r="S2584" s="112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D2585" t="inlineStr"/>
      <c r="E2585" t="inlineStr">
        <is>
          <t>EQ</t>
        </is>
      </c>
      <c r="F2585" t="inlineStr"/>
      <c r="G2585" s="126" t="inlineStr"/>
      <c r="H2585" s="125" t="n">
        <v>46166</v>
      </c>
      <c r="I2585" t="inlineStr"/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N2585" t="inlineStr"/>
      <c r="O2585" t="inlineStr">
        <is>
          <t>BH235</t>
        </is>
      </c>
      <c r="P2585" t="inlineStr"/>
      <c r="Q2585" s="112" t="n">
        <v>0</v>
      </c>
      <c r="R2585" s="112" t="n">
        <v>125</v>
      </c>
      <c r="S2585" s="112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D2586" t="inlineStr"/>
      <c r="E2586" t="inlineStr">
        <is>
          <t>EQ</t>
        </is>
      </c>
      <c r="F2586" t="inlineStr"/>
      <c r="G2586" s="126" t="inlineStr"/>
      <c r="H2586" s="125" t="n">
        <v>46166</v>
      </c>
      <c r="I2586" t="inlineStr"/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N2586" t="inlineStr"/>
      <c r="O2586" t="inlineStr">
        <is>
          <t>BH235</t>
        </is>
      </c>
      <c r="P2586" t="inlineStr"/>
      <c r="Q2586" s="112" t="n">
        <v>0</v>
      </c>
      <c r="R2586" s="112" t="n">
        <v>125</v>
      </c>
      <c r="S2586" s="112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D2587" t="inlineStr"/>
      <c r="E2587" t="inlineStr">
        <is>
          <t>EQ</t>
        </is>
      </c>
      <c r="F2587" t="inlineStr"/>
      <c r="G2587" s="126" t="inlineStr"/>
      <c r="H2587" s="125" t="n">
        <v>46166</v>
      </c>
      <c r="I2587" t="inlineStr"/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N2587" t="inlineStr"/>
      <c r="O2587" t="inlineStr">
        <is>
          <t>SSRAKE03</t>
        </is>
      </c>
      <c r="P2587" t="inlineStr"/>
      <c r="Q2587" s="112" t="n">
        <v>0</v>
      </c>
      <c r="R2587" s="112" t="n">
        <v>0</v>
      </c>
      <c r="S2587" s="112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D2588" t="inlineStr"/>
      <c r="E2588" t="inlineStr">
        <is>
          <t>EQ</t>
        </is>
      </c>
      <c r="F2588" t="inlineStr"/>
      <c r="G2588" s="126" t="inlineStr"/>
      <c r="H2588" s="125" t="n">
        <v>46166</v>
      </c>
      <c r="I2588" t="inlineStr"/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N2588" t="inlineStr"/>
      <c r="O2588" t="inlineStr">
        <is>
          <t>SSRAKE03</t>
        </is>
      </c>
      <c r="P2588" t="inlineStr"/>
      <c r="Q2588" s="112" t="n">
        <v>0</v>
      </c>
      <c r="R2588" s="112" t="n">
        <v>0</v>
      </c>
      <c r="S2588" s="112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D2589" t="inlineStr"/>
      <c r="E2589" t="inlineStr">
        <is>
          <t>EQ</t>
        </is>
      </c>
      <c r="F2589" t="inlineStr"/>
      <c r="G2589" s="126" t="inlineStr"/>
      <c r="H2589" s="125" t="n">
        <v>46166</v>
      </c>
      <c r="I2589" t="inlineStr"/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N2589" t="inlineStr"/>
      <c r="O2589" t="inlineStr">
        <is>
          <t>SSRAKE03</t>
        </is>
      </c>
      <c r="P2589" t="inlineStr"/>
      <c r="Q2589" s="112" t="n">
        <v>0</v>
      </c>
      <c r="R2589" s="112" t="n">
        <v>0</v>
      </c>
      <c r="S2589" s="112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D2590" t="inlineStr"/>
      <c r="E2590" t="inlineStr">
        <is>
          <t>ER</t>
        </is>
      </c>
      <c r="F2590" t="inlineStr"/>
      <c r="G2590" s="126" t="inlineStr"/>
      <c r="H2590" s="125" t="n">
        <v>46138</v>
      </c>
      <c r="I2590" t="inlineStr"/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N2590" t="inlineStr"/>
      <c r="O2590" t="inlineStr">
        <is>
          <t>RDZ318</t>
        </is>
      </c>
      <c r="P2590" t="inlineStr"/>
      <c r="Q2590" s="112" t="n">
        <v>0</v>
      </c>
      <c r="R2590" s="112" t="n">
        <v>778.74</v>
      </c>
      <c r="S2590" s="112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D2591" t="inlineStr"/>
      <c r="E2591" t="inlineStr">
        <is>
          <t>ER</t>
        </is>
      </c>
      <c r="F2591" t="inlineStr"/>
      <c r="G2591" s="126" t="inlineStr"/>
      <c r="H2591" s="125" t="n">
        <v>46138</v>
      </c>
      <c r="I2591" t="inlineStr"/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N2591" t="inlineStr"/>
      <c r="O2591" t="inlineStr">
        <is>
          <t>RDZ318</t>
        </is>
      </c>
      <c r="P2591" t="inlineStr"/>
      <c r="Q2591" s="112" t="n">
        <v>0</v>
      </c>
      <c r="R2591" s="112" t="n">
        <v>778.74</v>
      </c>
      <c r="S2591" s="112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D2592" t="inlineStr"/>
      <c r="E2592" t="inlineStr">
        <is>
          <t>ER</t>
        </is>
      </c>
      <c r="F2592" t="inlineStr"/>
      <c r="G2592" s="126" t="inlineStr"/>
      <c r="H2592" s="125" t="n">
        <v>46138</v>
      </c>
      <c r="I2592" t="inlineStr"/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N2592" t="inlineStr"/>
      <c r="O2592" t="inlineStr">
        <is>
          <t>RDZ318</t>
        </is>
      </c>
      <c r="P2592" t="inlineStr"/>
      <c r="Q2592" s="112" t="n">
        <v>0</v>
      </c>
      <c r="R2592" s="112" t="n">
        <v>778.74</v>
      </c>
      <c r="S2592" s="112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D2593" t="inlineStr"/>
      <c r="E2593" t="inlineStr">
        <is>
          <t>ER</t>
        </is>
      </c>
      <c r="F2593" t="inlineStr"/>
      <c r="G2593" s="126" t="inlineStr"/>
      <c r="H2593" s="125" t="n">
        <v>46138</v>
      </c>
      <c r="I2593" t="inlineStr"/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N2593" t="inlineStr"/>
      <c r="O2593" t="inlineStr">
        <is>
          <t>RLD291</t>
        </is>
      </c>
      <c r="P2593" t="inlineStr"/>
      <c r="Q2593" s="112" t="n">
        <v>0</v>
      </c>
      <c r="R2593" s="112" t="n">
        <v>186.27</v>
      </c>
      <c r="S2593" s="112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D2594" t="inlineStr"/>
      <c r="E2594" t="inlineStr">
        <is>
          <t>ER</t>
        </is>
      </c>
      <c r="F2594" t="inlineStr"/>
      <c r="G2594" s="126" t="inlineStr"/>
      <c r="H2594" s="125" t="n">
        <v>46138</v>
      </c>
      <c r="I2594" t="inlineStr"/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N2594" t="inlineStr"/>
      <c r="O2594" t="inlineStr">
        <is>
          <t>RLD291</t>
        </is>
      </c>
      <c r="P2594" t="inlineStr"/>
      <c r="Q2594" s="112" t="n">
        <v>0</v>
      </c>
      <c r="R2594" s="112" t="n">
        <v>186.27</v>
      </c>
      <c r="S2594" s="112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D2595" t="inlineStr"/>
      <c r="E2595" t="inlineStr">
        <is>
          <t>ER</t>
        </is>
      </c>
      <c r="F2595" t="inlineStr"/>
      <c r="G2595" s="126" t="inlineStr"/>
      <c r="H2595" s="125" t="n">
        <v>46138</v>
      </c>
      <c r="I2595" t="inlineStr"/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N2595" t="inlineStr"/>
      <c r="O2595" t="inlineStr">
        <is>
          <t>RLD291</t>
        </is>
      </c>
      <c r="P2595" t="inlineStr"/>
      <c r="Q2595" s="112" t="n">
        <v>0</v>
      </c>
      <c r="R2595" s="112" t="n">
        <v>186.27</v>
      </c>
      <c r="S2595" s="112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D2596" t="inlineStr"/>
      <c r="E2596" t="inlineStr">
        <is>
          <t>ER</t>
        </is>
      </c>
      <c r="F2596" t="inlineStr"/>
      <c r="G2596" s="126" t="inlineStr"/>
      <c r="H2596" s="125" t="n">
        <v>46138</v>
      </c>
      <c r="I2596" t="inlineStr"/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N2596" t="inlineStr"/>
      <c r="O2596" t="inlineStr">
        <is>
          <t>RLD292</t>
        </is>
      </c>
      <c r="P2596" t="inlineStr"/>
      <c r="Q2596" s="112" t="n">
        <v>0</v>
      </c>
      <c r="R2596" s="112" t="n">
        <v>186.27</v>
      </c>
      <c r="S2596" s="112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D2597" t="inlineStr"/>
      <c r="E2597" t="inlineStr">
        <is>
          <t>ER</t>
        </is>
      </c>
      <c r="F2597" t="inlineStr"/>
      <c r="G2597" s="126" t="inlineStr"/>
      <c r="H2597" s="125" t="n">
        <v>46138</v>
      </c>
      <c r="I2597" t="inlineStr"/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N2597" t="inlineStr"/>
      <c r="O2597" t="inlineStr">
        <is>
          <t>RLD292</t>
        </is>
      </c>
      <c r="P2597" t="inlineStr"/>
      <c r="Q2597" s="112" t="n">
        <v>0</v>
      </c>
      <c r="R2597" s="112" t="n">
        <v>186.27</v>
      </c>
      <c r="S2597" s="112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D2598" t="inlineStr"/>
      <c r="E2598" t="inlineStr">
        <is>
          <t>ER</t>
        </is>
      </c>
      <c r="F2598" t="inlineStr"/>
      <c r="G2598" s="126" t="inlineStr"/>
      <c r="H2598" s="125" t="n">
        <v>46138</v>
      </c>
      <c r="I2598" t="inlineStr"/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N2598" t="inlineStr"/>
      <c r="O2598" t="inlineStr">
        <is>
          <t>RLD292</t>
        </is>
      </c>
      <c r="P2598" t="inlineStr"/>
      <c r="Q2598" s="112" t="n">
        <v>0</v>
      </c>
      <c r="R2598" s="112" t="n">
        <v>186.27</v>
      </c>
      <c r="S2598" s="112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D2599" t="inlineStr"/>
      <c r="E2599" t="inlineStr">
        <is>
          <t>ER</t>
        </is>
      </c>
      <c r="F2599" t="inlineStr"/>
      <c r="G2599" s="126" t="inlineStr"/>
      <c r="H2599" s="125" t="n">
        <v>46138</v>
      </c>
      <c r="I2599" t="inlineStr"/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N2599" t="inlineStr"/>
      <c r="O2599" t="inlineStr">
        <is>
          <t>RAT439</t>
        </is>
      </c>
      <c r="P2599" t="inlineStr"/>
      <c r="Q2599" s="112" t="n">
        <v>0</v>
      </c>
      <c r="R2599" s="112" t="n">
        <v>62.5</v>
      </c>
      <c r="S2599" s="112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D2600" t="inlineStr"/>
      <c r="E2600" t="inlineStr">
        <is>
          <t>ER</t>
        </is>
      </c>
      <c r="F2600" t="inlineStr"/>
      <c r="G2600" s="126" t="inlineStr"/>
      <c r="H2600" s="125" t="n">
        <v>46138</v>
      </c>
      <c r="I2600" t="inlineStr"/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N2600" t="inlineStr"/>
      <c r="O2600" t="inlineStr">
        <is>
          <t>RAT439</t>
        </is>
      </c>
      <c r="P2600" t="inlineStr"/>
      <c r="Q2600" s="112" t="n">
        <v>0</v>
      </c>
      <c r="R2600" s="112" t="n">
        <v>62.5</v>
      </c>
      <c r="S2600" s="112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D2601" t="inlineStr"/>
      <c r="E2601" t="inlineStr">
        <is>
          <t>ER</t>
        </is>
      </c>
      <c r="F2601" t="inlineStr"/>
      <c r="G2601" s="126" t="inlineStr"/>
      <c r="H2601" s="125" t="n">
        <v>46138</v>
      </c>
      <c r="I2601" t="inlineStr"/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N2601" t="inlineStr"/>
      <c r="O2601" t="inlineStr">
        <is>
          <t>RAT439</t>
        </is>
      </c>
      <c r="P2601" t="inlineStr"/>
      <c r="Q2601" s="112" t="n">
        <v>0</v>
      </c>
      <c r="R2601" s="112" t="n">
        <v>62.5</v>
      </c>
      <c r="S2601" s="112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D2602" t="inlineStr"/>
      <c r="E2602" t="inlineStr">
        <is>
          <t>ER</t>
        </is>
      </c>
      <c r="F2602" t="inlineStr"/>
      <c r="G2602" s="126" t="inlineStr"/>
      <c r="H2602" s="125" t="n">
        <v>46138</v>
      </c>
      <c r="I2602" t="inlineStr"/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N2602" t="inlineStr"/>
      <c r="O2602" t="inlineStr">
        <is>
          <t>RAT440</t>
        </is>
      </c>
      <c r="P2602" t="inlineStr"/>
      <c r="Q2602" s="112" t="n">
        <v>0</v>
      </c>
      <c r="R2602" s="112" t="n">
        <v>62.5</v>
      </c>
      <c r="S2602" s="112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D2603" t="inlineStr"/>
      <c r="E2603" t="inlineStr">
        <is>
          <t>ER</t>
        </is>
      </c>
      <c r="F2603" t="inlineStr"/>
      <c r="G2603" s="126" t="inlineStr"/>
      <c r="H2603" s="125" t="n">
        <v>46138</v>
      </c>
      <c r="I2603" t="inlineStr"/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N2603" t="inlineStr"/>
      <c r="O2603" t="inlineStr">
        <is>
          <t>RAT440</t>
        </is>
      </c>
      <c r="P2603" t="inlineStr"/>
      <c r="Q2603" s="112" t="n">
        <v>0</v>
      </c>
      <c r="R2603" s="112" t="n">
        <v>62.5</v>
      </c>
      <c r="S2603" s="112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D2604" t="inlineStr"/>
      <c r="E2604" t="inlineStr">
        <is>
          <t>ER</t>
        </is>
      </c>
      <c r="F2604" t="inlineStr"/>
      <c r="G2604" s="126" t="inlineStr"/>
      <c r="H2604" s="125" t="n">
        <v>46138</v>
      </c>
      <c r="I2604" t="inlineStr"/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N2604" t="inlineStr"/>
      <c r="O2604" t="inlineStr">
        <is>
          <t>RAT440</t>
        </is>
      </c>
      <c r="P2604" t="inlineStr"/>
      <c r="Q2604" s="112" t="n">
        <v>0</v>
      </c>
      <c r="R2604" s="112" t="n">
        <v>62.5</v>
      </c>
      <c r="S2604" s="112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D2605" t="inlineStr"/>
      <c r="E2605" t="inlineStr">
        <is>
          <t>ER</t>
        </is>
      </c>
      <c r="F2605" t="inlineStr"/>
      <c r="G2605" s="126" t="inlineStr"/>
      <c r="H2605" s="125" t="n">
        <v>46138</v>
      </c>
      <c r="I2605" t="inlineStr"/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N2605" t="inlineStr"/>
      <c r="O2605" t="inlineStr">
        <is>
          <t>RGR114</t>
        </is>
      </c>
      <c r="P2605" t="inlineStr"/>
      <c r="Q2605" s="112" t="n">
        <v>0</v>
      </c>
      <c r="R2605" s="112" t="n">
        <v>604.17</v>
      </c>
      <c r="S2605" s="112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D2606" t="inlineStr"/>
      <c r="E2606" t="inlineStr">
        <is>
          <t>ER</t>
        </is>
      </c>
      <c r="F2606" t="inlineStr"/>
      <c r="G2606" s="126" t="inlineStr"/>
      <c r="H2606" s="125" t="n">
        <v>46138</v>
      </c>
      <c r="I2606" t="inlineStr"/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N2606" t="inlineStr"/>
      <c r="O2606" t="inlineStr">
        <is>
          <t>RGR114</t>
        </is>
      </c>
      <c r="P2606" t="inlineStr"/>
      <c r="Q2606" s="112" t="n">
        <v>0</v>
      </c>
      <c r="R2606" s="112" t="n">
        <v>604.17</v>
      </c>
      <c r="S2606" s="112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D2607" t="inlineStr"/>
      <c r="E2607" t="inlineStr">
        <is>
          <t>ER</t>
        </is>
      </c>
      <c r="F2607" t="inlineStr"/>
      <c r="G2607" s="126" t="inlineStr"/>
      <c r="H2607" s="125" t="n">
        <v>46138</v>
      </c>
      <c r="I2607" t="inlineStr"/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N2607" t="inlineStr"/>
      <c r="O2607" t="inlineStr">
        <is>
          <t>RGR114</t>
        </is>
      </c>
      <c r="P2607" t="inlineStr"/>
      <c r="Q2607" s="112" t="n">
        <v>0</v>
      </c>
      <c r="R2607" s="112" t="n">
        <v>604.17</v>
      </c>
      <c r="S2607" s="112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D2608" t="inlineStr"/>
      <c r="E2608" t="inlineStr">
        <is>
          <t>ER</t>
        </is>
      </c>
      <c r="F2608" t="inlineStr"/>
      <c r="G2608" s="126" t="inlineStr"/>
      <c r="H2608" s="125" t="n">
        <v>46138</v>
      </c>
      <c r="I2608" t="inlineStr"/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N2608" t="inlineStr"/>
      <c r="O2608" t="inlineStr">
        <is>
          <t>RFT890</t>
        </is>
      </c>
      <c r="P2608" t="inlineStr"/>
      <c r="Q2608" s="112" t="n">
        <v>0</v>
      </c>
      <c r="R2608" s="112" t="n">
        <v>500</v>
      </c>
      <c r="S2608" s="112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D2609" t="inlineStr"/>
      <c r="E2609" t="inlineStr">
        <is>
          <t>ER</t>
        </is>
      </c>
      <c r="F2609" t="inlineStr"/>
      <c r="G2609" s="126" t="inlineStr"/>
      <c r="H2609" s="125" t="n">
        <v>46138</v>
      </c>
      <c r="I2609" t="inlineStr"/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N2609" t="inlineStr"/>
      <c r="O2609" t="inlineStr">
        <is>
          <t>RFT890</t>
        </is>
      </c>
      <c r="P2609" t="inlineStr"/>
      <c r="Q2609" s="112" t="n">
        <v>0</v>
      </c>
      <c r="R2609" s="112" t="n">
        <v>500</v>
      </c>
      <c r="S2609" s="112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D2610" t="inlineStr"/>
      <c r="E2610" t="inlineStr">
        <is>
          <t>ER</t>
        </is>
      </c>
      <c r="F2610" t="inlineStr"/>
      <c r="G2610" s="126" t="inlineStr"/>
      <c r="H2610" s="125" t="n">
        <v>46138</v>
      </c>
      <c r="I2610" t="inlineStr"/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N2610" t="inlineStr"/>
      <c r="O2610" t="inlineStr">
        <is>
          <t>RFT890</t>
        </is>
      </c>
      <c r="P2610" t="inlineStr"/>
      <c r="Q2610" s="112" t="n">
        <v>0</v>
      </c>
      <c r="R2610" s="112" t="n">
        <v>500</v>
      </c>
      <c r="S2610" s="112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D2611" t="inlineStr"/>
      <c r="E2611" t="inlineStr">
        <is>
          <t>ER</t>
        </is>
      </c>
      <c r="F2611" t="inlineStr"/>
      <c r="G2611" s="126" t="inlineStr"/>
      <c r="H2611" s="125" t="n">
        <v>46138</v>
      </c>
      <c r="I2611" t="inlineStr"/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N2611" t="inlineStr"/>
      <c r="O2611" t="inlineStr">
        <is>
          <t>RFT892</t>
        </is>
      </c>
      <c r="P2611" t="inlineStr"/>
      <c r="Q2611" s="112" t="n">
        <v>0</v>
      </c>
      <c r="R2611" s="112" t="n">
        <v>508.33</v>
      </c>
      <c r="S2611" s="112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D2612" t="inlineStr"/>
      <c r="E2612" t="inlineStr">
        <is>
          <t>ER</t>
        </is>
      </c>
      <c r="F2612" t="inlineStr"/>
      <c r="G2612" s="126" t="inlineStr"/>
      <c r="H2612" s="125" t="n">
        <v>46138</v>
      </c>
      <c r="I2612" t="inlineStr"/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N2612" t="inlineStr"/>
      <c r="O2612" t="inlineStr">
        <is>
          <t>RFT892</t>
        </is>
      </c>
      <c r="P2612" t="inlineStr"/>
      <c r="Q2612" s="112" t="n">
        <v>0</v>
      </c>
      <c r="R2612" s="112" t="n">
        <v>508.33</v>
      </c>
      <c r="S2612" s="112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D2613" t="inlineStr"/>
      <c r="E2613" t="inlineStr">
        <is>
          <t>ER</t>
        </is>
      </c>
      <c r="F2613" t="inlineStr"/>
      <c r="G2613" s="126" t="inlineStr"/>
      <c r="H2613" s="125" t="n">
        <v>46138</v>
      </c>
      <c r="I2613" t="inlineStr"/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N2613" t="inlineStr"/>
      <c r="O2613" t="inlineStr">
        <is>
          <t>RFT892</t>
        </is>
      </c>
      <c r="P2613" t="inlineStr"/>
      <c r="Q2613" s="112" t="n">
        <v>0</v>
      </c>
      <c r="R2613" s="112" t="n">
        <v>508.33</v>
      </c>
      <c r="S2613" s="112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D2614" t="inlineStr"/>
      <c r="E2614" t="inlineStr">
        <is>
          <t>ER</t>
        </is>
      </c>
      <c r="F2614" t="inlineStr"/>
      <c r="G2614" s="126" t="inlineStr"/>
      <c r="H2614" s="125" t="n">
        <v>46138</v>
      </c>
      <c r="I2614" t="inlineStr"/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N2614" t="inlineStr"/>
      <c r="O2614" t="inlineStr">
        <is>
          <t>RFT891</t>
        </is>
      </c>
      <c r="P2614" t="inlineStr"/>
      <c r="Q2614" s="112" t="n">
        <v>0</v>
      </c>
      <c r="R2614" s="112" t="n">
        <v>500</v>
      </c>
      <c r="S2614" s="112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D2615" t="inlineStr"/>
      <c r="E2615" t="inlineStr">
        <is>
          <t>ER</t>
        </is>
      </c>
      <c r="F2615" t="inlineStr"/>
      <c r="G2615" s="126" t="inlineStr"/>
      <c r="H2615" s="125" t="n">
        <v>46138</v>
      </c>
      <c r="I2615" t="inlineStr"/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N2615" t="inlineStr"/>
      <c r="O2615" t="inlineStr">
        <is>
          <t>RFT891</t>
        </is>
      </c>
      <c r="P2615" t="inlineStr"/>
      <c r="Q2615" s="112" t="n">
        <v>0</v>
      </c>
      <c r="R2615" s="112" t="n">
        <v>500</v>
      </c>
      <c r="S2615" s="112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D2616" t="inlineStr"/>
      <c r="E2616" t="inlineStr">
        <is>
          <t>ER</t>
        </is>
      </c>
      <c r="F2616" t="inlineStr"/>
      <c r="G2616" s="126" t="inlineStr"/>
      <c r="H2616" s="125" t="n">
        <v>46138</v>
      </c>
      <c r="I2616" t="inlineStr"/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N2616" t="inlineStr"/>
      <c r="O2616" t="inlineStr">
        <is>
          <t>RFT891</t>
        </is>
      </c>
      <c r="P2616" t="inlineStr"/>
      <c r="Q2616" s="112" t="n">
        <v>0</v>
      </c>
      <c r="R2616" s="112" t="n">
        <v>500</v>
      </c>
      <c r="S2616" s="112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D2617" t="inlineStr"/>
      <c r="E2617" t="inlineStr">
        <is>
          <t>ER</t>
        </is>
      </c>
      <c r="F2617" t="inlineStr"/>
      <c r="G2617" s="126" t="inlineStr"/>
      <c r="H2617" s="125" t="n">
        <v>46138</v>
      </c>
      <c r="I2617" t="inlineStr"/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N2617" t="inlineStr"/>
      <c r="O2617" t="inlineStr">
        <is>
          <t>RMS2319</t>
        </is>
      </c>
      <c r="P2617" t="inlineStr"/>
      <c r="Q2617" s="112" t="n">
        <v>0</v>
      </c>
      <c r="R2617" s="112" t="n">
        <v>179.6</v>
      </c>
      <c r="S2617" s="112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D2618" t="inlineStr"/>
      <c r="E2618" t="inlineStr">
        <is>
          <t>ER</t>
        </is>
      </c>
      <c r="F2618" t="inlineStr"/>
      <c r="G2618" s="126" t="inlineStr"/>
      <c r="H2618" s="125" t="n">
        <v>46138</v>
      </c>
      <c r="I2618" t="inlineStr"/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N2618" t="inlineStr"/>
      <c r="O2618" t="inlineStr">
        <is>
          <t>RMS2319</t>
        </is>
      </c>
      <c r="P2618" t="inlineStr"/>
      <c r="Q2618" s="112" t="n">
        <v>0</v>
      </c>
      <c r="R2618" s="112" t="n">
        <v>179.6</v>
      </c>
      <c r="S2618" s="112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D2619" t="inlineStr"/>
      <c r="E2619" t="inlineStr">
        <is>
          <t>ER</t>
        </is>
      </c>
      <c r="F2619" t="inlineStr"/>
      <c r="G2619" s="126" t="inlineStr"/>
      <c r="H2619" s="125" t="n">
        <v>46138</v>
      </c>
      <c r="I2619" t="inlineStr"/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N2619" t="inlineStr"/>
      <c r="O2619" t="inlineStr">
        <is>
          <t>RMS2319</t>
        </is>
      </c>
      <c r="P2619" t="inlineStr"/>
      <c r="Q2619" s="112" t="n">
        <v>0</v>
      </c>
      <c r="R2619" s="112" t="n">
        <v>179.6</v>
      </c>
      <c r="S2619" s="112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D2620" t="inlineStr"/>
      <c r="E2620" t="inlineStr">
        <is>
          <t>ER</t>
        </is>
      </c>
      <c r="F2620" t="inlineStr"/>
      <c r="G2620" s="126" t="inlineStr"/>
      <c r="H2620" s="125" t="n">
        <v>46138</v>
      </c>
      <c r="I2620" t="inlineStr"/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N2620" t="inlineStr"/>
      <c r="O2620" t="inlineStr">
        <is>
          <t>RMS2321</t>
        </is>
      </c>
      <c r="P2620" t="inlineStr"/>
      <c r="Q2620" s="112" t="n">
        <v>0</v>
      </c>
      <c r="R2620" s="112" t="n">
        <v>1077.59</v>
      </c>
      <c r="S2620" s="112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D2621" t="inlineStr"/>
      <c r="E2621" t="inlineStr">
        <is>
          <t>ER</t>
        </is>
      </c>
      <c r="F2621" t="inlineStr"/>
      <c r="G2621" s="126" t="inlineStr"/>
      <c r="H2621" s="125" t="n">
        <v>46138</v>
      </c>
      <c r="I2621" t="inlineStr"/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N2621" t="inlineStr"/>
      <c r="O2621" t="inlineStr">
        <is>
          <t>RMS2321</t>
        </is>
      </c>
      <c r="P2621" t="inlineStr"/>
      <c r="Q2621" s="112" t="n">
        <v>0</v>
      </c>
      <c r="R2621" s="112" t="n">
        <v>1077.59</v>
      </c>
      <c r="S2621" s="112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D2622" t="inlineStr"/>
      <c r="E2622" t="inlineStr">
        <is>
          <t>ER</t>
        </is>
      </c>
      <c r="F2622" t="inlineStr"/>
      <c r="G2622" s="126" t="inlineStr"/>
      <c r="H2622" s="125" t="n">
        <v>46138</v>
      </c>
      <c r="I2622" t="inlineStr"/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N2622" t="inlineStr"/>
      <c r="O2622" t="inlineStr">
        <is>
          <t>RMS2321</t>
        </is>
      </c>
      <c r="P2622" t="inlineStr"/>
      <c r="Q2622" s="112" t="n">
        <v>0</v>
      </c>
      <c r="R2622" s="112" t="n">
        <v>1077.59</v>
      </c>
      <c r="S2622" s="112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D2623" t="inlineStr"/>
      <c r="E2623" t="inlineStr">
        <is>
          <t>ER</t>
        </is>
      </c>
      <c r="F2623" t="inlineStr"/>
      <c r="G2623" s="126" t="inlineStr"/>
      <c r="H2623" s="125" t="n">
        <v>46138</v>
      </c>
      <c r="I2623" t="inlineStr"/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N2623" t="inlineStr"/>
      <c r="O2623" t="inlineStr">
        <is>
          <t>RLD293</t>
        </is>
      </c>
      <c r="P2623" t="inlineStr"/>
      <c r="Q2623" s="112" t="n">
        <v>0</v>
      </c>
      <c r="R2623" s="112" t="n">
        <v>282.06</v>
      </c>
      <c r="S2623" s="112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D2624" t="inlineStr"/>
      <c r="E2624" t="inlineStr">
        <is>
          <t>ER</t>
        </is>
      </c>
      <c r="F2624" t="inlineStr"/>
      <c r="G2624" s="126" t="inlineStr"/>
      <c r="H2624" s="125" t="n">
        <v>46138</v>
      </c>
      <c r="I2624" t="inlineStr"/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N2624" t="inlineStr"/>
      <c r="O2624" t="inlineStr">
        <is>
          <t>RLD293</t>
        </is>
      </c>
      <c r="P2624" t="inlineStr"/>
      <c r="Q2624" s="112" t="n">
        <v>0</v>
      </c>
      <c r="R2624" s="112" t="n">
        <v>282.06</v>
      </c>
      <c r="S2624" s="112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D2625" t="inlineStr"/>
      <c r="E2625" t="inlineStr">
        <is>
          <t>ER</t>
        </is>
      </c>
      <c r="F2625" t="inlineStr"/>
      <c r="G2625" s="126" t="inlineStr"/>
      <c r="H2625" s="125" t="n">
        <v>46138</v>
      </c>
      <c r="I2625" t="inlineStr"/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N2625" t="inlineStr"/>
      <c r="O2625" t="inlineStr">
        <is>
          <t>RLD293</t>
        </is>
      </c>
      <c r="P2625" t="inlineStr"/>
      <c r="Q2625" s="112" t="n">
        <v>0</v>
      </c>
      <c r="R2625" s="112" t="n">
        <v>282.06</v>
      </c>
      <c r="S2625" s="112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D2626" t="inlineStr"/>
      <c r="E2626" t="inlineStr">
        <is>
          <t>ER</t>
        </is>
      </c>
      <c r="F2626" t="inlineStr"/>
      <c r="G2626" s="126" t="inlineStr"/>
      <c r="H2626" s="125" t="n">
        <v>46138</v>
      </c>
      <c r="I2626" t="inlineStr"/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N2626" t="inlineStr"/>
      <c r="O2626" t="inlineStr">
        <is>
          <t>RHV96</t>
        </is>
      </c>
      <c r="P2626" t="inlineStr"/>
      <c r="Q2626" s="112" t="n">
        <v>0</v>
      </c>
      <c r="R2626" s="112" t="n">
        <v>200</v>
      </c>
      <c r="S2626" s="112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D2627" t="inlineStr"/>
      <c r="E2627" t="inlineStr">
        <is>
          <t>ER</t>
        </is>
      </c>
      <c r="F2627" t="inlineStr"/>
      <c r="G2627" s="126" t="inlineStr"/>
      <c r="H2627" s="125" t="n">
        <v>46138</v>
      </c>
      <c r="I2627" t="inlineStr"/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N2627" t="inlineStr"/>
      <c r="O2627" t="inlineStr">
        <is>
          <t>RHV96</t>
        </is>
      </c>
      <c r="P2627" t="inlineStr"/>
      <c r="Q2627" s="112" t="n">
        <v>0</v>
      </c>
      <c r="R2627" s="112" t="n">
        <v>200</v>
      </c>
      <c r="S2627" s="112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D2628" t="inlineStr"/>
      <c r="E2628" t="inlineStr">
        <is>
          <t>ER</t>
        </is>
      </c>
      <c r="F2628" t="inlineStr"/>
      <c r="G2628" s="126" t="inlineStr"/>
      <c r="H2628" s="125" t="n">
        <v>46138</v>
      </c>
      <c r="I2628" t="inlineStr"/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N2628" t="inlineStr"/>
      <c r="O2628" t="inlineStr">
        <is>
          <t>RHV96</t>
        </is>
      </c>
      <c r="P2628" t="inlineStr"/>
      <c r="Q2628" s="112" t="n">
        <v>0</v>
      </c>
      <c r="R2628" s="112" t="n">
        <v>200</v>
      </c>
      <c r="S2628" s="112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D2629" t="inlineStr"/>
      <c r="E2629" t="inlineStr">
        <is>
          <t>ER</t>
        </is>
      </c>
      <c r="F2629" t="inlineStr"/>
      <c r="G2629" s="126" t="inlineStr"/>
      <c r="H2629" s="125" t="n">
        <v>46138</v>
      </c>
      <c r="I2629" t="inlineStr"/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N2629" t="inlineStr"/>
      <c r="O2629" t="inlineStr">
        <is>
          <t>RMS2320</t>
        </is>
      </c>
      <c r="P2629" t="inlineStr"/>
      <c r="Q2629" s="112" t="n">
        <v>0</v>
      </c>
      <c r="R2629" s="112" t="n">
        <v>1077.59</v>
      </c>
      <c r="S2629" s="112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D2630" t="inlineStr"/>
      <c r="E2630" t="inlineStr">
        <is>
          <t>ER</t>
        </is>
      </c>
      <c r="F2630" t="inlineStr"/>
      <c r="G2630" s="126" t="inlineStr"/>
      <c r="H2630" s="125" t="n">
        <v>46138</v>
      </c>
      <c r="I2630" t="inlineStr"/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N2630" t="inlineStr"/>
      <c r="O2630" t="inlineStr">
        <is>
          <t>RMS2320</t>
        </is>
      </c>
      <c r="P2630" t="inlineStr"/>
      <c r="Q2630" s="112" t="n">
        <v>0</v>
      </c>
      <c r="R2630" s="112" t="n">
        <v>1077.59</v>
      </c>
      <c r="S2630" s="112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D2631" t="inlineStr"/>
      <c r="E2631" t="inlineStr">
        <is>
          <t>ER</t>
        </is>
      </c>
      <c r="F2631" t="inlineStr"/>
      <c r="G2631" s="126" t="inlineStr"/>
      <c r="H2631" s="125" t="n">
        <v>46138</v>
      </c>
      <c r="I2631" t="inlineStr"/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N2631" t="inlineStr"/>
      <c r="O2631" t="inlineStr">
        <is>
          <t>RMS2320</t>
        </is>
      </c>
      <c r="P2631" t="inlineStr"/>
      <c r="Q2631" s="112" t="n">
        <v>0</v>
      </c>
      <c r="R2631" s="112" t="n">
        <v>1077.59</v>
      </c>
      <c r="S2631" s="112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D2632" t="inlineStr"/>
      <c r="E2632" t="inlineStr">
        <is>
          <t>ER</t>
        </is>
      </c>
      <c r="F2632" t="inlineStr"/>
      <c r="G2632" s="126" t="inlineStr"/>
      <c r="H2632" s="125" t="n">
        <v>46138</v>
      </c>
      <c r="I2632" t="inlineStr"/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N2632" t="inlineStr"/>
      <c r="O2632" t="inlineStr">
        <is>
          <t>REX665</t>
        </is>
      </c>
      <c r="P2632" t="inlineStr"/>
      <c r="Q2632" s="112" t="n">
        <v>0</v>
      </c>
      <c r="R2632" s="112" t="n">
        <v>458.33</v>
      </c>
      <c r="S2632" s="112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D2633" t="inlineStr"/>
      <c r="E2633" t="inlineStr">
        <is>
          <t>ER</t>
        </is>
      </c>
      <c r="F2633" t="inlineStr"/>
      <c r="G2633" s="126" t="inlineStr"/>
      <c r="H2633" s="125" t="n">
        <v>46138</v>
      </c>
      <c r="I2633" t="inlineStr"/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N2633" t="inlineStr"/>
      <c r="O2633" t="inlineStr">
        <is>
          <t>REX665</t>
        </is>
      </c>
      <c r="P2633" t="inlineStr"/>
      <c r="Q2633" s="112" t="n">
        <v>0</v>
      </c>
      <c r="R2633" s="112" t="n">
        <v>458.33</v>
      </c>
      <c r="S2633" s="112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D2634" t="inlineStr"/>
      <c r="E2634" t="inlineStr">
        <is>
          <t>ER</t>
        </is>
      </c>
      <c r="F2634" t="inlineStr"/>
      <c r="G2634" s="126" t="inlineStr"/>
      <c r="H2634" s="125" t="n">
        <v>46138</v>
      </c>
      <c r="I2634" t="inlineStr"/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N2634" t="inlineStr"/>
      <c r="O2634" t="inlineStr">
        <is>
          <t>REX665</t>
        </is>
      </c>
      <c r="P2634" t="inlineStr"/>
      <c r="Q2634" s="112" t="n">
        <v>0</v>
      </c>
      <c r="R2634" s="112" t="n">
        <v>458.33</v>
      </c>
      <c r="S2634" s="112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D2635" t="inlineStr"/>
      <c r="E2635" t="inlineStr">
        <is>
          <t>ER</t>
        </is>
      </c>
      <c r="F2635" t="inlineStr"/>
      <c r="G2635" s="126" t="inlineStr"/>
      <c r="H2635" s="125" t="n">
        <v>46138</v>
      </c>
      <c r="I2635" t="inlineStr"/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N2635" t="inlineStr"/>
      <c r="O2635" t="inlineStr">
        <is>
          <t>RPK482</t>
        </is>
      </c>
      <c r="P2635" t="inlineStr"/>
      <c r="Q2635" s="112" t="n">
        <v>0</v>
      </c>
      <c r="R2635" s="112" t="n">
        <v>300</v>
      </c>
      <c r="S2635" s="112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D2636" t="inlineStr"/>
      <c r="E2636" t="inlineStr">
        <is>
          <t>ER</t>
        </is>
      </c>
      <c r="F2636" t="inlineStr"/>
      <c r="G2636" s="126" t="inlineStr"/>
      <c r="H2636" s="125" t="n">
        <v>46138</v>
      </c>
      <c r="I2636" t="inlineStr"/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N2636" t="inlineStr"/>
      <c r="O2636" t="inlineStr">
        <is>
          <t>RPK482</t>
        </is>
      </c>
      <c r="P2636" t="inlineStr"/>
      <c r="Q2636" s="112" t="n">
        <v>0</v>
      </c>
      <c r="R2636" s="112" t="n">
        <v>300</v>
      </c>
      <c r="S2636" s="112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D2637" t="inlineStr"/>
      <c r="E2637" t="inlineStr">
        <is>
          <t>ER</t>
        </is>
      </c>
      <c r="F2637" t="inlineStr"/>
      <c r="G2637" s="126" t="inlineStr"/>
      <c r="H2637" s="125" t="n">
        <v>46138</v>
      </c>
      <c r="I2637" t="inlineStr"/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N2637" t="inlineStr"/>
      <c r="O2637" t="inlineStr">
        <is>
          <t>RPK482</t>
        </is>
      </c>
      <c r="P2637" t="inlineStr"/>
      <c r="Q2637" s="112" t="n">
        <v>0</v>
      </c>
      <c r="R2637" s="112" t="n">
        <v>300</v>
      </c>
      <c r="S2637" s="112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D2638" t="inlineStr"/>
      <c r="E2638" t="inlineStr">
        <is>
          <t>ER</t>
        </is>
      </c>
      <c r="F2638" t="inlineStr"/>
      <c r="G2638" s="126" t="inlineStr"/>
      <c r="H2638" s="125" t="n">
        <v>46138</v>
      </c>
      <c r="I2638" t="inlineStr"/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N2638" t="inlineStr"/>
      <c r="O2638" t="inlineStr">
        <is>
          <t>RMS2318</t>
        </is>
      </c>
      <c r="P2638" t="inlineStr"/>
      <c r="Q2638" s="112" t="n">
        <v>0</v>
      </c>
      <c r="R2638" s="112" t="n">
        <v>200</v>
      </c>
      <c r="S2638" s="112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D2639" t="inlineStr"/>
      <c r="E2639" t="inlineStr">
        <is>
          <t>ER</t>
        </is>
      </c>
      <c r="F2639" t="inlineStr"/>
      <c r="G2639" s="126" t="inlineStr"/>
      <c r="H2639" s="125" t="n">
        <v>46138</v>
      </c>
      <c r="I2639" t="inlineStr"/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N2639" t="inlineStr"/>
      <c r="O2639" t="inlineStr">
        <is>
          <t>RMS2318</t>
        </is>
      </c>
      <c r="P2639" t="inlineStr"/>
      <c r="Q2639" s="112" t="n">
        <v>0</v>
      </c>
      <c r="R2639" s="112" t="n">
        <v>200</v>
      </c>
      <c r="S2639" s="112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D2640" t="inlineStr"/>
      <c r="E2640" t="inlineStr">
        <is>
          <t>ER</t>
        </is>
      </c>
      <c r="F2640" t="inlineStr"/>
      <c r="G2640" s="126" t="inlineStr"/>
      <c r="H2640" s="125" t="n">
        <v>46138</v>
      </c>
      <c r="I2640" t="inlineStr"/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N2640" t="inlineStr"/>
      <c r="O2640" t="inlineStr">
        <is>
          <t>RMS2318</t>
        </is>
      </c>
      <c r="P2640" t="inlineStr"/>
      <c r="Q2640" s="112" t="n">
        <v>0</v>
      </c>
      <c r="R2640" s="112" t="n">
        <v>200</v>
      </c>
      <c r="S2640" s="112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D2641" t="inlineStr"/>
      <c r="E2641" t="inlineStr">
        <is>
          <t>ER</t>
        </is>
      </c>
      <c r="F2641" t="inlineStr"/>
      <c r="G2641" s="126" t="inlineStr"/>
      <c r="H2641" s="125" t="n">
        <v>46138</v>
      </c>
      <c r="I2641" t="inlineStr"/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N2641" t="inlineStr"/>
      <c r="O2641" t="inlineStr">
        <is>
          <t>RMS2317</t>
        </is>
      </c>
      <c r="P2641" t="inlineStr"/>
      <c r="Q2641" s="112" t="n">
        <v>0</v>
      </c>
      <c r="R2641" s="112" t="n">
        <v>287.36</v>
      </c>
      <c r="S2641" s="112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D2642" t="inlineStr"/>
      <c r="E2642" t="inlineStr">
        <is>
          <t>ER</t>
        </is>
      </c>
      <c r="F2642" t="inlineStr"/>
      <c r="G2642" s="126" t="inlineStr"/>
      <c r="H2642" s="125" t="n">
        <v>46138</v>
      </c>
      <c r="I2642" t="inlineStr"/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N2642" t="inlineStr"/>
      <c r="O2642" t="inlineStr">
        <is>
          <t>RMS2317</t>
        </is>
      </c>
      <c r="P2642" t="inlineStr"/>
      <c r="Q2642" s="112" t="n">
        <v>0</v>
      </c>
      <c r="R2642" s="112" t="n">
        <v>287.36</v>
      </c>
      <c r="S2642" s="112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D2643" t="inlineStr"/>
      <c r="E2643" t="inlineStr">
        <is>
          <t>ER</t>
        </is>
      </c>
      <c r="F2643" t="inlineStr"/>
      <c r="G2643" s="126" t="inlineStr"/>
      <c r="H2643" s="125" t="n">
        <v>46138</v>
      </c>
      <c r="I2643" t="inlineStr"/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N2643" t="inlineStr"/>
      <c r="O2643" t="inlineStr">
        <is>
          <t>RMS2317</t>
        </is>
      </c>
      <c r="P2643" t="inlineStr"/>
      <c r="Q2643" s="112" t="n">
        <v>0</v>
      </c>
      <c r="R2643" s="112" t="n">
        <v>287.36</v>
      </c>
      <c r="S2643" s="112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D2644" t="inlineStr"/>
      <c r="E2644" t="inlineStr">
        <is>
          <t>ER</t>
        </is>
      </c>
      <c r="F2644" t="inlineStr"/>
      <c r="G2644" s="126" t="inlineStr"/>
      <c r="H2644" s="125" t="n">
        <v>46145</v>
      </c>
      <c r="I2644" t="inlineStr"/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N2644" t="inlineStr"/>
      <c r="O2644" t="inlineStr">
        <is>
          <t>RDZ318</t>
        </is>
      </c>
      <c r="P2644" t="inlineStr"/>
      <c r="Q2644" s="112" t="n">
        <v>0</v>
      </c>
      <c r="R2644" s="112" t="n">
        <v>778.74</v>
      </c>
      <c r="S2644" s="112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D2645" t="inlineStr"/>
      <c r="E2645" t="inlineStr">
        <is>
          <t>ER</t>
        </is>
      </c>
      <c r="F2645" t="inlineStr"/>
      <c r="G2645" s="126" t="inlineStr"/>
      <c r="H2645" s="125" t="n">
        <v>46145</v>
      </c>
      <c r="I2645" t="inlineStr"/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N2645" t="inlineStr"/>
      <c r="O2645" t="inlineStr">
        <is>
          <t>RDZ318</t>
        </is>
      </c>
      <c r="P2645" t="inlineStr"/>
      <c r="Q2645" s="112" t="n">
        <v>0</v>
      </c>
      <c r="R2645" s="112" t="n">
        <v>778.74</v>
      </c>
      <c r="S2645" s="112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D2646" t="inlineStr"/>
      <c r="E2646" t="inlineStr">
        <is>
          <t>ER</t>
        </is>
      </c>
      <c r="F2646" t="inlineStr"/>
      <c r="G2646" s="126" t="inlineStr"/>
      <c r="H2646" s="125" t="n">
        <v>46145</v>
      </c>
      <c r="I2646" t="inlineStr"/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N2646" t="inlineStr"/>
      <c r="O2646" t="inlineStr">
        <is>
          <t>RLD291</t>
        </is>
      </c>
      <c r="P2646" t="inlineStr"/>
      <c r="Q2646" s="112" t="n">
        <v>0</v>
      </c>
      <c r="R2646" s="112" t="n">
        <v>186.27</v>
      </c>
      <c r="S2646" s="112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D2647" t="inlineStr"/>
      <c r="E2647" t="inlineStr">
        <is>
          <t>ER</t>
        </is>
      </c>
      <c r="F2647" t="inlineStr"/>
      <c r="G2647" s="126" t="inlineStr"/>
      <c r="H2647" s="125" t="n">
        <v>46145</v>
      </c>
      <c r="I2647" t="inlineStr"/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N2647" t="inlineStr"/>
      <c r="O2647" t="inlineStr">
        <is>
          <t>RLD291</t>
        </is>
      </c>
      <c r="P2647" t="inlineStr"/>
      <c r="Q2647" s="112" t="n">
        <v>0</v>
      </c>
      <c r="R2647" s="112" t="n">
        <v>186.27</v>
      </c>
      <c r="S2647" s="112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D2648" t="inlineStr"/>
      <c r="E2648" t="inlineStr">
        <is>
          <t>ER</t>
        </is>
      </c>
      <c r="F2648" t="inlineStr"/>
      <c r="G2648" s="126" t="inlineStr"/>
      <c r="H2648" s="125" t="n">
        <v>46145</v>
      </c>
      <c r="I2648" t="inlineStr"/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N2648" t="inlineStr"/>
      <c r="O2648" t="inlineStr">
        <is>
          <t>RLD292</t>
        </is>
      </c>
      <c r="P2648" t="inlineStr"/>
      <c r="Q2648" s="112" t="n">
        <v>0</v>
      </c>
      <c r="R2648" s="112" t="n">
        <v>186.27</v>
      </c>
      <c r="S2648" s="112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D2649" t="inlineStr"/>
      <c r="E2649" t="inlineStr">
        <is>
          <t>ER</t>
        </is>
      </c>
      <c r="F2649" t="inlineStr"/>
      <c r="G2649" s="126" t="inlineStr"/>
      <c r="H2649" s="125" t="n">
        <v>46145</v>
      </c>
      <c r="I2649" t="inlineStr"/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N2649" t="inlineStr"/>
      <c r="O2649" t="inlineStr">
        <is>
          <t>RLD292</t>
        </is>
      </c>
      <c r="P2649" t="inlineStr"/>
      <c r="Q2649" s="112" t="n">
        <v>0</v>
      </c>
      <c r="R2649" s="112" t="n">
        <v>186.27</v>
      </c>
      <c r="S2649" s="112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D2650" t="inlineStr"/>
      <c r="E2650" t="inlineStr">
        <is>
          <t>ER</t>
        </is>
      </c>
      <c r="F2650" t="inlineStr"/>
      <c r="G2650" s="126" t="inlineStr"/>
      <c r="H2650" s="125" t="n">
        <v>46145</v>
      </c>
      <c r="I2650" t="inlineStr"/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N2650" t="inlineStr"/>
      <c r="O2650" t="inlineStr">
        <is>
          <t>RAT439</t>
        </is>
      </c>
      <c r="P2650" t="inlineStr"/>
      <c r="Q2650" s="112" t="n">
        <v>0</v>
      </c>
      <c r="R2650" s="112" t="n">
        <v>62.5</v>
      </c>
      <c r="S2650" s="112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D2651" t="inlineStr"/>
      <c r="E2651" t="inlineStr">
        <is>
          <t>ER</t>
        </is>
      </c>
      <c r="F2651" t="inlineStr"/>
      <c r="G2651" s="126" t="inlineStr"/>
      <c r="H2651" s="125" t="n">
        <v>46145</v>
      </c>
      <c r="I2651" t="inlineStr"/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N2651" t="inlineStr"/>
      <c r="O2651" t="inlineStr">
        <is>
          <t>RAT439</t>
        </is>
      </c>
      <c r="P2651" t="inlineStr"/>
      <c r="Q2651" s="112" t="n">
        <v>0</v>
      </c>
      <c r="R2651" s="112" t="n">
        <v>62.5</v>
      </c>
      <c r="S2651" s="112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D2652" t="inlineStr"/>
      <c r="E2652" t="inlineStr">
        <is>
          <t>ER</t>
        </is>
      </c>
      <c r="F2652" t="inlineStr"/>
      <c r="G2652" s="126" t="inlineStr"/>
      <c r="H2652" s="125" t="n">
        <v>46145</v>
      </c>
      <c r="I2652" t="inlineStr"/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N2652" t="inlineStr"/>
      <c r="O2652" t="inlineStr">
        <is>
          <t>RAT440</t>
        </is>
      </c>
      <c r="P2652" t="inlineStr"/>
      <c r="Q2652" s="112" t="n">
        <v>0</v>
      </c>
      <c r="R2652" s="112" t="n">
        <v>62.5</v>
      </c>
      <c r="S2652" s="112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D2653" t="inlineStr"/>
      <c r="E2653" t="inlineStr">
        <is>
          <t>ER</t>
        </is>
      </c>
      <c r="F2653" t="inlineStr"/>
      <c r="G2653" s="126" t="inlineStr"/>
      <c r="H2653" s="125" t="n">
        <v>46145</v>
      </c>
      <c r="I2653" t="inlineStr"/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N2653" t="inlineStr"/>
      <c r="O2653" t="inlineStr">
        <is>
          <t>RAT440</t>
        </is>
      </c>
      <c r="P2653" t="inlineStr"/>
      <c r="Q2653" s="112" t="n">
        <v>0</v>
      </c>
      <c r="R2653" s="112" t="n">
        <v>62.5</v>
      </c>
      <c r="S2653" s="112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D2654" t="inlineStr"/>
      <c r="E2654" t="inlineStr">
        <is>
          <t>ER</t>
        </is>
      </c>
      <c r="F2654" t="inlineStr"/>
      <c r="G2654" s="126" t="inlineStr"/>
      <c r="H2654" s="125" t="n">
        <v>46145</v>
      </c>
      <c r="I2654" t="inlineStr"/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N2654" t="inlineStr"/>
      <c r="O2654" t="inlineStr">
        <is>
          <t>RGR114</t>
        </is>
      </c>
      <c r="P2654" t="inlineStr"/>
      <c r="Q2654" s="112" t="n">
        <v>0</v>
      </c>
      <c r="R2654" s="112" t="n">
        <v>604.17</v>
      </c>
      <c r="S2654" s="112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D2655" t="inlineStr"/>
      <c r="E2655" t="inlineStr">
        <is>
          <t>ER</t>
        </is>
      </c>
      <c r="F2655" t="inlineStr"/>
      <c r="G2655" s="126" t="inlineStr"/>
      <c r="H2655" s="125" t="n">
        <v>46145</v>
      </c>
      <c r="I2655" t="inlineStr"/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N2655" t="inlineStr"/>
      <c r="O2655" t="inlineStr">
        <is>
          <t>RGR114</t>
        </is>
      </c>
      <c r="P2655" t="inlineStr"/>
      <c r="Q2655" s="112" t="n">
        <v>0</v>
      </c>
      <c r="R2655" s="112" t="n">
        <v>604.17</v>
      </c>
      <c r="S2655" s="112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D2656" t="inlineStr"/>
      <c r="E2656" t="inlineStr">
        <is>
          <t>ER</t>
        </is>
      </c>
      <c r="F2656" t="inlineStr"/>
      <c r="G2656" s="126" t="inlineStr"/>
      <c r="H2656" s="125" t="n">
        <v>46145</v>
      </c>
      <c r="I2656" t="inlineStr"/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N2656" t="inlineStr"/>
      <c r="O2656" t="inlineStr">
        <is>
          <t>RFT890</t>
        </is>
      </c>
      <c r="P2656" t="inlineStr"/>
      <c r="Q2656" s="112" t="n">
        <v>0</v>
      </c>
      <c r="R2656" s="112" t="n">
        <v>500</v>
      </c>
      <c r="S2656" s="112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D2657" t="inlineStr"/>
      <c r="E2657" t="inlineStr">
        <is>
          <t>ER</t>
        </is>
      </c>
      <c r="F2657" t="inlineStr"/>
      <c r="G2657" s="126" t="inlineStr"/>
      <c r="H2657" s="125" t="n">
        <v>46145</v>
      </c>
      <c r="I2657" t="inlineStr"/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N2657" t="inlineStr"/>
      <c r="O2657" t="inlineStr">
        <is>
          <t>RFT890</t>
        </is>
      </c>
      <c r="P2657" t="inlineStr"/>
      <c r="Q2657" s="112" t="n">
        <v>0</v>
      </c>
      <c r="R2657" s="112" t="n">
        <v>500</v>
      </c>
      <c r="S2657" s="112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D2658" t="inlineStr"/>
      <c r="E2658" t="inlineStr">
        <is>
          <t>ER</t>
        </is>
      </c>
      <c r="F2658" t="inlineStr"/>
      <c r="G2658" s="126" t="inlineStr"/>
      <c r="H2658" s="125" t="n">
        <v>46145</v>
      </c>
      <c r="I2658" t="inlineStr"/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N2658" t="inlineStr"/>
      <c r="O2658" t="inlineStr">
        <is>
          <t>RFT892</t>
        </is>
      </c>
      <c r="P2658" t="inlineStr"/>
      <c r="Q2658" s="112" t="n">
        <v>0</v>
      </c>
      <c r="R2658" s="112" t="n">
        <v>508.33</v>
      </c>
      <c r="S2658" s="112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D2659" t="inlineStr"/>
      <c r="E2659" t="inlineStr">
        <is>
          <t>ER</t>
        </is>
      </c>
      <c r="F2659" t="inlineStr"/>
      <c r="G2659" s="126" t="inlineStr"/>
      <c r="H2659" s="125" t="n">
        <v>46145</v>
      </c>
      <c r="I2659" t="inlineStr"/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N2659" t="inlineStr"/>
      <c r="O2659" t="inlineStr">
        <is>
          <t>RFT892</t>
        </is>
      </c>
      <c r="P2659" t="inlineStr"/>
      <c r="Q2659" s="112" t="n">
        <v>0</v>
      </c>
      <c r="R2659" s="112" t="n">
        <v>508.33</v>
      </c>
      <c r="S2659" s="112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D2660" t="inlineStr"/>
      <c r="E2660" t="inlineStr">
        <is>
          <t>ER</t>
        </is>
      </c>
      <c r="F2660" t="inlineStr"/>
      <c r="G2660" s="126" t="inlineStr"/>
      <c r="H2660" s="125" t="n">
        <v>46145</v>
      </c>
      <c r="I2660" t="inlineStr"/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N2660" t="inlineStr"/>
      <c r="O2660" t="inlineStr">
        <is>
          <t>RFT891</t>
        </is>
      </c>
      <c r="P2660" t="inlineStr"/>
      <c r="Q2660" s="112" t="n">
        <v>0</v>
      </c>
      <c r="R2660" s="112" t="n">
        <v>500</v>
      </c>
      <c r="S2660" s="112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D2661" t="inlineStr"/>
      <c r="E2661" t="inlineStr">
        <is>
          <t>ER</t>
        </is>
      </c>
      <c r="F2661" t="inlineStr"/>
      <c r="G2661" s="126" t="inlineStr"/>
      <c r="H2661" s="125" t="n">
        <v>46145</v>
      </c>
      <c r="I2661" t="inlineStr"/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N2661" t="inlineStr"/>
      <c r="O2661" t="inlineStr">
        <is>
          <t>RFT891</t>
        </is>
      </c>
      <c r="P2661" t="inlineStr"/>
      <c r="Q2661" s="112" t="n">
        <v>0</v>
      </c>
      <c r="R2661" s="112" t="n">
        <v>500</v>
      </c>
      <c r="S2661" s="112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D2662" t="inlineStr"/>
      <c r="E2662" t="inlineStr">
        <is>
          <t>ER</t>
        </is>
      </c>
      <c r="F2662" t="inlineStr"/>
      <c r="G2662" s="126" t="inlineStr"/>
      <c r="H2662" s="125" t="n">
        <v>46145</v>
      </c>
      <c r="I2662" t="inlineStr"/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N2662" t="inlineStr"/>
      <c r="O2662" t="inlineStr">
        <is>
          <t>RMS2319</t>
        </is>
      </c>
      <c r="P2662" t="inlineStr"/>
      <c r="Q2662" s="112" t="n">
        <v>0</v>
      </c>
      <c r="R2662" s="112" t="n">
        <v>179.6</v>
      </c>
      <c r="S2662" s="112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D2663" t="inlineStr"/>
      <c r="E2663" t="inlineStr">
        <is>
          <t>ER</t>
        </is>
      </c>
      <c r="F2663" t="inlineStr"/>
      <c r="G2663" s="126" t="inlineStr"/>
      <c r="H2663" s="125" t="n">
        <v>46145</v>
      </c>
      <c r="I2663" t="inlineStr"/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N2663" t="inlineStr"/>
      <c r="O2663" t="inlineStr">
        <is>
          <t>RMS2319</t>
        </is>
      </c>
      <c r="P2663" t="inlineStr"/>
      <c r="Q2663" s="112" t="n">
        <v>0</v>
      </c>
      <c r="R2663" s="112" t="n">
        <v>179.6</v>
      </c>
      <c r="S2663" s="112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D2664" t="inlineStr"/>
      <c r="E2664" t="inlineStr">
        <is>
          <t>ER</t>
        </is>
      </c>
      <c r="F2664" t="inlineStr"/>
      <c r="G2664" s="126" t="inlineStr"/>
      <c r="H2664" s="125" t="n">
        <v>46145</v>
      </c>
      <c r="I2664" t="inlineStr"/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N2664" t="inlineStr"/>
      <c r="O2664" t="inlineStr">
        <is>
          <t>RMS2321</t>
        </is>
      </c>
      <c r="P2664" t="inlineStr"/>
      <c r="Q2664" s="112" t="n">
        <v>0</v>
      </c>
      <c r="R2664" s="112" t="n">
        <v>1077.59</v>
      </c>
      <c r="S2664" s="112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D2665" t="inlineStr"/>
      <c r="E2665" t="inlineStr">
        <is>
          <t>ER</t>
        </is>
      </c>
      <c r="F2665" t="inlineStr"/>
      <c r="G2665" s="126" t="inlineStr"/>
      <c r="H2665" s="125" t="n">
        <v>46145</v>
      </c>
      <c r="I2665" t="inlineStr"/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N2665" t="inlineStr"/>
      <c r="O2665" t="inlineStr">
        <is>
          <t>RMS2321</t>
        </is>
      </c>
      <c r="P2665" t="inlineStr"/>
      <c r="Q2665" s="112" t="n">
        <v>0</v>
      </c>
      <c r="R2665" s="112" t="n">
        <v>1077.59</v>
      </c>
      <c r="S2665" s="112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D2666" t="inlineStr"/>
      <c r="E2666" t="inlineStr">
        <is>
          <t>ER</t>
        </is>
      </c>
      <c r="F2666" t="inlineStr"/>
      <c r="G2666" s="126" t="inlineStr"/>
      <c r="H2666" s="125" t="n">
        <v>46145</v>
      </c>
      <c r="I2666" t="inlineStr"/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N2666" t="inlineStr"/>
      <c r="O2666" t="inlineStr">
        <is>
          <t>RLD293</t>
        </is>
      </c>
      <c r="P2666" t="inlineStr"/>
      <c r="Q2666" s="112" t="n">
        <v>0</v>
      </c>
      <c r="R2666" s="112" t="n">
        <v>282.06</v>
      </c>
      <c r="S2666" s="112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D2667" t="inlineStr"/>
      <c r="E2667" t="inlineStr">
        <is>
          <t>ER</t>
        </is>
      </c>
      <c r="F2667" t="inlineStr"/>
      <c r="G2667" s="126" t="inlineStr"/>
      <c r="H2667" s="125" t="n">
        <v>46145</v>
      </c>
      <c r="I2667" t="inlineStr"/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N2667" t="inlineStr"/>
      <c r="O2667" t="inlineStr">
        <is>
          <t>RLD293</t>
        </is>
      </c>
      <c r="P2667" t="inlineStr"/>
      <c r="Q2667" s="112" t="n">
        <v>0</v>
      </c>
      <c r="R2667" s="112" t="n">
        <v>282.06</v>
      </c>
      <c r="S2667" s="112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D2668" t="inlineStr"/>
      <c r="E2668" t="inlineStr">
        <is>
          <t>ER</t>
        </is>
      </c>
      <c r="F2668" t="inlineStr"/>
      <c r="G2668" s="126" t="inlineStr"/>
      <c r="H2668" s="125" t="n">
        <v>46145</v>
      </c>
      <c r="I2668" t="inlineStr"/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N2668" t="inlineStr"/>
      <c r="O2668" t="inlineStr">
        <is>
          <t>RHV96</t>
        </is>
      </c>
      <c r="P2668" t="inlineStr"/>
      <c r="Q2668" s="112" t="n">
        <v>0</v>
      </c>
      <c r="R2668" s="112" t="n">
        <v>200</v>
      </c>
      <c r="S2668" s="112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D2669" t="inlineStr"/>
      <c r="E2669" t="inlineStr">
        <is>
          <t>ER</t>
        </is>
      </c>
      <c r="F2669" t="inlineStr"/>
      <c r="G2669" s="126" t="inlineStr"/>
      <c r="H2669" s="125" t="n">
        <v>46145</v>
      </c>
      <c r="I2669" t="inlineStr"/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N2669" t="inlineStr"/>
      <c r="O2669" t="inlineStr">
        <is>
          <t>RHV96</t>
        </is>
      </c>
      <c r="P2669" t="inlineStr"/>
      <c r="Q2669" s="112" t="n">
        <v>0</v>
      </c>
      <c r="R2669" s="112" t="n">
        <v>200</v>
      </c>
      <c r="S2669" s="112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D2670" t="inlineStr"/>
      <c r="E2670" t="inlineStr">
        <is>
          <t>ER</t>
        </is>
      </c>
      <c r="F2670" t="inlineStr"/>
      <c r="G2670" s="126" t="inlineStr"/>
      <c r="H2670" s="125" t="n">
        <v>46145</v>
      </c>
      <c r="I2670" t="inlineStr"/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N2670" t="inlineStr"/>
      <c r="O2670" t="inlineStr">
        <is>
          <t>RMS2320</t>
        </is>
      </c>
      <c r="P2670" t="inlineStr"/>
      <c r="Q2670" s="112" t="n">
        <v>0</v>
      </c>
      <c r="R2670" s="112" t="n">
        <v>1077.59</v>
      </c>
      <c r="S2670" s="112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D2671" t="inlineStr"/>
      <c r="E2671" t="inlineStr">
        <is>
          <t>ER</t>
        </is>
      </c>
      <c r="F2671" t="inlineStr"/>
      <c r="G2671" s="126" t="inlineStr"/>
      <c r="H2671" s="125" t="n">
        <v>46145</v>
      </c>
      <c r="I2671" t="inlineStr"/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N2671" t="inlineStr"/>
      <c r="O2671" t="inlineStr">
        <is>
          <t>RMS2320</t>
        </is>
      </c>
      <c r="P2671" t="inlineStr"/>
      <c r="Q2671" s="112" t="n">
        <v>0</v>
      </c>
      <c r="R2671" s="112" t="n">
        <v>1077.59</v>
      </c>
      <c r="S2671" s="112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D2672" t="inlineStr"/>
      <c r="E2672" t="inlineStr">
        <is>
          <t>ER</t>
        </is>
      </c>
      <c r="F2672" t="inlineStr"/>
      <c r="G2672" s="126" t="inlineStr"/>
      <c r="H2672" s="125" t="n">
        <v>46145</v>
      </c>
      <c r="I2672" t="inlineStr"/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N2672" t="inlineStr"/>
      <c r="O2672" t="inlineStr">
        <is>
          <t>REX665</t>
        </is>
      </c>
      <c r="P2672" t="inlineStr"/>
      <c r="Q2672" s="112" t="n">
        <v>0</v>
      </c>
      <c r="R2672" s="112" t="n">
        <v>458.33</v>
      </c>
      <c r="S2672" s="112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D2673" t="inlineStr"/>
      <c r="E2673" t="inlineStr">
        <is>
          <t>ER</t>
        </is>
      </c>
      <c r="F2673" t="inlineStr"/>
      <c r="G2673" s="126" t="inlineStr"/>
      <c r="H2673" s="125" t="n">
        <v>46145</v>
      </c>
      <c r="I2673" t="inlineStr"/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N2673" t="inlineStr"/>
      <c r="O2673" t="inlineStr">
        <is>
          <t>REX665</t>
        </is>
      </c>
      <c r="P2673" t="inlineStr"/>
      <c r="Q2673" s="112" t="n">
        <v>0</v>
      </c>
      <c r="R2673" s="112" t="n">
        <v>458.33</v>
      </c>
      <c r="S2673" s="112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D2674" t="inlineStr"/>
      <c r="E2674" t="inlineStr">
        <is>
          <t>ER</t>
        </is>
      </c>
      <c r="F2674" t="inlineStr"/>
      <c r="G2674" s="126" t="inlineStr"/>
      <c r="H2674" s="125" t="n">
        <v>46145</v>
      </c>
      <c r="I2674" t="inlineStr"/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N2674" t="inlineStr"/>
      <c r="O2674" t="inlineStr">
        <is>
          <t>RPK482</t>
        </is>
      </c>
      <c r="P2674" t="inlineStr"/>
      <c r="Q2674" s="112" t="n">
        <v>0</v>
      </c>
      <c r="R2674" s="112" t="n">
        <v>300</v>
      </c>
      <c r="S2674" s="112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D2675" t="inlineStr"/>
      <c r="E2675" t="inlineStr">
        <is>
          <t>ER</t>
        </is>
      </c>
      <c r="F2675" t="inlineStr"/>
      <c r="G2675" s="126" t="inlineStr"/>
      <c r="H2675" s="125" t="n">
        <v>46145</v>
      </c>
      <c r="I2675" t="inlineStr"/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N2675" t="inlineStr"/>
      <c r="O2675" t="inlineStr">
        <is>
          <t>RPK482</t>
        </is>
      </c>
      <c r="P2675" t="inlineStr"/>
      <c r="Q2675" s="112" t="n">
        <v>0</v>
      </c>
      <c r="R2675" s="112" t="n">
        <v>300</v>
      </c>
      <c r="S2675" s="112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D2676" t="inlineStr"/>
      <c r="E2676" t="inlineStr">
        <is>
          <t>ER</t>
        </is>
      </c>
      <c r="F2676" t="inlineStr"/>
      <c r="G2676" s="126" t="inlineStr"/>
      <c r="H2676" s="125" t="n">
        <v>46145</v>
      </c>
      <c r="I2676" t="inlineStr"/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N2676" t="inlineStr"/>
      <c r="O2676" t="inlineStr">
        <is>
          <t>RMS2318</t>
        </is>
      </c>
      <c r="P2676" t="inlineStr"/>
      <c r="Q2676" s="112" t="n">
        <v>0</v>
      </c>
      <c r="R2676" s="112" t="n">
        <v>200</v>
      </c>
      <c r="S2676" s="112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D2677" t="inlineStr"/>
      <c r="E2677" t="inlineStr">
        <is>
          <t>ER</t>
        </is>
      </c>
      <c r="F2677" t="inlineStr"/>
      <c r="G2677" s="126" t="inlineStr"/>
      <c r="H2677" s="125" t="n">
        <v>46145</v>
      </c>
      <c r="I2677" t="inlineStr"/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N2677" t="inlineStr"/>
      <c r="O2677" t="inlineStr">
        <is>
          <t>RMS2318</t>
        </is>
      </c>
      <c r="P2677" t="inlineStr"/>
      <c r="Q2677" s="112" t="n">
        <v>0</v>
      </c>
      <c r="R2677" s="112" t="n">
        <v>200</v>
      </c>
      <c r="S2677" s="112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D2678" t="inlineStr"/>
      <c r="E2678" t="inlineStr">
        <is>
          <t>ER</t>
        </is>
      </c>
      <c r="F2678" t="inlineStr"/>
      <c r="G2678" s="126" t="inlineStr"/>
      <c r="H2678" s="125" t="n">
        <v>46145</v>
      </c>
      <c r="I2678" t="inlineStr"/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N2678" t="inlineStr"/>
      <c r="O2678" t="inlineStr">
        <is>
          <t>RMS2317</t>
        </is>
      </c>
      <c r="P2678" t="inlineStr"/>
      <c r="Q2678" s="112" t="n">
        <v>0</v>
      </c>
      <c r="R2678" s="112" t="n">
        <v>287.36</v>
      </c>
      <c r="S2678" s="112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D2679" t="inlineStr"/>
      <c r="E2679" t="inlineStr">
        <is>
          <t>ER</t>
        </is>
      </c>
      <c r="F2679" t="inlineStr"/>
      <c r="G2679" s="126" t="inlineStr"/>
      <c r="H2679" s="125" t="n">
        <v>46145</v>
      </c>
      <c r="I2679" t="inlineStr"/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N2679" t="inlineStr"/>
      <c r="O2679" t="inlineStr">
        <is>
          <t>RMS2317</t>
        </is>
      </c>
      <c r="P2679" t="inlineStr"/>
      <c r="Q2679" s="112" t="n">
        <v>0</v>
      </c>
      <c r="R2679" s="112" t="n">
        <v>287.36</v>
      </c>
      <c r="S2679" s="112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D2680" t="inlineStr"/>
      <c r="E2680" t="inlineStr">
        <is>
          <t>ER</t>
        </is>
      </c>
      <c r="F2680" t="inlineStr"/>
      <c r="G2680" s="126" t="inlineStr"/>
      <c r="H2680" s="125" t="n">
        <v>46145</v>
      </c>
      <c r="I2680" t="inlineStr"/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N2680" t="inlineStr"/>
      <c r="O2680" t="inlineStr">
        <is>
          <t>RMS2388</t>
        </is>
      </c>
      <c r="P2680" t="inlineStr"/>
      <c r="Q2680" s="112" t="n">
        <v>0</v>
      </c>
      <c r="R2680" s="112" t="n">
        <v>125</v>
      </c>
      <c r="S2680" s="112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D2681" t="inlineStr"/>
      <c r="E2681" t="inlineStr">
        <is>
          <t>ER</t>
        </is>
      </c>
      <c r="F2681" t="inlineStr"/>
      <c r="G2681" s="126" t="inlineStr"/>
      <c r="H2681" s="125" t="n">
        <v>46145</v>
      </c>
      <c r="I2681" t="inlineStr"/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N2681" t="inlineStr"/>
      <c r="O2681" t="inlineStr">
        <is>
          <t>RMS2388</t>
        </is>
      </c>
      <c r="P2681" t="inlineStr"/>
      <c r="Q2681" s="112" t="n">
        <v>0</v>
      </c>
      <c r="R2681" s="112" t="n">
        <v>125</v>
      </c>
      <c r="S2681" s="112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D2682" t="inlineStr"/>
      <c r="E2682" t="inlineStr">
        <is>
          <t>ER</t>
        </is>
      </c>
      <c r="F2682" t="inlineStr"/>
      <c r="G2682" s="126" t="inlineStr"/>
      <c r="H2682" s="125" t="n">
        <v>46152</v>
      </c>
      <c r="I2682" t="inlineStr"/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N2682" t="inlineStr"/>
      <c r="O2682" t="inlineStr">
        <is>
          <t>RDZ318</t>
        </is>
      </c>
      <c r="P2682" t="inlineStr"/>
      <c r="Q2682" s="112" t="n">
        <v>0</v>
      </c>
      <c r="R2682" s="112" t="n">
        <v>778.74</v>
      </c>
      <c r="S2682" s="112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D2683" t="inlineStr"/>
      <c r="E2683" t="inlineStr">
        <is>
          <t>ER</t>
        </is>
      </c>
      <c r="F2683" t="inlineStr"/>
      <c r="G2683" s="126" t="inlineStr"/>
      <c r="H2683" s="125" t="n">
        <v>46152</v>
      </c>
      <c r="I2683" t="inlineStr"/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N2683" t="inlineStr"/>
      <c r="O2683" t="inlineStr">
        <is>
          <t>RDZ318</t>
        </is>
      </c>
      <c r="P2683" t="inlineStr"/>
      <c r="Q2683" s="112" t="n">
        <v>0</v>
      </c>
      <c r="R2683" s="112" t="n">
        <v>778.74</v>
      </c>
      <c r="S2683" s="112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D2684" t="inlineStr"/>
      <c r="E2684" t="inlineStr">
        <is>
          <t>ER</t>
        </is>
      </c>
      <c r="F2684" t="inlineStr"/>
      <c r="G2684" s="126" t="inlineStr"/>
      <c r="H2684" s="125" t="n">
        <v>46152</v>
      </c>
      <c r="I2684" t="inlineStr"/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N2684" t="inlineStr"/>
      <c r="O2684" t="inlineStr">
        <is>
          <t>RLD291</t>
        </is>
      </c>
      <c r="P2684" t="inlineStr"/>
      <c r="Q2684" s="112" t="n">
        <v>0</v>
      </c>
      <c r="R2684" s="112" t="n">
        <v>186.27</v>
      </c>
      <c r="S2684" s="112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D2685" t="inlineStr"/>
      <c r="E2685" t="inlineStr">
        <is>
          <t>ER</t>
        </is>
      </c>
      <c r="F2685" t="inlineStr"/>
      <c r="G2685" s="126" t="inlineStr"/>
      <c r="H2685" s="125" t="n">
        <v>46152</v>
      </c>
      <c r="I2685" t="inlineStr"/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N2685" t="inlineStr"/>
      <c r="O2685" t="inlineStr">
        <is>
          <t>RLD291</t>
        </is>
      </c>
      <c r="P2685" t="inlineStr"/>
      <c r="Q2685" s="112" t="n">
        <v>0</v>
      </c>
      <c r="R2685" s="112" t="n">
        <v>186.27</v>
      </c>
      <c r="S2685" s="112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D2686" t="inlineStr"/>
      <c r="E2686" t="inlineStr">
        <is>
          <t>ER</t>
        </is>
      </c>
      <c r="F2686" t="inlineStr"/>
      <c r="G2686" s="126" t="inlineStr"/>
      <c r="H2686" s="125" t="n">
        <v>46152</v>
      </c>
      <c r="I2686" t="inlineStr"/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N2686" t="inlineStr"/>
      <c r="O2686" t="inlineStr">
        <is>
          <t>RLD292</t>
        </is>
      </c>
      <c r="P2686" t="inlineStr"/>
      <c r="Q2686" s="112" t="n">
        <v>0</v>
      </c>
      <c r="R2686" s="112" t="n">
        <v>186.27</v>
      </c>
      <c r="S2686" s="112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D2687" t="inlineStr"/>
      <c r="E2687" t="inlineStr">
        <is>
          <t>ER</t>
        </is>
      </c>
      <c r="F2687" t="inlineStr"/>
      <c r="G2687" s="126" t="inlineStr"/>
      <c r="H2687" s="125" t="n">
        <v>46152</v>
      </c>
      <c r="I2687" t="inlineStr"/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N2687" t="inlineStr"/>
      <c r="O2687" t="inlineStr">
        <is>
          <t>RLD292</t>
        </is>
      </c>
      <c r="P2687" t="inlineStr"/>
      <c r="Q2687" s="112" t="n">
        <v>0</v>
      </c>
      <c r="R2687" s="112" t="n">
        <v>186.27</v>
      </c>
      <c r="S2687" s="112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D2688" t="inlineStr"/>
      <c r="E2688" t="inlineStr">
        <is>
          <t>ER</t>
        </is>
      </c>
      <c r="F2688" t="inlineStr"/>
      <c r="G2688" s="126" t="inlineStr"/>
      <c r="H2688" s="125" t="n">
        <v>46152</v>
      </c>
      <c r="I2688" t="inlineStr"/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N2688" t="inlineStr"/>
      <c r="O2688" t="inlineStr">
        <is>
          <t>RAT439</t>
        </is>
      </c>
      <c r="P2688" t="inlineStr"/>
      <c r="Q2688" s="112" t="n">
        <v>0</v>
      </c>
      <c r="R2688" s="112" t="n">
        <v>62.5</v>
      </c>
      <c r="S2688" s="112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D2689" t="inlineStr"/>
      <c r="E2689" t="inlineStr">
        <is>
          <t>ER</t>
        </is>
      </c>
      <c r="F2689" t="inlineStr"/>
      <c r="G2689" s="126" t="inlineStr"/>
      <c r="H2689" s="125" t="n">
        <v>46152</v>
      </c>
      <c r="I2689" t="inlineStr"/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N2689" t="inlineStr"/>
      <c r="O2689" t="inlineStr">
        <is>
          <t>RAT439</t>
        </is>
      </c>
      <c r="P2689" t="inlineStr"/>
      <c r="Q2689" s="112" t="n">
        <v>0</v>
      </c>
      <c r="R2689" s="112" t="n">
        <v>62.5</v>
      </c>
      <c r="S2689" s="112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D2690" t="inlineStr"/>
      <c r="E2690" t="inlineStr">
        <is>
          <t>ER</t>
        </is>
      </c>
      <c r="F2690" t="inlineStr"/>
      <c r="G2690" s="126" t="inlineStr"/>
      <c r="H2690" s="125" t="n">
        <v>46152</v>
      </c>
      <c r="I2690" t="inlineStr"/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N2690" t="inlineStr"/>
      <c r="O2690" t="inlineStr">
        <is>
          <t>RAT440</t>
        </is>
      </c>
      <c r="P2690" t="inlineStr"/>
      <c r="Q2690" s="112" t="n">
        <v>0</v>
      </c>
      <c r="R2690" s="112" t="n">
        <v>62.5</v>
      </c>
      <c r="S2690" s="112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D2691" t="inlineStr"/>
      <c r="E2691" t="inlineStr">
        <is>
          <t>ER</t>
        </is>
      </c>
      <c r="F2691" t="inlineStr"/>
      <c r="G2691" s="126" t="inlineStr"/>
      <c r="H2691" s="125" t="n">
        <v>46152</v>
      </c>
      <c r="I2691" t="inlineStr"/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N2691" t="inlineStr"/>
      <c r="O2691" t="inlineStr">
        <is>
          <t>RAT440</t>
        </is>
      </c>
      <c r="P2691" t="inlineStr"/>
      <c r="Q2691" s="112" t="n">
        <v>0</v>
      </c>
      <c r="R2691" s="112" t="n">
        <v>62.5</v>
      </c>
      <c r="S2691" s="112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D2692" t="inlineStr"/>
      <c r="E2692" t="inlineStr">
        <is>
          <t>ER</t>
        </is>
      </c>
      <c r="F2692" t="inlineStr"/>
      <c r="G2692" s="126" t="inlineStr"/>
      <c r="H2692" s="125" t="n">
        <v>46152</v>
      </c>
      <c r="I2692" t="inlineStr"/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N2692" t="inlineStr"/>
      <c r="O2692" t="inlineStr">
        <is>
          <t>RGR114</t>
        </is>
      </c>
      <c r="P2692" t="inlineStr"/>
      <c r="Q2692" s="112" t="n">
        <v>0</v>
      </c>
      <c r="R2692" s="112" t="n">
        <v>604.17</v>
      </c>
      <c r="S2692" s="112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D2693" t="inlineStr"/>
      <c r="E2693" t="inlineStr">
        <is>
          <t>ER</t>
        </is>
      </c>
      <c r="F2693" t="inlineStr"/>
      <c r="G2693" s="126" t="inlineStr"/>
      <c r="H2693" s="125" t="n">
        <v>46152</v>
      </c>
      <c r="I2693" t="inlineStr"/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N2693" t="inlineStr"/>
      <c r="O2693" t="inlineStr">
        <is>
          <t>RGR114</t>
        </is>
      </c>
      <c r="P2693" t="inlineStr"/>
      <c r="Q2693" s="112" t="n">
        <v>0</v>
      </c>
      <c r="R2693" s="112" t="n">
        <v>604.17</v>
      </c>
      <c r="S2693" s="112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D2694" t="inlineStr"/>
      <c r="E2694" t="inlineStr">
        <is>
          <t>ER</t>
        </is>
      </c>
      <c r="F2694" t="inlineStr"/>
      <c r="G2694" s="126" t="inlineStr"/>
      <c r="H2694" s="125" t="n">
        <v>46152</v>
      </c>
      <c r="I2694" t="inlineStr"/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N2694" t="inlineStr"/>
      <c r="O2694" t="inlineStr">
        <is>
          <t>RFT890</t>
        </is>
      </c>
      <c r="P2694" t="inlineStr"/>
      <c r="Q2694" s="112" t="n">
        <v>0</v>
      </c>
      <c r="R2694" s="112" t="n">
        <v>500</v>
      </c>
      <c r="S2694" s="112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D2695" t="inlineStr"/>
      <c r="E2695" t="inlineStr">
        <is>
          <t>ER</t>
        </is>
      </c>
      <c r="F2695" t="inlineStr"/>
      <c r="G2695" s="126" t="inlineStr"/>
      <c r="H2695" s="125" t="n">
        <v>46152</v>
      </c>
      <c r="I2695" t="inlineStr"/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N2695" t="inlineStr"/>
      <c r="O2695" t="inlineStr">
        <is>
          <t>RFT890</t>
        </is>
      </c>
      <c r="P2695" t="inlineStr"/>
      <c r="Q2695" s="112" t="n">
        <v>0</v>
      </c>
      <c r="R2695" s="112" t="n">
        <v>500</v>
      </c>
      <c r="S2695" s="112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D2696" t="inlineStr"/>
      <c r="E2696" t="inlineStr">
        <is>
          <t>ER</t>
        </is>
      </c>
      <c r="F2696" t="inlineStr"/>
      <c r="G2696" s="126" t="inlineStr"/>
      <c r="H2696" s="125" t="n">
        <v>46152</v>
      </c>
      <c r="I2696" t="inlineStr"/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N2696" t="inlineStr"/>
      <c r="O2696" t="inlineStr">
        <is>
          <t>RFT892</t>
        </is>
      </c>
      <c r="P2696" t="inlineStr"/>
      <c r="Q2696" s="112" t="n">
        <v>0</v>
      </c>
      <c r="R2696" s="112" t="n">
        <v>508.33</v>
      </c>
      <c r="S2696" s="112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D2697" t="inlineStr"/>
      <c r="E2697" t="inlineStr">
        <is>
          <t>ER</t>
        </is>
      </c>
      <c r="F2697" t="inlineStr"/>
      <c r="G2697" s="126" t="inlineStr"/>
      <c r="H2697" s="125" t="n">
        <v>46152</v>
      </c>
      <c r="I2697" t="inlineStr"/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N2697" t="inlineStr"/>
      <c r="O2697" t="inlineStr">
        <is>
          <t>RFT892</t>
        </is>
      </c>
      <c r="P2697" t="inlineStr"/>
      <c r="Q2697" s="112" t="n">
        <v>0</v>
      </c>
      <c r="R2697" s="112" t="n">
        <v>508.33</v>
      </c>
      <c r="S2697" s="112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D2698" t="inlineStr"/>
      <c r="E2698" t="inlineStr">
        <is>
          <t>ER</t>
        </is>
      </c>
      <c r="F2698" t="inlineStr"/>
      <c r="G2698" s="126" t="inlineStr"/>
      <c r="H2698" s="125" t="n">
        <v>46152</v>
      </c>
      <c r="I2698" t="inlineStr"/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N2698" t="inlineStr"/>
      <c r="O2698" t="inlineStr">
        <is>
          <t>RFT891</t>
        </is>
      </c>
      <c r="P2698" t="inlineStr"/>
      <c r="Q2698" s="112" t="n">
        <v>0</v>
      </c>
      <c r="R2698" s="112" t="n">
        <v>500</v>
      </c>
      <c r="S2698" s="112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D2699" t="inlineStr"/>
      <c r="E2699" t="inlineStr">
        <is>
          <t>ER</t>
        </is>
      </c>
      <c r="F2699" t="inlineStr"/>
      <c r="G2699" s="126" t="inlineStr"/>
      <c r="H2699" s="125" t="n">
        <v>46152</v>
      </c>
      <c r="I2699" t="inlineStr"/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N2699" t="inlineStr"/>
      <c r="O2699" t="inlineStr">
        <is>
          <t>RFT891</t>
        </is>
      </c>
      <c r="P2699" t="inlineStr"/>
      <c r="Q2699" s="112" t="n">
        <v>0</v>
      </c>
      <c r="R2699" s="112" t="n">
        <v>500</v>
      </c>
      <c r="S2699" s="112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D2700" t="inlineStr"/>
      <c r="E2700" t="inlineStr">
        <is>
          <t>ER</t>
        </is>
      </c>
      <c r="F2700" t="inlineStr"/>
      <c r="G2700" s="126" t="inlineStr"/>
      <c r="H2700" s="125" t="n">
        <v>46152</v>
      </c>
      <c r="I2700" t="inlineStr"/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N2700" t="inlineStr"/>
      <c r="O2700" t="inlineStr">
        <is>
          <t>RMS2319</t>
        </is>
      </c>
      <c r="P2700" t="inlineStr"/>
      <c r="Q2700" s="112" t="n">
        <v>0</v>
      </c>
      <c r="R2700" s="112" t="n">
        <v>179.6</v>
      </c>
      <c r="S2700" s="112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D2701" t="inlineStr"/>
      <c r="E2701" t="inlineStr">
        <is>
          <t>ER</t>
        </is>
      </c>
      <c r="F2701" t="inlineStr"/>
      <c r="G2701" s="126" t="inlineStr"/>
      <c r="H2701" s="125" t="n">
        <v>46152</v>
      </c>
      <c r="I2701" t="inlineStr"/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N2701" t="inlineStr"/>
      <c r="O2701" t="inlineStr">
        <is>
          <t>RMS2319</t>
        </is>
      </c>
      <c r="P2701" t="inlineStr"/>
      <c r="Q2701" s="112" t="n">
        <v>0</v>
      </c>
      <c r="R2701" s="112" t="n">
        <v>179.6</v>
      </c>
      <c r="S2701" s="112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D2702" t="inlineStr"/>
      <c r="E2702" t="inlineStr">
        <is>
          <t>ER</t>
        </is>
      </c>
      <c r="F2702" t="inlineStr"/>
      <c r="G2702" s="126" t="inlineStr"/>
      <c r="H2702" s="125" t="n">
        <v>46152</v>
      </c>
      <c r="I2702" t="inlineStr"/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N2702" t="inlineStr"/>
      <c r="O2702" t="inlineStr">
        <is>
          <t>RMS2321</t>
        </is>
      </c>
      <c r="P2702" t="inlineStr"/>
      <c r="Q2702" s="112" t="n">
        <v>0</v>
      </c>
      <c r="R2702" s="112" t="n">
        <v>1077.59</v>
      </c>
      <c r="S2702" s="112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D2703" t="inlineStr"/>
      <c r="E2703" t="inlineStr">
        <is>
          <t>ER</t>
        </is>
      </c>
      <c r="F2703" t="inlineStr"/>
      <c r="G2703" s="126" t="inlineStr"/>
      <c r="H2703" s="125" t="n">
        <v>46152</v>
      </c>
      <c r="I2703" t="inlineStr"/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N2703" t="inlineStr"/>
      <c r="O2703" t="inlineStr">
        <is>
          <t>RMS2321</t>
        </is>
      </c>
      <c r="P2703" t="inlineStr"/>
      <c r="Q2703" s="112" t="n">
        <v>0</v>
      </c>
      <c r="R2703" s="112" t="n">
        <v>1077.59</v>
      </c>
      <c r="S2703" s="112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D2704" t="inlineStr"/>
      <c r="E2704" t="inlineStr">
        <is>
          <t>ER</t>
        </is>
      </c>
      <c r="F2704" t="inlineStr"/>
      <c r="G2704" s="126" t="inlineStr"/>
      <c r="H2704" s="125" t="n">
        <v>46152</v>
      </c>
      <c r="I2704" t="inlineStr"/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N2704" t="inlineStr"/>
      <c r="O2704" t="inlineStr">
        <is>
          <t>RLD293</t>
        </is>
      </c>
      <c r="P2704" t="inlineStr"/>
      <c r="Q2704" s="112" t="n">
        <v>0</v>
      </c>
      <c r="R2704" s="112" t="n">
        <v>282.06</v>
      </c>
      <c r="S2704" s="112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D2705" t="inlineStr"/>
      <c r="E2705" t="inlineStr">
        <is>
          <t>ER</t>
        </is>
      </c>
      <c r="F2705" t="inlineStr"/>
      <c r="G2705" s="126" t="inlineStr"/>
      <c r="H2705" s="125" t="n">
        <v>46152</v>
      </c>
      <c r="I2705" t="inlineStr"/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N2705" t="inlineStr"/>
      <c r="O2705" t="inlineStr">
        <is>
          <t>RLD293</t>
        </is>
      </c>
      <c r="P2705" t="inlineStr"/>
      <c r="Q2705" s="112" t="n">
        <v>0</v>
      </c>
      <c r="R2705" s="112" t="n">
        <v>282.06</v>
      </c>
      <c r="S2705" s="112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D2706" t="inlineStr"/>
      <c r="E2706" t="inlineStr">
        <is>
          <t>ER</t>
        </is>
      </c>
      <c r="F2706" t="inlineStr"/>
      <c r="G2706" s="126" t="inlineStr"/>
      <c r="H2706" s="125" t="n">
        <v>46152</v>
      </c>
      <c r="I2706" t="inlineStr"/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N2706" t="inlineStr"/>
      <c r="O2706" t="inlineStr">
        <is>
          <t>RHV96</t>
        </is>
      </c>
      <c r="P2706" t="inlineStr"/>
      <c r="Q2706" s="112" t="n">
        <v>0</v>
      </c>
      <c r="R2706" s="112" t="n">
        <v>200</v>
      </c>
      <c r="S2706" s="112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D2707" t="inlineStr"/>
      <c r="E2707" t="inlineStr">
        <is>
          <t>ER</t>
        </is>
      </c>
      <c r="F2707" t="inlineStr"/>
      <c r="G2707" s="126" t="inlineStr"/>
      <c r="H2707" s="125" t="n">
        <v>46152</v>
      </c>
      <c r="I2707" t="inlineStr"/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N2707" t="inlineStr"/>
      <c r="O2707" t="inlineStr">
        <is>
          <t>RHV96</t>
        </is>
      </c>
      <c r="P2707" t="inlineStr"/>
      <c r="Q2707" s="112" t="n">
        <v>0</v>
      </c>
      <c r="R2707" s="112" t="n">
        <v>200</v>
      </c>
      <c r="S2707" s="112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D2708" t="inlineStr"/>
      <c r="E2708" t="inlineStr">
        <is>
          <t>ER</t>
        </is>
      </c>
      <c r="F2708" t="inlineStr"/>
      <c r="G2708" s="126" t="inlineStr"/>
      <c r="H2708" s="125" t="n">
        <v>46152</v>
      </c>
      <c r="I2708" t="inlineStr"/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N2708" t="inlineStr"/>
      <c r="O2708" t="inlineStr">
        <is>
          <t>RMS2320</t>
        </is>
      </c>
      <c r="P2708" t="inlineStr"/>
      <c r="Q2708" s="112" t="n">
        <v>0</v>
      </c>
      <c r="R2708" s="112" t="n">
        <v>1077.59</v>
      </c>
      <c r="S2708" s="112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D2709" t="inlineStr"/>
      <c r="E2709" t="inlineStr">
        <is>
          <t>ER</t>
        </is>
      </c>
      <c r="F2709" t="inlineStr"/>
      <c r="G2709" s="126" t="inlineStr"/>
      <c r="H2709" s="125" t="n">
        <v>46152</v>
      </c>
      <c r="I2709" t="inlineStr"/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N2709" t="inlineStr"/>
      <c r="O2709" t="inlineStr">
        <is>
          <t>RMS2320</t>
        </is>
      </c>
      <c r="P2709" t="inlineStr"/>
      <c r="Q2709" s="112" t="n">
        <v>0</v>
      </c>
      <c r="R2709" s="112" t="n">
        <v>1077.59</v>
      </c>
      <c r="S2709" s="112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D2710" t="inlineStr"/>
      <c r="E2710" t="inlineStr">
        <is>
          <t>ER</t>
        </is>
      </c>
      <c r="F2710" t="inlineStr"/>
      <c r="G2710" s="126" t="inlineStr"/>
      <c r="H2710" s="125" t="n">
        <v>46152</v>
      </c>
      <c r="I2710" t="inlineStr"/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N2710" t="inlineStr"/>
      <c r="O2710" t="inlineStr">
        <is>
          <t>REX665</t>
        </is>
      </c>
      <c r="P2710" t="inlineStr"/>
      <c r="Q2710" s="112" t="n">
        <v>0</v>
      </c>
      <c r="R2710" s="112" t="n">
        <v>458.33</v>
      </c>
      <c r="S2710" s="112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D2711" t="inlineStr"/>
      <c r="E2711" t="inlineStr">
        <is>
          <t>ER</t>
        </is>
      </c>
      <c r="F2711" t="inlineStr"/>
      <c r="G2711" s="126" t="inlineStr"/>
      <c r="H2711" s="125" t="n">
        <v>46152</v>
      </c>
      <c r="I2711" t="inlineStr"/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N2711" t="inlineStr"/>
      <c r="O2711" t="inlineStr">
        <is>
          <t>REX665</t>
        </is>
      </c>
      <c r="P2711" t="inlineStr"/>
      <c r="Q2711" s="112" t="n">
        <v>0</v>
      </c>
      <c r="R2711" s="112" t="n">
        <v>458.33</v>
      </c>
      <c r="S2711" s="112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D2712" t="inlineStr"/>
      <c r="E2712" t="inlineStr">
        <is>
          <t>ER</t>
        </is>
      </c>
      <c r="F2712" t="inlineStr"/>
      <c r="G2712" s="126" t="inlineStr"/>
      <c r="H2712" s="125" t="n">
        <v>46152</v>
      </c>
      <c r="I2712" t="inlineStr"/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N2712" t="inlineStr"/>
      <c r="O2712" t="inlineStr">
        <is>
          <t>RPK482</t>
        </is>
      </c>
      <c r="P2712" t="inlineStr"/>
      <c r="Q2712" s="112" t="n">
        <v>0</v>
      </c>
      <c r="R2712" s="112" t="n">
        <v>300</v>
      </c>
      <c r="S2712" s="112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D2713" t="inlineStr"/>
      <c r="E2713" t="inlineStr">
        <is>
          <t>ER</t>
        </is>
      </c>
      <c r="F2713" t="inlineStr"/>
      <c r="G2713" s="126" t="inlineStr"/>
      <c r="H2713" s="125" t="n">
        <v>46152</v>
      </c>
      <c r="I2713" t="inlineStr"/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N2713" t="inlineStr"/>
      <c r="O2713" t="inlineStr">
        <is>
          <t>RPK482</t>
        </is>
      </c>
      <c r="P2713" t="inlineStr"/>
      <c r="Q2713" s="112" t="n">
        <v>0</v>
      </c>
      <c r="R2713" s="112" t="n">
        <v>300</v>
      </c>
      <c r="S2713" s="112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D2714" t="inlineStr"/>
      <c r="E2714" t="inlineStr">
        <is>
          <t>ER</t>
        </is>
      </c>
      <c r="F2714" t="inlineStr"/>
      <c r="G2714" s="126" t="inlineStr"/>
      <c r="H2714" s="125" t="n">
        <v>46152</v>
      </c>
      <c r="I2714" t="inlineStr"/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N2714" t="inlineStr"/>
      <c r="O2714" t="inlineStr">
        <is>
          <t>RMS2318</t>
        </is>
      </c>
      <c r="P2714" t="inlineStr"/>
      <c r="Q2714" s="112" t="n">
        <v>0</v>
      </c>
      <c r="R2714" s="112" t="n">
        <v>200</v>
      </c>
      <c r="S2714" s="112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D2715" t="inlineStr"/>
      <c r="E2715" t="inlineStr">
        <is>
          <t>ER</t>
        </is>
      </c>
      <c r="F2715" t="inlineStr"/>
      <c r="G2715" s="126" t="inlineStr"/>
      <c r="H2715" s="125" t="n">
        <v>46152</v>
      </c>
      <c r="I2715" t="inlineStr"/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N2715" t="inlineStr"/>
      <c r="O2715" t="inlineStr">
        <is>
          <t>RMS2318</t>
        </is>
      </c>
      <c r="P2715" t="inlineStr"/>
      <c r="Q2715" s="112" t="n">
        <v>0</v>
      </c>
      <c r="R2715" s="112" t="n">
        <v>200</v>
      </c>
      <c r="S2715" s="112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D2716" t="inlineStr"/>
      <c r="E2716" t="inlineStr">
        <is>
          <t>ER</t>
        </is>
      </c>
      <c r="F2716" t="inlineStr"/>
      <c r="G2716" s="126" t="inlineStr"/>
      <c r="H2716" s="125" t="n">
        <v>46152</v>
      </c>
      <c r="I2716" t="inlineStr"/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N2716" t="inlineStr"/>
      <c r="O2716" t="inlineStr">
        <is>
          <t>RMS2317</t>
        </is>
      </c>
      <c r="P2716" t="inlineStr"/>
      <c r="Q2716" s="112" t="n">
        <v>0</v>
      </c>
      <c r="R2716" s="112" t="n">
        <v>287.36</v>
      </c>
      <c r="S2716" s="112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D2717" t="inlineStr"/>
      <c r="E2717" t="inlineStr">
        <is>
          <t>ER</t>
        </is>
      </c>
      <c r="F2717" t="inlineStr"/>
      <c r="G2717" s="126" t="inlineStr"/>
      <c r="H2717" s="125" t="n">
        <v>46152</v>
      </c>
      <c r="I2717" t="inlineStr"/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N2717" t="inlineStr"/>
      <c r="O2717" t="inlineStr">
        <is>
          <t>RMS2317</t>
        </is>
      </c>
      <c r="P2717" t="inlineStr"/>
      <c r="Q2717" s="112" t="n">
        <v>0</v>
      </c>
      <c r="R2717" s="112" t="n">
        <v>287.36</v>
      </c>
      <c r="S2717" s="112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D2718" t="inlineStr"/>
      <c r="E2718" t="inlineStr">
        <is>
          <t>ER</t>
        </is>
      </c>
      <c r="F2718" t="inlineStr"/>
      <c r="G2718" s="126" t="inlineStr"/>
      <c r="H2718" s="125" t="n">
        <v>46152</v>
      </c>
      <c r="I2718" t="inlineStr"/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N2718" t="inlineStr"/>
      <c r="O2718" t="inlineStr">
        <is>
          <t>RMS2388</t>
        </is>
      </c>
      <c r="P2718" t="inlineStr"/>
      <c r="Q2718" s="112" t="n">
        <v>0</v>
      </c>
      <c r="R2718" s="112" t="n">
        <v>125</v>
      </c>
      <c r="S2718" s="112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D2719" t="inlineStr"/>
      <c r="E2719" t="inlineStr">
        <is>
          <t>ER</t>
        </is>
      </c>
      <c r="F2719" t="inlineStr"/>
      <c r="G2719" s="126" t="inlineStr"/>
      <c r="H2719" s="125" t="n">
        <v>46152</v>
      </c>
      <c r="I2719" t="inlineStr"/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N2719" t="inlineStr"/>
      <c r="O2719" t="inlineStr">
        <is>
          <t>RMS2388</t>
        </is>
      </c>
      <c r="P2719" t="inlineStr"/>
      <c r="Q2719" s="112" t="n">
        <v>0</v>
      </c>
      <c r="R2719" s="112" t="n">
        <v>125</v>
      </c>
      <c r="S2719" s="112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D2720" t="inlineStr"/>
      <c r="E2720" t="inlineStr">
        <is>
          <t>ER</t>
        </is>
      </c>
      <c r="F2720" t="inlineStr"/>
      <c r="G2720" s="126" t="inlineStr"/>
      <c r="H2720" s="125" t="n">
        <v>46166</v>
      </c>
      <c r="I2720" t="inlineStr"/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N2720" t="inlineStr"/>
      <c r="O2720" t="inlineStr">
        <is>
          <t>RDZ318</t>
        </is>
      </c>
      <c r="P2720" t="inlineStr"/>
      <c r="Q2720" s="112" t="n">
        <v>0</v>
      </c>
      <c r="R2720" s="112" t="n">
        <v>778.74</v>
      </c>
      <c r="S2720" s="112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D2721" t="inlineStr"/>
      <c r="E2721" t="inlineStr">
        <is>
          <t>ER</t>
        </is>
      </c>
      <c r="F2721" t="inlineStr"/>
      <c r="G2721" s="126" t="inlineStr"/>
      <c r="H2721" s="125" t="n">
        <v>46166</v>
      </c>
      <c r="I2721" t="inlineStr"/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N2721" t="inlineStr"/>
      <c r="O2721" t="inlineStr">
        <is>
          <t>RDZ318</t>
        </is>
      </c>
      <c r="P2721" t="inlineStr"/>
      <c r="Q2721" s="112" t="n">
        <v>0</v>
      </c>
      <c r="R2721" s="112" t="n">
        <v>778.74</v>
      </c>
      <c r="S2721" s="112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D2722" t="inlineStr"/>
      <c r="E2722" t="inlineStr">
        <is>
          <t>ER</t>
        </is>
      </c>
      <c r="F2722" t="inlineStr"/>
      <c r="G2722" s="126" t="inlineStr"/>
      <c r="H2722" s="125" t="n">
        <v>46166</v>
      </c>
      <c r="I2722" t="inlineStr"/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N2722" t="inlineStr"/>
      <c r="O2722" t="inlineStr">
        <is>
          <t>RDZ318</t>
        </is>
      </c>
      <c r="P2722" t="inlineStr"/>
      <c r="Q2722" s="112" t="n">
        <v>0</v>
      </c>
      <c r="R2722" s="112" t="n">
        <v>778.74</v>
      </c>
      <c r="S2722" s="112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D2723" t="inlineStr"/>
      <c r="E2723" t="inlineStr">
        <is>
          <t>ER</t>
        </is>
      </c>
      <c r="F2723" t="inlineStr"/>
      <c r="G2723" s="126" t="inlineStr"/>
      <c r="H2723" s="125" t="n">
        <v>46166</v>
      </c>
      <c r="I2723" t="inlineStr"/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N2723" t="inlineStr"/>
      <c r="O2723" t="inlineStr">
        <is>
          <t>RLD291</t>
        </is>
      </c>
      <c r="P2723" t="inlineStr"/>
      <c r="Q2723" s="112" t="n">
        <v>0</v>
      </c>
      <c r="R2723" s="112" t="n">
        <v>186.27</v>
      </c>
      <c r="S2723" s="112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D2724" t="inlineStr"/>
      <c r="E2724" t="inlineStr">
        <is>
          <t>ER</t>
        </is>
      </c>
      <c r="F2724" t="inlineStr"/>
      <c r="G2724" s="126" t="inlineStr"/>
      <c r="H2724" s="125" t="n">
        <v>46166</v>
      </c>
      <c r="I2724" t="inlineStr"/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N2724" t="inlineStr"/>
      <c r="O2724" t="inlineStr">
        <is>
          <t>RLD291</t>
        </is>
      </c>
      <c r="P2724" t="inlineStr"/>
      <c r="Q2724" s="112" t="n">
        <v>0</v>
      </c>
      <c r="R2724" s="112" t="n">
        <v>186.27</v>
      </c>
      <c r="S2724" s="112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D2725" t="inlineStr"/>
      <c r="E2725" t="inlineStr">
        <is>
          <t>ER</t>
        </is>
      </c>
      <c r="F2725" t="inlineStr"/>
      <c r="G2725" s="126" t="inlineStr"/>
      <c r="H2725" s="125" t="n">
        <v>46166</v>
      </c>
      <c r="I2725" t="inlineStr"/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N2725" t="inlineStr"/>
      <c r="O2725" t="inlineStr">
        <is>
          <t>RLD291</t>
        </is>
      </c>
      <c r="P2725" t="inlineStr"/>
      <c r="Q2725" s="112" t="n">
        <v>0</v>
      </c>
      <c r="R2725" s="112" t="n">
        <v>186.27</v>
      </c>
      <c r="S2725" s="112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D2726" t="inlineStr"/>
      <c r="E2726" t="inlineStr">
        <is>
          <t>ER</t>
        </is>
      </c>
      <c r="F2726" t="inlineStr"/>
      <c r="G2726" s="126" t="inlineStr"/>
      <c r="H2726" s="125" t="n">
        <v>46166</v>
      </c>
      <c r="I2726" t="inlineStr"/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N2726" t="inlineStr"/>
      <c r="O2726" t="inlineStr">
        <is>
          <t>RLD292</t>
        </is>
      </c>
      <c r="P2726" t="inlineStr"/>
      <c r="Q2726" s="112" t="n">
        <v>0</v>
      </c>
      <c r="R2726" s="112" t="n">
        <v>186.27</v>
      </c>
      <c r="S2726" s="112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D2727" t="inlineStr"/>
      <c r="E2727" t="inlineStr">
        <is>
          <t>ER</t>
        </is>
      </c>
      <c r="F2727" t="inlineStr"/>
      <c r="G2727" s="126" t="inlineStr"/>
      <c r="H2727" s="125" t="n">
        <v>46166</v>
      </c>
      <c r="I2727" t="inlineStr"/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N2727" t="inlineStr"/>
      <c r="O2727" t="inlineStr">
        <is>
          <t>RLD292</t>
        </is>
      </c>
      <c r="P2727" t="inlineStr"/>
      <c r="Q2727" s="112" t="n">
        <v>0</v>
      </c>
      <c r="R2727" s="112" t="n">
        <v>186.27</v>
      </c>
      <c r="S2727" s="112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D2728" t="inlineStr"/>
      <c r="E2728" t="inlineStr">
        <is>
          <t>ER</t>
        </is>
      </c>
      <c r="F2728" t="inlineStr"/>
      <c r="G2728" s="126" t="inlineStr"/>
      <c r="H2728" s="125" t="n">
        <v>46166</v>
      </c>
      <c r="I2728" t="inlineStr"/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N2728" t="inlineStr"/>
      <c r="O2728" t="inlineStr">
        <is>
          <t>RLD292</t>
        </is>
      </c>
      <c r="P2728" t="inlineStr"/>
      <c r="Q2728" s="112" t="n">
        <v>0</v>
      </c>
      <c r="R2728" s="112" t="n">
        <v>186.27</v>
      </c>
      <c r="S2728" s="112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D2729" t="inlineStr"/>
      <c r="E2729" t="inlineStr">
        <is>
          <t>ER</t>
        </is>
      </c>
      <c r="F2729" t="inlineStr"/>
      <c r="G2729" s="126" t="inlineStr"/>
      <c r="H2729" s="125" t="n">
        <v>46166</v>
      </c>
      <c r="I2729" t="inlineStr"/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N2729" t="inlineStr"/>
      <c r="O2729" t="inlineStr">
        <is>
          <t>RAT439</t>
        </is>
      </c>
      <c r="P2729" t="inlineStr"/>
      <c r="Q2729" s="112" t="n">
        <v>0</v>
      </c>
      <c r="R2729" s="112" t="n">
        <v>62.5</v>
      </c>
      <c r="S2729" s="112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D2730" t="inlineStr"/>
      <c r="E2730" t="inlineStr">
        <is>
          <t>ER</t>
        </is>
      </c>
      <c r="F2730" t="inlineStr"/>
      <c r="G2730" s="126" t="inlineStr"/>
      <c r="H2730" s="125" t="n">
        <v>46166</v>
      </c>
      <c r="I2730" t="inlineStr"/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N2730" t="inlineStr"/>
      <c r="O2730" t="inlineStr">
        <is>
          <t>RAT439</t>
        </is>
      </c>
      <c r="P2730" t="inlineStr"/>
      <c r="Q2730" s="112" t="n">
        <v>0</v>
      </c>
      <c r="R2730" s="112" t="n">
        <v>62.5</v>
      </c>
      <c r="S2730" s="112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D2731" t="inlineStr"/>
      <c r="E2731" t="inlineStr">
        <is>
          <t>ER</t>
        </is>
      </c>
      <c r="F2731" t="inlineStr"/>
      <c r="G2731" s="126" t="inlineStr"/>
      <c r="H2731" s="125" t="n">
        <v>46166</v>
      </c>
      <c r="I2731" t="inlineStr"/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N2731" t="inlineStr"/>
      <c r="O2731" t="inlineStr">
        <is>
          <t>RAT439</t>
        </is>
      </c>
      <c r="P2731" t="inlineStr"/>
      <c r="Q2731" s="112" t="n">
        <v>0</v>
      </c>
      <c r="R2731" s="112" t="n">
        <v>62.5</v>
      </c>
      <c r="S2731" s="112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D2732" t="inlineStr"/>
      <c r="E2732" t="inlineStr">
        <is>
          <t>ER</t>
        </is>
      </c>
      <c r="F2732" t="inlineStr"/>
      <c r="G2732" s="126" t="inlineStr"/>
      <c r="H2732" s="125" t="n">
        <v>46166</v>
      </c>
      <c r="I2732" t="inlineStr"/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N2732" t="inlineStr"/>
      <c r="O2732" t="inlineStr">
        <is>
          <t>RAT440</t>
        </is>
      </c>
      <c r="P2732" t="inlineStr"/>
      <c r="Q2732" s="112" t="n">
        <v>0</v>
      </c>
      <c r="R2732" s="112" t="n">
        <v>62.5</v>
      </c>
      <c r="S2732" s="112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D2733" t="inlineStr"/>
      <c r="E2733" t="inlineStr">
        <is>
          <t>ER</t>
        </is>
      </c>
      <c r="F2733" t="inlineStr"/>
      <c r="G2733" s="126" t="inlineStr"/>
      <c r="H2733" s="125" t="n">
        <v>46166</v>
      </c>
      <c r="I2733" t="inlineStr"/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N2733" t="inlineStr"/>
      <c r="O2733" t="inlineStr">
        <is>
          <t>RAT440</t>
        </is>
      </c>
      <c r="P2733" t="inlineStr"/>
      <c r="Q2733" s="112" t="n">
        <v>0</v>
      </c>
      <c r="R2733" s="112" t="n">
        <v>62.5</v>
      </c>
      <c r="S2733" s="112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D2734" t="inlineStr"/>
      <c r="E2734" t="inlineStr">
        <is>
          <t>ER</t>
        </is>
      </c>
      <c r="F2734" t="inlineStr"/>
      <c r="G2734" s="126" t="inlineStr"/>
      <c r="H2734" s="125" t="n">
        <v>46166</v>
      </c>
      <c r="I2734" t="inlineStr"/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N2734" t="inlineStr"/>
      <c r="O2734" t="inlineStr">
        <is>
          <t>RAT440</t>
        </is>
      </c>
      <c r="P2734" t="inlineStr"/>
      <c r="Q2734" s="112" t="n">
        <v>0</v>
      </c>
      <c r="R2734" s="112" t="n">
        <v>62.5</v>
      </c>
      <c r="S2734" s="112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D2735" t="inlineStr"/>
      <c r="E2735" t="inlineStr">
        <is>
          <t>ER</t>
        </is>
      </c>
      <c r="F2735" t="inlineStr"/>
      <c r="G2735" s="126" t="inlineStr"/>
      <c r="H2735" s="125" t="n">
        <v>46166</v>
      </c>
      <c r="I2735" t="inlineStr"/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N2735" t="inlineStr"/>
      <c r="O2735" t="inlineStr">
        <is>
          <t>RGR114</t>
        </is>
      </c>
      <c r="P2735" t="inlineStr"/>
      <c r="Q2735" s="112" t="n">
        <v>0</v>
      </c>
      <c r="R2735" s="112" t="n">
        <v>604.17</v>
      </c>
      <c r="S2735" s="112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D2736" t="inlineStr"/>
      <c r="E2736" t="inlineStr">
        <is>
          <t>ER</t>
        </is>
      </c>
      <c r="F2736" t="inlineStr"/>
      <c r="G2736" s="126" t="inlineStr"/>
      <c r="H2736" s="125" t="n">
        <v>46166</v>
      </c>
      <c r="I2736" t="inlineStr"/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N2736" t="inlineStr"/>
      <c r="O2736" t="inlineStr">
        <is>
          <t>RGR114</t>
        </is>
      </c>
      <c r="P2736" t="inlineStr"/>
      <c r="Q2736" s="112" t="n">
        <v>0</v>
      </c>
      <c r="R2736" s="112" t="n">
        <v>604.17</v>
      </c>
      <c r="S2736" s="112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D2737" t="inlineStr"/>
      <c r="E2737" t="inlineStr">
        <is>
          <t>ER</t>
        </is>
      </c>
      <c r="F2737" t="inlineStr"/>
      <c r="G2737" s="126" t="inlineStr"/>
      <c r="H2737" s="125" t="n">
        <v>46166</v>
      </c>
      <c r="I2737" t="inlineStr"/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N2737" t="inlineStr"/>
      <c r="O2737" t="inlineStr">
        <is>
          <t>RGR114</t>
        </is>
      </c>
      <c r="P2737" t="inlineStr"/>
      <c r="Q2737" s="112" t="n">
        <v>0</v>
      </c>
      <c r="R2737" s="112" t="n">
        <v>604.17</v>
      </c>
      <c r="S2737" s="112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D2738" t="inlineStr"/>
      <c r="E2738" t="inlineStr">
        <is>
          <t>ER</t>
        </is>
      </c>
      <c r="F2738" t="inlineStr"/>
      <c r="G2738" s="126" t="inlineStr"/>
      <c r="H2738" s="125" t="n">
        <v>46166</v>
      </c>
      <c r="I2738" t="inlineStr"/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N2738" t="inlineStr"/>
      <c r="O2738" t="inlineStr">
        <is>
          <t>RFT890</t>
        </is>
      </c>
      <c r="P2738" t="inlineStr"/>
      <c r="Q2738" s="112" t="n">
        <v>0</v>
      </c>
      <c r="R2738" s="112" t="n">
        <v>500</v>
      </c>
      <c r="S2738" s="112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D2739" t="inlineStr"/>
      <c r="E2739" t="inlineStr">
        <is>
          <t>ER</t>
        </is>
      </c>
      <c r="F2739" t="inlineStr"/>
      <c r="G2739" s="126" t="inlineStr"/>
      <c r="H2739" s="125" t="n">
        <v>46166</v>
      </c>
      <c r="I2739" t="inlineStr"/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N2739" t="inlineStr"/>
      <c r="O2739" t="inlineStr">
        <is>
          <t>RFT890</t>
        </is>
      </c>
      <c r="P2739" t="inlineStr"/>
      <c r="Q2739" s="112" t="n">
        <v>0</v>
      </c>
      <c r="R2739" s="112" t="n">
        <v>500</v>
      </c>
      <c r="S2739" s="112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D2740" t="inlineStr"/>
      <c r="E2740" t="inlineStr">
        <is>
          <t>ER</t>
        </is>
      </c>
      <c r="F2740" t="inlineStr"/>
      <c r="G2740" s="126" t="inlineStr"/>
      <c r="H2740" s="125" t="n">
        <v>46166</v>
      </c>
      <c r="I2740" t="inlineStr"/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N2740" t="inlineStr"/>
      <c r="O2740" t="inlineStr">
        <is>
          <t>RFT890</t>
        </is>
      </c>
      <c r="P2740" t="inlineStr"/>
      <c r="Q2740" s="112" t="n">
        <v>0</v>
      </c>
      <c r="R2740" s="112" t="n">
        <v>500</v>
      </c>
      <c r="S2740" s="112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D2741" t="inlineStr"/>
      <c r="E2741" t="inlineStr">
        <is>
          <t>ER</t>
        </is>
      </c>
      <c r="F2741" t="inlineStr"/>
      <c r="G2741" s="126" t="inlineStr"/>
      <c r="H2741" s="125" t="n">
        <v>46166</v>
      </c>
      <c r="I2741" t="inlineStr"/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N2741" t="inlineStr"/>
      <c r="O2741" t="inlineStr">
        <is>
          <t>RFT892</t>
        </is>
      </c>
      <c r="P2741" t="inlineStr"/>
      <c r="Q2741" s="112" t="n">
        <v>0</v>
      </c>
      <c r="R2741" s="112" t="n">
        <v>508.33</v>
      </c>
      <c r="S2741" s="112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D2742" t="inlineStr"/>
      <c r="E2742" t="inlineStr">
        <is>
          <t>ER</t>
        </is>
      </c>
      <c r="F2742" t="inlineStr"/>
      <c r="G2742" s="126" t="inlineStr"/>
      <c r="H2742" s="125" t="n">
        <v>46166</v>
      </c>
      <c r="I2742" t="inlineStr"/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N2742" t="inlineStr"/>
      <c r="O2742" t="inlineStr">
        <is>
          <t>RFT892</t>
        </is>
      </c>
      <c r="P2742" t="inlineStr"/>
      <c r="Q2742" s="112" t="n">
        <v>0</v>
      </c>
      <c r="R2742" s="112" t="n">
        <v>508.33</v>
      </c>
      <c r="S2742" s="112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D2743" t="inlineStr"/>
      <c r="E2743" t="inlineStr">
        <is>
          <t>ER</t>
        </is>
      </c>
      <c r="F2743" t="inlineStr"/>
      <c r="G2743" s="126" t="inlineStr"/>
      <c r="H2743" s="125" t="n">
        <v>46166</v>
      </c>
      <c r="I2743" t="inlineStr"/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N2743" t="inlineStr"/>
      <c r="O2743" t="inlineStr">
        <is>
          <t>RFT892</t>
        </is>
      </c>
      <c r="P2743" t="inlineStr"/>
      <c r="Q2743" s="112" t="n">
        <v>0</v>
      </c>
      <c r="R2743" s="112" t="n">
        <v>508.33</v>
      </c>
      <c r="S2743" s="112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D2744" t="inlineStr"/>
      <c r="E2744" t="inlineStr">
        <is>
          <t>ER</t>
        </is>
      </c>
      <c r="F2744" t="inlineStr"/>
      <c r="G2744" s="126" t="inlineStr"/>
      <c r="H2744" s="125" t="n">
        <v>46166</v>
      </c>
      <c r="I2744" t="inlineStr"/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N2744" t="inlineStr"/>
      <c r="O2744" t="inlineStr">
        <is>
          <t>RFT891</t>
        </is>
      </c>
      <c r="P2744" t="inlineStr"/>
      <c r="Q2744" s="112" t="n">
        <v>0</v>
      </c>
      <c r="R2744" s="112" t="n">
        <v>500</v>
      </c>
      <c r="S2744" s="112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D2745" t="inlineStr"/>
      <c r="E2745" t="inlineStr">
        <is>
          <t>ER</t>
        </is>
      </c>
      <c r="F2745" t="inlineStr"/>
      <c r="G2745" s="126" t="inlineStr"/>
      <c r="H2745" s="125" t="n">
        <v>46166</v>
      </c>
      <c r="I2745" t="inlineStr"/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N2745" t="inlineStr"/>
      <c r="O2745" t="inlineStr">
        <is>
          <t>RFT891</t>
        </is>
      </c>
      <c r="P2745" t="inlineStr"/>
      <c r="Q2745" s="112" t="n">
        <v>0</v>
      </c>
      <c r="R2745" s="112" t="n">
        <v>500</v>
      </c>
      <c r="S2745" s="112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D2746" t="inlineStr"/>
      <c r="E2746" t="inlineStr">
        <is>
          <t>ER</t>
        </is>
      </c>
      <c r="F2746" t="inlineStr"/>
      <c r="G2746" s="126" t="inlineStr"/>
      <c r="H2746" s="125" t="n">
        <v>46166</v>
      </c>
      <c r="I2746" t="inlineStr"/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N2746" t="inlineStr"/>
      <c r="O2746" t="inlineStr">
        <is>
          <t>RFT891</t>
        </is>
      </c>
      <c r="P2746" t="inlineStr"/>
      <c r="Q2746" s="112" t="n">
        <v>0</v>
      </c>
      <c r="R2746" s="112" t="n">
        <v>500</v>
      </c>
      <c r="S2746" s="112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D2747" t="inlineStr"/>
      <c r="E2747" t="inlineStr">
        <is>
          <t>ER</t>
        </is>
      </c>
      <c r="F2747" t="inlineStr"/>
      <c r="G2747" s="126" t="inlineStr"/>
      <c r="H2747" s="125" t="n">
        <v>46166</v>
      </c>
      <c r="I2747" t="inlineStr"/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N2747" t="inlineStr"/>
      <c r="O2747" t="inlineStr">
        <is>
          <t>RMS2319</t>
        </is>
      </c>
      <c r="P2747" t="inlineStr"/>
      <c r="Q2747" s="112" t="n">
        <v>0</v>
      </c>
      <c r="R2747" s="112" t="n">
        <v>179.6</v>
      </c>
      <c r="S2747" s="112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D2748" t="inlineStr"/>
      <c r="E2748" t="inlineStr">
        <is>
          <t>ER</t>
        </is>
      </c>
      <c r="F2748" t="inlineStr"/>
      <c r="G2748" s="126" t="inlineStr"/>
      <c r="H2748" s="125" t="n">
        <v>46166</v>
      </c>
      <c r="I2748" t="inlineStr"/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N2748" t="inlineStr"/>
      <c r="O2748" t="inlineStr">
        <is>
          <t>RMS2319</t>
        </is>
      </c>
      <c r="P2748" t="inlineStr"/>
      <c r="Q2748" s="112" t="n">
        <v>0</v>
      </c>
      <c r="R2748" s="112" t="n">
        <v>179.6</v>
      </c>
      <c r="S2748" s="112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D2749" t="inlineStr"/>
      <c r="E2749" t="inlineStr">
        <is>
          <t>ER</t>
        </is>
      </c>
      <c r="F2749" t="inlineStr"/>
      <c r="G2749" s="126" t="inlineStr"/>
      <c r="H2749" s="125" t="n">
        <v>46166</v>
      </c>
      <c r="I2749" t="inlineStr"/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N2749" t="inlineStr"/>
      <c r="O2749" t="inlineStr">
        <is>
          <t>RMS2319</t>
        </is>
      </c>
      <c r="P2749" t="inlineStr"/>
      <c r="Q2749" s="112" t="n">
        <v>0</v>
      </c>
      <c r="R2749" s="112" t="n">
        <v>179.6</v>
      </c>
      <c r="S2749" s="112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D2750" t="inlineStr"/>
      <c r="E2750" t="inlineStr">
        <is>
          <t>ER</t>
        </is>
      </c>
      <c r="F2750" t="inlineStr"/>
      <c r="G2750" s="126" t="inlineStr"/>
      <c r="H2750" s="125" t="n">
        <v>46166</v>
      </c>
      <c r="I2750" t="inlineStr"/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N2750" t="inlineStr"/>
      <c r="O2750" t="inlineStr">
        <is>
          <t>RMS2321</t>
        </is>
      </c>
      <c r="P2750" t="inlineStr"/>
      <c r="Q2750" s="112" t="n">
        <v>0</v>
      </c>
      <c r="R2750" s="112" t="n">
        <v>1077.59</v>
      </c>
      <c r="S2750" s="112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D2751" t="inlineStr"/>
      <c r="E2751" t="inlineStr">
        <is>
          <t>ER</t>
        </is>
      </c>
      <c r="F2751" t="inlineStr"/>
      <c r="G2751" s="126" t="inlineStr"/>
      <c r="H2751" s="125" t="n">
        <v>46166</v>
      </c>
      <c r="I2751" t="inlineStr"/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N2751" t="inlineStr"/>
      <c r="O2751" t="inlineStr">
        <is>
          <t>RMS2321</t>
        </is>
      </c>
      <c r="P2751" t="inlineStr"/>
      <c r="Q2751" s="112" t="n">
        <v>0</v>
      </c>
      <c r="R2751" s="112" t="n">
        <v>1077.59</v>
      </c>
      <c r="S2751" s="112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D2752" t="inlineStr"/>
      <c r="E2752" t="inlineStr">
        <is>
          <t>ER</t>
        </is>
      </c>
      <c r="F2752" t="inlineStr"/>
      <c r="G2752" s="126" t="inlineStr"/>
      <c r="H2752" s="125" t="n">
        <v>46166</v>
      </c>
      <c r="I2752" t="inlineStr"/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N2752" t="inlineStr"/>
      <c r="O2752" t="inlineStr">
        <is>
          <t>RMS2321</t>
        </is>
      </c>
      <c r="P2752" t="inlineStr"/>
      <c r="Q2752" s="112" t="n">
        <v>0</v>
      </c>
      <c r="R2752" s="112" t="n">
        <v>1077.59</v>
      </c>
      <c r="S2752" s="112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D2753" t="inlineStr"/>
      <c r="E2753" t="inlineStr">
        <is>
          <t>ER</t>
        </is>
      </c>
      <c r="F2753" t="inlineStr"/>
      <c r="G2753" s="126" t="inlineStr"/>
      <c r="H2753" s="125" t="n">
        <v>46166</v>
      </c>
      <c r="I2753" t="inlineStr"/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N2753" t="inlineStr"/>
      <c r="O2753" t="inlineStr">
        <is>
          <t>RLD293</t>
        </is>
      </c>
      <c r="P2753" t="inlineStr"/>
      <c r="Q2753" s="112" t="n">
        <v>0</v>
      </c>
      <c r="R2753" s="112" t="n">
        <v>282.06</v>
      </c>
      <c r="S2753" s="112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D2754" t="inlineStr"/>
      <c r="E2754" t="inlineStr">
        <is>
          <t>ER</t>
        </is>
      </c>
      <c r="F2754" t="inlineStr"/>
      <c r="G2754" s="126" t="inlineStr"/>
      <c r="H2754" s="125" t="n">
        <v>46166</v>
      </c>
      <c r="I2754" t="inlineStr"/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N2754" t="inlineStr"/>
      <c r="O2754" t="inlineStr">
        <is>
          <t>RLD293</t>
        </is>
      </c>
      <c r="P2754" t="inlineStr"/>
      <c r="Q2754" s="112" t="n">
        <v>0</v>
      </c>
      <c r="R2754" s="112" t="n">
        <v>282.06</v>
      </c>
      <c r="S2754" s="112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D2755" t="inlineStr"/>
      <c r="E2755" t="inlineStr">
        <is>
          <t>ER</t>
        </is>
      </c>
      <c r="F2755" t="inlineStr"/>
      <c r="G2755" s="126" t="inlineStr"/>
      <c r="H2755" s="125" t="n">
        <v>46166</v>
      </c>
      <c r="I2755" t="inlineStr"/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N2755" t="inlineStr"/>
      <c r="O2755" t="inlineStr">
        <is>
          <t>RLD293</t>
        </is>
      </c>
      <c r="P2755" t="inlineStr"/>
      <c r="Q2755" s="112" t="n">
        <v>0</v>
      </c>
      <c r="R2755" s="112" t="n">
        <v>282.06</v>
      </c>
      <c r="S2755" s="112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D2756" t="inlineStr"/>
      <c r="E2756" t="inlineStr">
        <is>
          <t>ER</t>
        </is>
      </c>
      <c r="F2756" t="inlineStr"/>
      <c r="G2756" s="126" t="inlineStr"/>
      <c r="H2756" s="125" t="n">
        <v>46166</v>
      </c>
      <c r="I2756" t="inlineStr"/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N2756" t="inlineStr"/>
      <c r="O2756" t="inlineStr">
        <is>
          <t>RHV96</t>
        </is>
      </c>
      <c r="P2756" t="inlineStr"/>
      <c r="Q2756" s="112" t="n">
        <v>0</v>
      </c>
      <c r="R2756" s="112" t="n">
        <v>200</v>
      </c>
      <c r="S2756" s="112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D2757" t="inlineStr"/>
      <c r="E2757" t="inlineStr">
        <is>
          <t>ER</t>
        </is>
      </c>
      <c r="F2757" t="inlineStr"/>
      <c r="G2757" s="126" t="inlineStr"/>
      <c r="H2757" s="125" t="n">
        <v>46166</v>
      </c>
      <c r="I2757" t="inlineStr"/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N2757" t="inlineStr"/>
      <c r="O2757" t="inlineStr">
        <is>
          <t>RHV96</t>
        </is>
      </c>
      <c r="P2757" t="inlineStr"/>
      <c r="Q2757" s="112" t="n">
        <v>0</v>
      </c>
      <c r="R2757" s="112" t="n">
        <v>200</v>
      </c>
      <c r="S2757" s="112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D2758" t="inlineStr"/>
      <c r="E2758" t="inlineStr">
        <is>
          <t>ER</t>
        </is>
      </c>
      <c r="F2758" t="inlineStr"/>
      <c r="G2758" s="126" t="inlineStr"/>
      <c r="H2758" s="125" t="n">
        <v>46166</v>
      </c>
      <c r="I2758" t="inlineStr"/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N2758" t="inlineStr"/>
      <c r="O2758" t="inlineStr">
        <is>
          <t>RHV96</t>
        </is>
      </c>
      <c r="P2758" t="inlineStr"/>
      <c r="Q2758" s="112" t="n">
        <v>0</v>
      </c>
      <c r="R2758" s="112" t="n">
        <v>200</v>
      </c>
      <c r="S2758" s="112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D2759" t="inlineStr"/>
      <c r="E2759" t="inlineStr">
        <is>
          <t>ER</t>
        </is>
      </c>
      <c r="F2759" t="inlineStr"/>
      <c r="G2759" s="126" t="inlineStr"/>
      <c r="H2759" s="125" t="n">
        <v>46166</v>
      </c>
      <c r="I2759" t="inlineStr"/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N2759" t="inlineStr"/>
      <c r="O2759" t="inlineStr">
        <is>
          <t>RMS2320</t>
        </is>
      </c>
      <c r="P2759" t="inlineStr"/>
      <c r="Q2759" s="112" t="n">
        <v>0</v>
      </c>
      <c r="R2759" s="112" t="n">
        <v>1077.59</v>
      </c>
      <c r="S2759" s="112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D2760" t="inlineStr"/>
      <c r="E2760" t="inlineStr">
        <is>
          <t>ER</t>
        </is>
      </c>
      <c r="F2760" t="inlineStr"/>
      <c r="G2760" s="126" t="inlineStr"/>
      <c r="H2760" s="125" t="n">
        <v>46166</v>
      </c>
      <c r="I2760" t="inlineStr"/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N2760" t="inlineStr"/>
      <c r="O2760" t="inlineStr">
        <is>
          <t>RMS2320</t>
        </is>
      </c>
      <c r="P2760" t="inlineStr"/>
      <c r="Q2760" s="112" t="n">
        <v>0</v>
      </c>
      <c r="R2760" s="112" t="n">
        <v>1077.59</v>
      </c>
      <c r="S2760" s="112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D2761" t="inlineStr"/>
      <c r="E2761" t="inlineStr">
        <is>
          <t>ER</t>
        </is>
      </c>
      <c r="F2761" t="inlineStr"/>
      <c r="G2761" s="126" t="inlineStr"/>
      <c r="H2761" s="125" t="n">
        <v>46166</v>
      </c>
      <c r="I2761" t="inlineStr"/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N2761" t="inlineStr"/>
      <c r="O2761" t="inlineStr">
        <is>
          <t>RMS2320</t>
        </is>
      </c>
      <c r="P2761" t="inlineStr"/>
      <c r="Q2761" s="112" t="n">
        <v>0</v>
      </c>
      <c r="R2761" s="112" t="n">
        <v>1077.59</v>
      </c>
      <c r="S2761" s="112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D2762" t="inlineStr"/>
      <c r="E2762" t="inlineStr">
        <is>
          <t>ER</t>
        </is>
      </c>
      <c r="F2762" t="inlineStr"/>
      <c r="G2762" s="126" t="inlineStr"/>
      <c r="H2762" s="125" t="n">
        <v>46166</v>
      </c>
      <c r="I2762" t="inlineStr"/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N2762" t="inlineStr"/>
      <c r="O2762" t="inlineStr">
        <is>
          <t>REX665</t>
        </is>
      </c>
      <c r="P2762" t="inlineStr"/>
      <c r="Q2762" s="112" t="n">
        <v>0</v>
      </c>
      <c r="R2762" s="112" t="n">
        <v>458.33</v>
      </c>
      <c r="S2762" s="112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D2763" t="inlineStr"/>
      <c r="E2763" t="inlineStr">
        <is>
          <t>ER</t>
        </is>
      </c>
      <c r="F2763" t="inlineStr"/>
      <c r="G2763" s="126" t="inlineStr"/>
      <c r="H2763" s="125" t="n">
        <v>46166</v>
      </c>
      <c r="I2763" t="inlineStr"/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N2763" t="inlineStr"/>
      <c r="O2763" t="inlineStr">
        <is>
          <t>REX665</t>
        </is>
      </c>
      <c r="P2763" t="inlineStr"/>
      <c r="Q2763" s="112" t="n">
        <v>0</v>
      </c>
      <c r="R2763" s="112" t="n">
        <v>458.33</v>
      </c>
      <c r="S2763" s="112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D2764" t="inlineStr"/>
      <c r="E2764" t="inlineStr">
        <is>
          <t>ER</t>
        </is>
      </c>
      <c r="F2764" t="inlineStr"/>
      <c r="G2764" s="126" t="inlineStr"/>
      <c r="H2764" s="125" t="n">
        <v>46166</v>
      </c>
      <c r="I2764" t="inlineStr"/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N2764" t="inlineStr"/>
      <c r="O2764" t="inlineStr">
        <is>
          <t>REX665</t>
        </is>
      </c>
      <c r="P2764" t="inlineStr"/>
      <c r="Q2764" s="112" t="n">
        <v>0</v>
      </c>
      <c r="R2764" s="112" t="n">
        <v>458.33</v>
      </c>
      <c r="S2764" s="112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D2765" t="inlineStr"/>
      <c r="E2765" t="inlineStr">
        <is>
          <t>ER</t>
        </is>
      </c>
      <c r="F2765" t="inlineStr"/>
      <c r="G2765" s="126" t="inlineStr"/>
      <c r="H2765" s="125" t="n">
        <v>46166</v>
      </c>
      <c r="I2765" t="inlineStr"/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N2765" t="inlineStr"/>
      <c r="O2765" t="inlineStr">
        <is>
          <t>RPK482</t>
        </is>
      </c>
      <c r="P2765" t="inlineStr"/>
      <c r="Q2765" s="112" t="n">
        <v>0</v>
      </c>
      <c r="R2765" s="112" t="n">
        <v>300</v>
      </c>
      <c r="S2765" s="112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D2766" t="inlineStr"/>
      <c r="E2766" t="inlineStr">
        <is>
          <t>ER</t>
        </is>
      </c>
      <c r="F2766" t="inlineStr"/>
      <c r="G2766" s="126" t="inlineStr"/>
      <c r="H2766" s="125" t="n">
        <v>46166</v>
      </c>
      <c r="I2766" t="inlineStr"/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N2766" t="inlineStr"/>
      <c r="O2766" t="inlineStr">
        <is>
          <t>RPK482</t>
        </is>
      </c>
      <c r="P2766" t="inlineStr"/>
      <c r="Q2766" s="112" t="n">
        <v>0</v>
      </c>
      <c r="R2766" s="112" t="n">
        <v>300</v>
      </c>
      <c r="S2766" s="112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D2767" t="inlineStr"/>
      <c r="E2767" t="inlineStr">
        <is>
          <t>ER</t>
        </is>
      </c>
      <c r="F2767" t="inlineStr"/>
      <c r="G2767" s="126" t="inlineStr"/>
      <c r="H2767" s="125" t="n">
        <v>46166</v>
      </c>
      <c r="I2767" t="inlineStr"/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N2767" t="inlineStr"/>
      <c r="O2767" t="inlineStr">
        <is>
          <t>RPK482</t>
        </is>
      </c>
      <c r="P2767" t="inlineStr"/>
      <c r="Q2767" s="112" t="n">
        <v>0</v>
      </c>
      <c r="R2767" s="112" t="n">
        <v>300</v>
      </c>
      <c r="S2767" s="112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D2768" t="inlineStr"/>
      <c r="E2768" t="inlineStr">
        <is>
          <t>ER</t>
        </is>
      </c>
      <c r="F2768" t="inlineStr"/>
      <c r="G2768" s="126" t="inlineStr"/>
      <c r="H2768" s="125" t="n">
        <v>46166</v>
      </c>
      <c r="I2768" t="inlineStr"/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N2768" t="inlineStr"/>
      <c r="O2768" t="inlineStr">
        <is>
          <t>RMS2318</t>
        </is>
      </c>
      <c r="P2768" t="inlineStr"/>
      <c r="Q2768" s="112" t="n">
        <v>0</v>
      </c>
      <c r="R2768" s="112" t="n">
        <v>200</v>
      </c>
      <c r="S2768" s="112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D2769" t="inlineStr"/>
      <c r="E2769" t="inlineStr">
        <is>
          <t>ER</t>
        </is>
      </c>
      <c r="F2769" t="inlineStr"/>
      <c r="G2769" s="126" t="inlineStr"/>
      <c r="H2769" s="125" t="n">
        <v>46166</v>
      </c>
      <c r="I2769" t="inlineStr"/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N2769" t="inlineStr"/>
      <c r="O2769" t="inlineStr">
        <is>
          <t>RMS2318</t>
        </is>
      </c>
      <c r="P2769" t="inlineStr"/>
      <c r="Q2769" s="112" t="n">
        <v>0</v>
      </c>
      <c r="R2769" s="112" t="n">
        <v>200</v>
      </c>
      <c r="S2769" s="112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D2770" t="inlineStr"/>
      <c r="E2770" t="inlineStr">
        <is>
          <t>ER</t>
        </is>
      </c>
      <c r="F2770" t="inlineStr"/>
      <c r="G2770" s="126" t="inlineStr"/>
      <c r="H2770" s="125" t="n">
        <v>46166</v>
      </c>
      <c r="I2770" t="inlineStr"/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N2770" t="inlineStr"/>
      <c r="O2770" t="inlineStr">
        <is>
          <t>RMS2318</t>
        </is>
      </c>
      <c r="P2770" t="inlineStr"/>
      <c r="Q2770" s="112" t="n">
        <v>0</v>
      </c>
      <c r="R2770" s="112" t="n">
        <v>200</v>
      </c>
      <c r="S2770" s="112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D2771" t="inlineStr"/>
      <c r="E2771" t="inlineStr">
        <is>
          <t>ER</t>
        </is>
      </c>
      <c r="F2771" t="inlineStr"/>
      <c r="G2771" s="126" t="inlineStr"/>
      <c r="H2771" s="125" t="n">
        <v>46166</v>
      </c>
      <c r="I2771" t="inlineStr"/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N2771" t="inlineStr"/>
      <c r="O2771" t="inlineStr">
        <is>
          <t>RMS2317</t>
        </is>
      </c>
      <c r="P2771" t="inlineStr"/>
      <c r="Q2771" s="112" t="n">
        <v>0</v>
      </c>
      <c r="R2771" s="112" t="n">
        <v>287.36</v>
      </c>
      <c r="S2771" s="112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D2772" t="inlineStr"/>
      <c r="E2772" t="inlineStr">
        <is>
          <t>ER</t>
        </is>
      </c>
      <c r="F2772" t="inlineStr"/>
      <c r="G2772" s="126" t="inlineStr"/>
      <c r="H2772" s="125" t="n">
        <v>46166</v>
      </c>
      <c r="I2772" t="inlineStr"/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N2772" t="inlineStr"/>
      <c r="O2772" t="inlineStr">
        <is>
          <t>RMS2317</t>
        </is>
      </c>
      <c r="P2772" t="inlineStr"/>
      <c r="Q2772" s="112" t="n">
        <v>0</v>
      </c>
      <c r="R2772" s="112" t="n">
        <v>287.36</v>
      </c>
      <c r="S2772" s="112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D2773" t="inlineStr"/>
      <c r="E2773" t="inlineStr">
        <is>
          <t>ER</t>
        </is>
      </c>
      <c r="F2773" t="inlineStr"/>
      <c r="G2773" s="126" t="inlineStr"/>
      <c r="H2773" s="125" t="n">
        <v>46166</v>
      </c>
      <c r="I2773" t="inlineStr"/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N2773" t="inlineStr"/>
      <c r="O2773" t="inlineStr">
        <is>
          <t>RMS2317</t>
        </is>
      </c>
      <c r="P2773" t="inlineStr"/>
      <c r="Q2773" s="112" t="n">
        <v>0</v>
      </c>
      <c r="R2773" s="112" t="n">
        <v>287.36</v>
      </c>
      <c r="S2773" s="112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D2774" t="inlineStr"/>
      <c r="E2774" t="inlineStr">
        <is>
          <t>ER</t>
        </is>
      </c>
      <c r="F2774" t="inlineStr"/>
      <c r="G2774" s="126" t="inlineStr"/>
      <c r="H2774" s="125" t="n">
        <v>46166</v>
      </c>
      <c r="I2774" t="inlineStr"/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N2774" t="inlineStr"/>
      <c r="O2774" t="inlineStr">
        <is>
          <t>RMS2388</t>
        </is>
      </c>
      <c r="P2774" t="inlineStr"/>
      <c r="Q2774" s="112" t="n">
        <v>0</v>
      </c>
      <c r="R2774" s="112" t="n">
        <v>125</v>
      </c>
      <c r="S2774" s="112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D2775" t="inlineStr"/>
      <c r="E2775" t="inlineStr">
        <is>
          <t>ER</t>
        </is>
      </c>
      <c r="F2775" t="inlineStr"/>
      <c r="G2775" s="126" t="inlineStr"/>
      <c r="H2775" s="125" t="n">
        <v>46166</v>
      </c>
      <c r="I2775" t="inlineStr"/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N2775" t="inlineStr"/>
      <c r="O2775" t="inlineStr">
        <is>
          <t>RMS2388</t>
        </is>
      </c>
      <c r="P2775" t="inlineStr"/>
      <c r="Q2775" s="112" t="n">
        <v>0</v>
      </c>
      <c r="R2775" s="112" t="n">
        <v>125</v>
      </c>
      <c r="S2775" s="112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D2776" t="inlineStr"/>
      <c r="E2776" t="inlineStr">
        <is>
          <t>ER</t>
        </is>
      </c>
      <c r="F2776" t="inlineStr"/>
      <c r="G2776" s="126" t="inlineStr"/>
      <c r="H2776" s="125" t="n">
        <v>46166</v>
      </c>
      <c r="I2776" t="inlineStr"/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N2776" t="inlineStr"/>
      <c r="O2776" t="inlineStr">
        <is>
          <t>RMS2388</t>
        </is>
      </c>
      <c r="P2776" t="inlineStr"/>
      <c r="Q2776" s="112" t="n">
        <v>0</v>
      </c>
      <c r="R2776" s="112" t="n">
        <v>125</v>
      </c>
      <c r="S2776" s="112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D2777" t="inlineStr"/>
      <c r="E2777" t="inlineStr">
        <is>
          <t>ER</t>
        </is>
      </c>
      <c r="F2777" t="inlineStr"/>
      <c r="G2777" s="126" t="inlineStr"/>
      <c r="H2777" s="125" t="n">
        <v>46166</v>
      </c>
      <c r="I2777" t="inlineStr"/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N2777" t="inlineStr"/>
      <c r="O2777" t="inlineStr">
        <is>
          <t>RLV100049</t>
        </is>
      </c>
      <c r="P2777" t="inlineStr"/>
      <c r="Q2777" s="112" t="n">
        <v>0</v>
      </c>
      <c r="R2777" s="112" t="n">
        <v>109.92</v>
      </c>
      <c r="S2777" s="112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D2778" t="inlineStr"/>
      <c r="E2778" t="inlineStr">
        <is>
          <t>ER</t>
        </is>
      </c>
      <c r="F2778" t="inlineStr"/>
      <c r="G2778" s="126" t="inlineStr"/>
      <c r="H2778" s="125" t="n">
        <v>46166</v>
      </c>
      <c r="I2778" t="inlineStr"/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N2778" t="inlineStr"/>
      <c r="O2778" t="inlineStr">
        <is>
          <t>RLV100049</t>
        </is>
      </c>
      <c r="P2778" t="inlineStr"/>
      <c r="Q2778" s="112" t="n">
        <v>0</v>
      </c>
      <c r="R2778" s="112" t="n">
        <v>109.92</v>
      </c>
      <c r="S2778" s="112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D2779" t="inlineStr"/>
      <c r="E2779" t="inlineStr">
        <is>
          <t>LA</t>
        </is>
      </c>
      <c r="F2779" t="inlineStr"/>
      <c r="G2779" s="126" t="inlineStr"/>
      <c r="H2779" s="125" t="n">
        <v>46135</v>
      </c>
      <c r="I2779" t="inlineStr"/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N2779" t="inlineStr"/>
      <c r="O2779" t="inlineStr"/>
      <c r="P2779" t="inlineStr"/>
      <c r="Q2779" s="112" t="n">
        <v>0</v>
      </c>
      <c r="R2779" s="112" t="n">
        <v>1558.07</v>
      </c>
      <c r="S2779" s="112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D2780" t="inlineStr"/>
      <c r="E2780" t="inlineStr">
        <is>
          <t>LA</t>
        </is>
      </c>
      <c r="F2780" t="inlineStr"/>
      <c r="G2780" s="126" t="inlineStr"/>
      <c r="H2780" s="125" t="n">
        <v>46135</v>
      </c>
      <c r="I2780" t="inlineStr"/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N2780" t="inlineStr"/>
      <c r="O2780" t="inlineStr"/>
      <c r="P2780" t="inlineStr"/>
      <c r="Q2780" s="112" t="n">
        <v>0</v>
      </c>
      <c r="R2780" s="112" t="n">
        <v>2309.18</v>
      </c>
      <c r="S2780" s="112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D2781" t="inlineStr"/>
      <c r="E2781" t="inlineStr">
        <is>
          <t>LA</t>
        </is>
      </c>
      <c r="F2781" t="inlineStr"/>
      <c r="G2781" s="126" t="inlineStr"/>
      <c r="H2781" s="125" t="n">
        <v>46135</v>
      </c>
      <c r="I2781" t="inlineStr"/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N2781" t="inlineStr"/>
      <c r="O2781" t="inlineStr"/>
      <c r="P2781" t="inlineStr"/>
      <c r="Q2781" s="112" t="n">
        <v>0</v>
      </c>
      <c r="R2781" s="112" t="n">
        <v>2309.18</v>
      </c>
      <c r="S2781" s="112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D2782" t="inlineStr"/>
      <c r="E2782" t="inlineStr">
        <is>
          <t>LA</t>
        </is>
      </c>
      <c r="F2782" t="inlineStr"/>
      <c r="G2782" s="126" t="inlineStr"/>
      <c r="H2782" s="125" t="n">
        <v>46135</v>
      </c>
      <c r="I2782" t="inlineStr"/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N2782" t="inlineStr"/>
      <c r="O2782" t="inlineStr"/>
      <c r="P2782" t="inlineStr"/>
      <c r="Q2782" s="112" t="n">
        <v>0</v>
      </c>
      <c r="R2782" s="112" t="n">
        <v>2090.36</v>
      </c>
      <c r="S2782" s="112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D2783" t="inlineStr"/>
      <c r="E2783" t="inlineStr">
        <is>
          <t>LA</t>
        </is>
      </c>
      <c r="F2783" t="inlineStr"/>
      <c r="G2783" s="126" t="inlineStr"/>
      <c r="H2783" s="125" t="n">
        <v>46135</v>
      </c>
      <c r="I2783" t="inlineStr"/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N2783" t="inlineStr"/>
      <c r="O2783" t="inlineStr"/>
      <c r="P2783" t="inlineStr"/>
      <c r="Q2783" s="112" t="n">
        <v>0</v>
      </c>
      <c r="R2783" s="112" t="n">
        <v>656.0700000000001</v>
      </c>
      <c r="S2783" s="112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D2784" t="inlineStr"/>
      <c r="E2784" t="inlineStr">
        <is>
          <t>LA</t>
        </is>
      </c>
      <c r="F2784" t="inlineStr"/>
      <c r="G2784" s="126" t="inlineStr"/>
      <c r="H2784" s="125" t="n">
        <v>46135</v>
      </c>
      <c r="I2784" t="inlineStr"/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N2784" t="inlineStr"/>
      <c r="O2784" t="inlineStr"/>
      <c r="P2784" t="inlineStr"/>
      <c r="Q2784" s="112" t="n">
        <v>0</v>
      </c>
      <c r="R2784" s="112" t="n">
        <v>608.75</v>
      </c>
      <c r="S2784" s="112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D2785" t="inlineStr"/>
      <c r="E2785" t="inlineStr">
        <is>
          <t>LA</t>
        </is>
      </c>
      <c r="F2785" t="inlineStr"/>
      <c r="G2785" s="126" t="inlineStr"/>
      <c r="H2785" s="125" t="n">
        <v>46135</v>
      </c>
      <c r="I2785" t="inlineStr"/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N2785" t="inlineStr"/>
      <c r="O2785" t="inlineStr"/>
      <c r="P2785" t="inlineStr"/>
      <c r="Q2785" s="112" t="n">
        <v>0</v>
      </c>
      <c r="R2785" s="112" t="n">
        <v>608.75</v>
      </c>
      <c r="S2785" s="112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D2786" t="inlineStr"/>
      <c r="E2786" t="inlineStr">
        <is>
          <t>LA</t>
        </is>
      </c>
      <c r="F2786" t="inlineStr"/>
      <c r="G2786" s="126" t="inlineStr"/>
      <c r="H2786" s="125" t="n">
        <v>46142</v>
      </c>
      <c r="I2786" t="inlineStr"/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N2786" t="inlineStr"/>
      <c r="O2786" t="inlineStr"/>
      <c r="P2786" t="inlineStr"/>
      <c r="Q2786" s="112" t="n">
        <v>0</v>
      </c>
      <c r="R2786" s="112" t="n">
        <v>2109.11</v>
      </c>
      <c r="S2786" s="112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D2787" t="inlineStr"/>
      <c r="E2787" t="inlineStr">
        <is>
          <t>LA</t>
        </is>
      </c>
      <c r="F2787" t="inlineStr"/>
      <c r="G2787" s="126" t="inlineStr"/>
      <c r="H2787" s="125" t="n">
        <v>46142</v>
      </c>
      <c r="I2787" t="inlineStr"/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N2787" t="inlineStr"/>
      <c r="O2787" t="inlineStr"/>
      <c r="P2787" t="inlineStr"/>
      <c r="Q2787" s="112" t="n">
        <v>0</v>
      </c>
      <c r="R2787" s="112" t="n">
        <v>2210.22</v>
      </c>
      <c r="S2787" s="112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D2788" t="inlineStr"/>
      <c r="E2788" t="inlineStr">
        <is>
          <t>LA</t>
        </is>
      </c>
      <c r="F2788" t="inlineStr"/>
      <c r="G2788" s="126" t="inlineStr"/>
      <c r="H2788" s="125" t="n">
        <v>46142</v>
      </c>
      <c r="I2788" t="inlineStr"/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N2788" t="inlineStr"/>
      <c r="O2788" t="inlineStr"/>
      <c r="P2788" t="inlineStr"/>
      <c r="Q2788" s="112" t="n">
        <v>0</v>
      </c>
      <c r="R2788" s="112" t="n">
        <v>1506.63</v>
      </c>
      <c r="S2788" s="112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D2789" t="inlineStr"/>
      <c r="E2789" t="inlineStr">
        <is>
          <t>LA</t>
        </is>
      </c>
      <c r="F2789" t="inlineStr"/>
      <c r="G2789" s="126" t="inlineStr"/>
      <c r="H2789" s="125" t="n">
        <v>46142</v>
      </c>
      <c r="I2789" t="inlineStr"/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N2789" t="inlineStr"/>
      <c r="O2789" t="inlineStr"/>
      <c r="P2789" t="inlineStr"/>
      <c r="Q2789" s="112" t="n">
        <v>0</v>
      </c>
      <c r="R2789" s="112" t="n">
        <v>1184.22</v>
      </c>
      <c r="S2789" s="112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D2790" t="inlineStr"/>
      <c r="E2790" t="inlineStr">
        <is>
          <t>LA</t>
        </is>
      </c>
      <c r="F2790" t="inlineStr"/>
      <c r="G2790" s="126" t="inlineStr"/>
      <c r="H2790" s="125" t="n">
        <v>46142</v>
      </c>
      <c r="I2790" t="inlineStr"/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N2790" t="inlineStr"/>
      <c r="O2790" t="inlineStr"/>
      <c r="P2790" t="inlineStr"/>
      <c r="Q2790" s="112" t="n">
        <v>0</v>
      </c>
      <c r="R2790" s="112" t="n">
        <v>700</v>
      </c>
      <c r="S2790" s="112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D2791" t="inlineStr"/>
      <c r="E2791" t="inlineStr">
        <is>
          <t>LA</t>
        </is>
      </c>
      <c r="F2791" t="inlineStr"/>
      <c r="G2791" s="126" t="inlineStr"/>
      <c r="H2791" s="125" t="n">
        <v>46163</v>
      </c>
      <c r="I2791" t="inlineStr"/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N2791" t="inlineStr"/>
      <c r="O2791" t="inlineStr"/>
      <c r="P2791" t="inlineStr"/>
      <c r="Q2791" s="112" t="n">
        <v>0</v>
      </c>
      <c r="R2791" s="112" t="n">
        <v>3605.6</v>
      </c>
      <c r="S2791" s="112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D2792" t="inlineStr"/>
      <c r="E2792" t="inlineStr">
        <is>
          <t>LA</t>
        </is>
      </c>
      <c r="F2792" t="inlineStr"/>
      <c r="G2792" s="126" t="inlineStr"/>
      <c r="H2792" s="125" t="n">
        <v>46163</v>
      </c>
      <c r="I2792" t="inlineStr"/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N2792" t="inlineStr"/>
      <c r="O2792" t="inlineStr"/>
      <c r="P2792" t="inlineStr"/>
      <c r="Q2792" s="112" t="n">
        <v>0</v>
      </c>
      <c r="R2792" s="112" t="n">
        <v>3115.72</v>
      </c>
      <c r="S2792" s="112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D2793" t="inlineStr"/>
      <c r="E2793" t="inlineStr">
        <is>
          <t>LA</t>
        </is>
      </c>
      <c r="F2793" t="inlineStr"/>
      <c r="G2793" s="126" t="inlineStr"/>
      <c r="H2793" s="125" t="n">
        <v>46163</v>
      </c>
      <c r="I2793" t="inlineStr"/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N2793" t="inlineStr"/>
      <c r="O2793" t="inlineStr"/>
      <c r="P2793" t="inlineStr"/>
      <c r="Q2793" s="112" t="n">
        <v>0</v>
      </c>
      <c r="R2793" s="112" t="n">
        <v>2889.24</v>
      </c>
      <c r="S2793" s="112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D2794" t="inlineStr"/>
      <c r="E2794" t="inlineStr">
        <is>
          <t>LA</t>
        </is>
      </c>
      <c r="F2794" t="inlineStr"/>
      <c r="G2794" s="126" t="inlineStr"/>
      <c r="H2794" s="125" t="n">
        <v>46163</v>
      </c>
      <c r="I2794" t="inlineStr"/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N2794" t="inlineStr"/>
      <c r="O2794" t="inlineStr"/>
      <c r="P2794" t="inlineStr"/>
      <c r="Q2794" s="112" t="n">
        <v>0</v>
      </c>
      <c r="R2794" s="112" t="n">
        <v>2317.98</v>
      </c>
      <c r="S2794" s="112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D2795" t="inlineStr"/>
      <c r="E2795" t="inlineStr">
        <is>
          <t>LA</t>
        </is>
      </c>
      <c r="F2795" t="inlineStr"/>
      <c r="G2795" s="126" t="inlineStr"/>
      <c r="H2795" s="125" t="n">
        <v>46163</v>
      </c>
      <c r="I2795" t="inlineStr"/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N2795" t="inlineStr"/>
      <c r="O2795" t="inlineStr"/>
      <c r="P2795" t="inlineStr"/>
      <c r="Q2795" s="112" t="n">
        <v>0</v>
      </c>
      <c r="R2795" s="112" t="n">
        <v>631.72</v>
      </c>
      <c r="S2795" s="112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D2796" t="inlineStr"/>
      <c r="E2796" t="inlineStr">
        <is>
          <t>LA</t>
        </is>
      </c>
      <c r="F2796" t="inlineStr"/>
      <c r="G2796" s="126" t="inlineStr"/>
      <c r="H2796" s="125" t="n">
        <v>46163</v>
      </c>
      <c r="I2796" t="inlineStr"/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N2796" t="inlineStr"/>
      <c r="O2796" t="inlineStr"/>
      <c r="P2796" t="inlineStr"/>
      <c r="Q2796" s="112" t="n">
        <v>0</v>
      </c>
      <c r="R2796" s="112" t="n">
        <v>501.62</v>
      </c>
      <c r="S2796" s="112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D2797" t="inlineStr"/>
      <c r="E2797" t="inlineStr">
        <is>
          <t>EQ</t>
        </is>
      </c>
      <c r="F2797" t="inlineStr"/>
      <c r="G2797" s="126" t="inlineStr"/>
      <c r="H2797" s="125" t="n">
        <v>46152</v>
      </c>
      <c r="I2797" t="inlineStr"/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N2797" t="inlineStr"/>
      <c r="O2797" t="inlineStr">
        <is>
          <t>TR145</t>
        </is>
      </c>
      <c r="P2797" t="inlineStr"/>
      <c r="Q2797" s="112" t="n">
        <v>0</v>
      </c>
      <c r="R2797" s="112" t="n">
        <v>65</v>
      </c>
      <c r="S2797" s="112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D2798" t="inlineStr"/>
      <c r="E2798" t="inlineStr">
        <is>
          <t>EQ</t>
        </is>
      </c>
      <c r="F2798" t="inlineStr"/>
      <c r="G2798" s="126" t="inlineStr"/>
      <c r="H2798" s="125" t="n">
        <v>46152</v>
      </c>
      <c r="I2798" t="inlineStr"/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N2798" t="inlineStr"/>
      <c r="O2798" t="inlineStr">
        <is>
          <t>TR145</t>
        </is>
      </c>
      <c r="P2798" t="inlineStr"/>
      <c r="Q2798" s="112" t="n">
        <v>0</v>
      </c>
      <c r="R2798" s="112" t="n">
        <v>65</v>
      </c>
      <c r="S2798" s="112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D2799" t="inlineStr"/>
      <c r="E2799" t="inlineStr">
        <is>
          <t>EQ</t>
        </is>
      </c>
      <c r="F2799" t="inlineStr"/>
      <c r="G2799" s="126" t="inlineStr"/>
      <c r="H2799" s="125" t="n">
        <v>46152</v>
      </c>
      <c r="I2799" t="inlineStr"/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N2799" t="inlineStr"/>
      <c r="O2799" t="inlineStr">
        <is>
          <t>TR145</t>
        </is>
      </c>
      <c r="P2799" t="inlineStr"/>
      <c r="Q2799" s="112" t="n">
        <v>0</v>
      </c>
      <c r="R2799" s="112" t="n">
        <v>65</v>
      </c>
      <c r="S2799" s="112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D2800" t="inlineStr"/>
      <c r="E2800" t="inlineStr">
        <is>
          <t>EQ</t>
        </is>
      </c>
      <c r="F2800" t="inlineStr"/>
      <c r="G2800" s="126" t="inlineStr"/>
      <c r="H2800" s="125" t="n">
        <v>46152</v>
      </c>
      <c r="I2800" t="inlineStr"/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N2800" t="inlineStr"/>
      <c r="O2800" t="inlineStr">
        <is>
          <t>TR145</t>
        </is>
      </c>
      <c r="P2800" t="inlineStr"/>
      <c r="Q2800" s="112" t="n">
        <v>0</v>
      </c>
      <c r="R2800" s="112" t="n">
        <v>65</v>
      </c>
      <c r="S2800" s="112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D2801" t="inlineStr"/>
      <c r="E2801" t="inlineStr">
        <is>
          <t>EQ</t>
        </is>
      </c>
      <c r="F2801" t="inlineStr"/>
      <c r="G2801" s="126" t="inlineStr"/>
      <c r="H2801" s="125" t="n">
        <v>46159</v>
      </c>
      <c r="I2801" t="inlineStr"/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N2801" t="inlineStr"/>
      <c r="O2801" t="inlineStr">
        <is>
          <t>TR145</t>
        </is>
      </c>
      <c r="P2801" t="inlineStr"/>
      <c r="Q2801" s="112" t="n">
        <v>0</v>
      </c>
      <c r="R2801" s="112" t="n">
        <v>65</v>
      </c>
      <c r="S2801" s="112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D2802" t="inlineStr"/>
      <c r="E2802" t="inlineStr">
        <is>
          <t>EQ</t>
        </is>
      </c>
      <c r="F2802" t="inlineStr"/>
      <c r="G2802" s="126" t="inlineStr"/>
      <c r="H2802" s="125" t="n">
        <v>46159</v>
      </c>
      <c r="I2802" t="inlineStr"/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N2802" t="inlineStr"/>
      <c r="O2802" t="inlineStr">
        <is>
          <t>TR145</t>
        </is>
      </c>
      <c r="P2802" t="inlineStr"/>
      <c r="Q2802" s="112" t="n">
        <v>0</v>
      </c>
      <c r="R2802" s="112" t="n">
        <v>65</v>
      </c>
      <c r="S2802" s="112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D2803" t="inlineStr"/>
      <c r="E2803" t="inlineStr">
        <is>
          <t>EQ</t>
        </is>
      </c>
      <c r="F2803" t="inlineStr"/>
      <c r="G2803" s="126" t="inlineStr"/>
      <c r="H2803" s="125" t="n">
        <v>46159</v>
      </c>
      <c r="I2803" t="inlineStr"/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N2803" t="inlineStr"/>
      <c r="O2803" t="inlineStr">
        <is>
          <t>TR145</t>
        </is>
      </c>
      <c r="P2803" t="inlineStr"/>
      <c r="Q2803" s="112" t="n">
        <v>0</v>
      </c>
      <c r="R2803" s="112" t="n">
        <v>65</v>
      </c>
      <c r="S2803" s="112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D2804" t="inlineStr"/>
      <c r="E2804" t="inlineStr">
        <is>
          <t>EQ</t>
        </is>
      </c>
      <c r="F2804" t="inlineStr"/>
      <c r="G2804" s="126" t="inlineStr"/>
      <c r="H2804" s="125" t="n">
        <v>46159</v>
      </c>
      <c r="I2804" t="inlineStr"/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N2804" t="inlineStr"/>
      <c r="O2804" t="inlineStr">
        <is>
          <t>TR145</t>
        </is>
      </c>
      <c r="P2804" t="inlineStr"/>
      <c r="Q2804" s="112" t="n">
        <v>0</v>
      </c>
      <c r="R2804" s="112" t="n">
        <v>65</v>
      </c>
      <c r="S2804" s="112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D2805" t="inlineStr"/>
      <c r="E2805" t="inlineStr">
        <is>
          <t>EQ</t>
        </is>
      </c>
      <c r="F2805" t="inlineStr"/>
      <c r="G2805" s="126" t="inlineStr"/>
      <c r="H2805" s="125" t="n">
        <v>46159</v>
      </c>
      <c r="I2805" t="inlineStr"/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N2805" t="inlineStr"/>
      <c r="O2805" t="inlineStr">
        <is>
          <t>TR145</t>
        </is>
      </c>
      <c r="P2805" t="inlineStr"/>
      <c r="Q2805" s="112" t="n">
        <v>0</v>
      </c>
      <c r="R2805" s="112" t="n">
        <v>65</v>
      </c>
      <c r="S2805" s="112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D2806" t="inlineStr"/>
      <c r="E2806" t="inlineStr">
        <is>
          <t>EQ</t>
        </is>
      </c>
      <c r="F2806" t="inlineStr"/>
      <c r="G2806" s="126" t="inlineStr"/>
      <c r="H2806" s="125" t="n">
        <v>46166</v>
      </c>
      <c r="I2806" t="inlineStr"/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N2806" t="inlineStr"/>
      <c r="O2806" t="inlineStr">
        <is>
          <t>TR145</t>
        </is>
      </c>
      <c r="P2806" t="inlineStr"/>
      <c r="Q2806" s="112" t="n">
        <v>0</v>
      </c>
      <c r="R2806" s="112" t="n">
        <v>65</v>
      </c>
      <c r="S2806" s="112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D2807" t="inlineStr"/>
      <c r="E2807" t="inlineStr">
        <is>
          <t>EQ</t>
        </is>
      </c>
      <c r="F2807" t="inlineStr"/>
      <c r="G2807" s="126" t="inlineStr"/>
      <c r="H2807" s="125" t="n">
        <v>46166</v>
      </c>
      <c r="I2807" t="inlineStr"/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N2807" t="inlineStr"/>
      <c r="O2807" t="inlineStr">
        <is>
          <t>TR145</t>
        </is>
      </c>
      <c r="P2807" t="inlineStr"/>
      <c r="Q2807" s="112" t="n">
        <v>0</v>
      </c>
      <c r="R2807" s="112" t="n">
        <v>65</v>
      </c>
      <c r="S2807" s="112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D2808" t="inlineStr"/>
      <c r="E2808" t="inlineStr">
        <is>
          <t>EQ</t>
        </is>
      </c>
      <c r="F2808" t="inlineStr"/>
      <c r="G2808" s="126" t="inlineStr"/>
      <c r="H2808" s="125" t="n">
        <v>46166</v>
      </c>
      <c r="I2808" t="inlineStr"/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N2808" t="inlineStr"/>
      <c r="O2808" t="inlineStr">
        <is>
          <t>TR145</t>
        </is>
      </c>
      <c r="P2808" t="inlineStr"/>
      <c r="Q2808" s="112" t="n">
        <v>0</v>
      </c>
      <c r="R2808" s="112" t="n">
        <v>65</v>
      </c>
      <c r="S2808" s="112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D2809" t="inlineStr"/>
      <c r="E2809" t="inlineStr">
        <is>
          <t>ER</t>
        </is>
      </c>
      <c r="F2809" t="inlineStr"/>
      <c r="G2809" s="126" t="inlineStr"/>
      <c r="H2809" s="125" t="n">
        <v>46103</v>
      </c>
      <c r="I2809" t="inlineStr"/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N2809" t="inlineStr"/>
      <c r="O2809" t="inlineStr">
        <is>
          <t>RMS2259</t>
        </is>
      </c>
      <c r="P2809" t="inlineStr"/>
      <c r="Q2809" s="112" t="n">
        <v>0</v>
      </c>
      <c r="R2809" s="112" t="n">
        <v>459.77</v>
      </c>
      <c r="S2809" s="112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D2810" t="inlineStr"/>
      <c r="E2810" t="inlineStr">
        <is>
          <t>ER</t>
        </is>
      </c>
      <c r="F2810" t="inlineStr"/>
      <c r="G2810" s="126" t="inlineStr"/>
      <c r="H2810" s="125" t="n">
        <v>46103</v>
      </c>
      <c r="I2810" t="inlineStr"/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N2810" t="inlineStr"/>
      <c r="O2810" t="inlineStr">
        <is>
          <t>RMS2259</t>
        </is>
      </c>
      <c r="P2810" t="inlineStr"/>
      <c r="Q2810" s="112" t="n">
        <v>0</v>
      </c>
      <c r="R2810" s="112" t="n">
        <v>459.77</v>
      </c>
      <c r="S2810" s="112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D2811" t="inlineStr"/>
      <c r="E2811" t="inlineStr">
        <is>
          <t>ER</t>
        </is>
      </c>
      <c r="F2811" t="inlineStr"/>
      <c r="G2811" s="126" t="inlineStr"/>
      <c r="H2811" s="125" t="n">
        <v>46103</v>
      </c>
      <c r="I2811" t="inlineStr"/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N2811" t="inlineStr"/>
      <c r="O2811" t="inlineStr">
        <is>
          <t>RMV34</t>
        </is>
      </c>
      <c r="P2811" t="inlineStr"/>
      <c r="Q2811" s="112" t="n">
        <v>0</v>
      </c>
      <c r="R2811" s="112" t="n">
        <v>198.28</v>
      </c>
      <c r="S2811" s="112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D2812" t="inlineStr"/>
      <c r="E2812" t="inlineStr">
        <is>
          <t>ER</t>
        </is>
      </c>
      <c r="F2812" t="inlineStr"/>
      <c r="G2812" s="126" t="inlineStr"/>
      <c r="H2812" s="125" t="n">
        <v>46103</v>
      </c>
      <c r="I2812" t="inlineStr"/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N2812" t="inlineStr"/>
      <c r="O2812" t="inlineStr">
        <is>
          <t>RMV34</t>
        </is>
      </c>
      <c r="P2812" t="inlineStr"/>
      <c r="Q2812" s="112" t="n">
        <v>0</v>
      </c>
      <c r="R2812" s="112" t="n">
        <v>198.28</v>
      </c>
      <c r="S2812" s="112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D2813" t="inlineStr"/>
      <c r="E2813" t="inlineStr">
        <is>
          <t>ER</t>
        </is>
      </c>
      <c r="F2813" t="inlineStr"/>
      <c r="G2813" s="126" t="inlineStr"/>
      <c r="H2813" s="125" t="n">
        <v>46103</v>
      </c>
      <c r="I2813" t="inlineStr"/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N2813" t="inlineStr"/>
      <c r="O2813" t="inlineStr">
        <is>
          <t>RMV34</t>
        </is>
      </c>
      <c r="P2813" t="inlineStr"/>
      <c r="Q2813" s="112" t="n">
        <v>0</v>
      </c>
      <c r="R2813" s="112" t="n">
        <v>198.28</v>
      </c>
      <c r="S2813" s="112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D2814" t="inlineStr"/>
      <c r="E2814" t="inlineStr">
        <is>
          <t>ER</t>
        </is>
      </c>
      <c r="F2814" t="inlineStr"/>
      <c r="G2814" s="126" t="inlineStr"/>
      <c r="H2814" s="125" t="n">
        <v>46103</v>
      </c>
      <c r="I2814" t="inlineStr"/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N2814" t="inlineStr"/>
      <c r="O2814" t="inlineStr">
        <is>
          <t>RMV34</t>
        </is>
      </c>
      <c r="P2814" t="inlineStr"/>
      <c r="Q2814" s="112" t="n">
        <v>0</v>
      </c>
      <c r="R2814" s="112" t="n">
        <v>198.28</v>
      </c>
      <c r="S2814" s="112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D2815" t="inlineStr"/>
      <c r="E2815" t="inlineStr">
        <is>
          <t>ER</t>
        </is>
      </c>
      <c r="F2815" t="inlineStr"/>
      <c r="G2815" s="126" t="inlineStr"/>
      <c r="H2815" s="125" t="n">
        <v>46103</v>
      </c>
      <c r="I2815" t="inlineStr"/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N2815" t="inlineStr"/>
      <c r="O2815" t="inlineStr">
        <is>
          <t>RLD287</t>
        </is>
      </c>
      <c r="P2815" t="inlineStr"/>
      <c r="Q2815" s="112" t="n">
        <v>0</v>
      </c>
      <c r="R2815" s="112" t="n">
        <v>186.27</v>
      </c>
      <c r="S2815" s="112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D2816" t="inlineStr"/>
      <c r="E2816" t="inlineStr">
        <is>
          <t>ER</t>
        </is>
      </c>
      <c r="F2816" t="inlineStr"/>
      <c r="G2816" s="126" t="inlineStr"/>
      <c r="H2816" s="125" t="n">
        <v>46103</v>
      </c>
      <c r="I2816" t="inlineStr"/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N2816" t="inlineStr"/>
      <c r="O2816" t="inlineStr">
        <is>
          <t>RLD287</t>
        </is>
      </c>
      <c r="P2816" t="inlineStr"/>
      <c r="Q2816" s="112" t="n">
        <v>0</v>
      </c>
      <c r="R2816" s="112" t="n">
        <v>186.27</v>
      </c>
      <c r="S2816" s="112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D2817" t="inlineStr"/>
      <c r="E2817" t="inlineStr">
        <is>
          <t>ER</t>
        </is>
      </c>
      <c r="F2817" t="inlineStr"/>
      <c r="G2817" s="126" t="inlineStr"/>
      <c r="H2817" s="125" t="n">
        <v>46103</v>
      </c>
      <c r="I2817" t="inlineStr"/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N2817" t="inlineStr"/>
      <c r="O2817" t="inlineStr">
        <is>
          <t>RLD287</t>
        </is>
      </c>
      <c r="P2817" t="inlineStr"/>
      <c r="Q2817" s="112" t="n">
        <v>0</v>
      </c>
      <c r="R2817" s="112" t="n">
        <v>186.27</v>
      </c>
      <c r="S2817" s="112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D2818" t="inlineStr"/>
      <c r="E2818" t="inlineStr">
        <is>
          <t>ER</t>
        </is>
      </c>
      <c r="F2818" t="inlineStr"/>
      <c r="G2818" s="126" t="inlineStr"/>
      <c r="H2818" s="125" t="n">
        <v>46103</v>
      </c>
      <c r="I2818" t="inlineStr"/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N2818" t="inlineStr"/>
      <c r="O2818" t="inlineStr">
        <is>
          <t>RLD287</t>
        </is>
      </c>
      <c r="P2818" t="inlineStr"/>
      <c r="Q2818" s="112" t="n">
        <v>0</v>
      </c>
      <c r="R2818" s="112" t="n">
        <v>186.27</v>
      </c>
      <c r="S2818" s="112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D2819" t="inlineStr"/>
      <c r="E2819" t="inlineStr">
        <is>
          <t>ER</t>
        </is>
      </c>
      <c r="F2819" t="inlineStr"/>
      <c r="G2819" s="126" t="inlineStr"/>
      <c r="H2819" s="125" t="n">
        <v>46103</v>
      </c>
      <c r="I2819" t="inlineStr"/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N2819" t="inlineStr"/>
      <c r="O2819" t="inlineStr">
        <is>
          <t>RLD287</t>
        </is>
      </c>
      <c r="P2819" t="inlineStr"/>
      <c r="Q2819" s="112" t="n">
        <v>0</v>
      </c>
      <c r="R2819" s="112" t="n">
        <v>186.27</v>
      </c>
      <c r="S2819" s="112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D2820" t="inlineStr"/>
      <c r="E2820" t="inlineStr">
        <is>
          <t>ER</t>
        </is>
      </c>
      <c r="F2820" t="inlineStr"/>
      <c r="G2820" s="126" t="inlineStr"/>
      <c r="H2820" s="125" t="n">
        <v>46103</v>
      </c>
      <c r="I2820" t="inlineStr"/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N2820" t="inlineStr"/>
      <c r="O2820" t="inlineStr">
        <is>
          <t>RMV34</t>
        </is>
      </c>
      <c r="P2820" t="inlineStr"/>
      <c r="Q2820" s="112" t="n">
        <v>0</v>
      </c>
      <c r="R2820" s="112" t="n">
        <v>198.28</v>
      </c>
      <c r="S2820" s="112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D2821" t="inlineStr"/>
      <c r="E2821" t="inlineStr">
        <is>
          <t>ER</t>
        </is>
      </c>
      <c r="F2821" t="inlineStr"/>
      <c r="G2821" s="126" t="inlineStr"/>
      <c r="H2821" s="125" t="n">
        <v>46103</v>
      </c>
      <c r="I2821" t="inlineStr"/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N2821" t="inlineStr"/>
      <c r="O2821" t="inlineStr">
        <is>
          <t>RMV34</t>
        </is>
      </c>
      <c r="P2821" t="inlineStr"/>
      <c r="Q2821" s="112" t="n">
        <v>0</v>
      </c>
      <c r="R2821" s="112" t="n">
        <v>198.28</v>
      </c>
      <c r="S2821" s="112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D2822" t="inlineStr"/>
      <c r="E2822" t="inlineStr">
        <is>
          <t>ER</t>
        </is>
      </c>
      <c r="F2822" t="inlineStr"/>
      <c r="G2822" s="126" t="inlineStr"/>
      <c r="H2822" s="125" t="n">
        <v>46103</v>
      </c>
      <c r="I2822" t="inlineStr"/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N2822" t="inlineStr"/>
      <c r="O2822" t="inlineStr">
        <is>
          <t>RMS2259</t>
        </is>
      </c>
      <c r="P2822" t="inlineStr"/>
      <c r="Q2822" s="112" t="n">
        <v>0</v>
      </c>
      <c r="R2822" s="112" t="n">
        <v>459.77</v>
      </c>
      <c r="S2822" s="112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D2823" t="inlineStr"/>
      <c r="E2823" t="inlineStr">
        <is>
          <t>ER</t>
        </is>
      </c>
      <c r="F2823" t="inlineStr"/>
      <c r="G2823" s="126" t="inlineStr"/>
      <c r="H2823" s="125" t="n">
        <v>46103</v>
      </c>
      <c r="I2823" t="inlineStr"/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N2823" t="inlineStr"/>
      <c r="O2823" t="inlineStr">
        <is>
          <t>RMS2259</t>
        </is>
      </c>
      <c r="P2823" t="inlineStr"/>
      <c r="Q2823" s="112" t="n">
        <v>0</v>
      </c>
      <c r="R2823" s="112" t="n">
        <v>459.77</v>
      </c>
      <c r="S2823" s="112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D2824" t="inlineStr"/>
      <c r="E2824" t="inlineStr">
        <is>
          <t>ER</t>
        </is>
      </c>
      <c r="F2824" t="inlineStr"/>
      <c r="G2824" s="126" t="inlineStr"/>
      <c r="H2824" s="125" t="n">
        <v>46103</v>
      </c>
      <c r="I2824" t="inlineStr"/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N2824" t="inlineStr"/>
      <c r="O2824" t="inlineStr">
        <is>
          <t>RMS2259</t>
        </is>
      </c>
      <c r="P2824" t="inlineStr"/>
      <c r="Q2824" s="112" t="n">
        <v>0</v>
      </c>
      <c r="R2824" s="112" t="n">
        <v>459.77</v>
      </c>
      <c r="S2824" s="112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D2825" t="inlineStr"/>
      <c r="E2825" t="inlineStr">
        <is>
          <t>ER</t>
        </is>
      </c>
      <c r="F2825" t="inlineStr"/>
      <c r="G2825" s="126" t="inlineStr"/>
      <c r="H2825" s="125" t="n">
        <v>46103</v>
      </c>
      <c r="I2825" t="inlineStr"/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N2825" t="inlineStr"/>
      <c r="O2825" t="inlineStr">
        <is>
          <t>RMS2259</t>
        </is>
      </c>
      <c r="P2825" t="inlineStr"/>
      <c r="Q2825" s="112" t="n">
        <v>0</v>
      </c>
      <c r="R2825" s="112" t="n">
        <v>459.77</v>
      </c>
      <c r="S2825" s="112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D2826" t="inlineStr"/>
      <c r="E2826" t="inlineStr">
        <is>
          <t>ER</t>
        </is>
      </c>
      <c r="F2826" t="inlineStr"/>
      <c r="G2826" s="126" t="inlineStr"/>
      <c r="H2826" s="125" t="n">
        <v>46152</v>
      </c>
      <c r="I2826" t="inlineStr"/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N2826" t="inlineStr"/>
      <c r="O2826" t="inlineStr">
        <is>
          <t>RDZ318</t>
        </is>
      </c>
      <c r="P2826" t="inlineStr"/>
      <c r="Q2826" s="112" t="n">
        <v>0</v>
      </c>
      <c r="R2826" s="112" t="n">
        <v>778.74</v>
      </c>
      <c r="S2826" s="112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D2827" t="inlineStr"/>
      <c r="E2827" t="inlineStr">
        <is>
          <t>ER</t>
        </is>
      </c>
      <c r="F2827" t="inlineStr"/>
      <c r="G2827" s="126" t="inlineStr"/>
      <c r="H2827" s="125" t="n">
        <v>46159</v>
      </c>
      <c r="I2827" t="inlineStr"/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N2827" t="inlineStr"/>
      <c r="O2827" t="inlineStr">
        <is>
          <t>RDZ318</t>
        </is>
      </c>
      <c r="P2827" t="inlineStr"/>
      <c r="Q2827" s="112" t="n">
        <v>0</v>
      </c>
      <c r="R2827" s="112" t="n">
        <v>778.74</v>
      </c>
      <c r="S2827" s="112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D2828" t="inlineStr"/>
      <c r="E2828" t="inlineStr">
        <is>
          <t>ER</t>
        </is>
      </c>
      <c r="F2828" t="inlineStr"/>
      <c r="G2828" s="126" t="inlineStr"/>
      <c r="H2828" s="125" t="n">
        <v>46166</v>
      </c>
      <c r="I2828" t="inlineStr"/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N2828" t="inlineStr"/>
      <c r="O2828" t="inlineStr">
        <is>
          <t>RDZ318</t>
        </is>
      </c>
      <c r="P2828" t="inlineStr"/>
      <c r="Q2828" s="112" t="n">
        <v>0</v>
      </c>
      <c r="R2828" s="112" t="n">
        <v>778.74</v>
      </c>
      <c r="S2828" s="112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D2829" t="inlineStr"/>
      <c r="E2829" t="inlineStr">
        <is>
          <t>ER</t>
        </is>
      </c>
      <c r="F2829" t="inlineStr"/>
      <c r="G2829" s="126" t="inlineStr"/>
      <c r="H2829" s="125" t="n">
        <v>46166</v>
      </c>
      <c r="I2829" t="inlineStr"/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N2829" t="inlineStr"/>
      <c r="O2829" t="inlineStr">
        <is>
          <t>RMS1653</t>
        </is>
      </c>
      <c r="P2829" t="inlineStr"/>
      <c r="Q2829" s="112" t="n">
        <v>0</v>
      </c>
      <c r="R2829" s="112" t="n">
        <v>191.57</v>
      </c>
      <c r="S2829" s="112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D2830" t="inlineStr"/>
      <c r="E2830" t="inlineStr">
        <is>
          <t>ER</t>
        </is>
      </c>
      <c r="F2830" t="inlineStr"/>
      <c r="G2830" s="126" t="inlineStr"/>
      <c r="H2830" s="125" t="n">
        <v>46166</v>
      </c>
      <c r="I2830" t="inlineStr"/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N2830" t="inlineStr"/>
      <c r="O2830" t="inlineStr">
        <is>
          <t>RMS1653</t>
        </is>
      </c>
      <c r="P2830" t="inlineStr"/>
      <c r="Q2830" s="112" t="n">
        <v>0</v>
      </c>
      <c r="R2830" s="112" t="n">
        <v>191.57</v>
      </c>
      <c r="S2830" s="112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D2831" t="inlineStr"/>
      <c r="E2831" t="inlineStr">
        <is>
          <t>ER</t>
        </is>
      </c>
      <c r="F2831" t="inlineStr"/>
      <c r="G2831" s="126" t="inlineStr"/>
      <c r="H2831" s="125" t="n">
        <v>46166</v>
      </c>
      <c r="I2831" t="inlineStr"/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N2831" t="inlineStr"/>
      <c r="O2831" t="inlineStr">
        <is>
          <t>RMS1653</t>
        </is>
      </c>
      <c r="P2831" t="inlineStr"/>
      <c r="Q2831" s="112" t="n">
        <v>0</v>
      </c>
      <c r="R2831" s="112" t="n">
        <v>191.57</v>
      </c>
      <c r="S2831" s="112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D2832" t="inlineStr"/>
      <c r="E2832" t="inlineStr">
        <is>
          <t>ER</t>
        </is>
      </c>
      <c r="F2832" t="inlineStr"/>
      <c r="G2832" s="126" t="inlineStr"/>
      <c r="H2832" s="125" t="n">
        <v>46166</v>
      </c>
      <c r="I2832" t="inlineStr"/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N2832" t="inlineStr"/>
      <c r="O2832" t="inlineStr">
        <is>
          <t>RMS1653</t>
        </is>
      </c>
      <c r="P2832" t="inlineStr"/>
      <c r="Q2832" s="112" t="n">
        <v>0</v>
      </c>
      <c r="R2832" s="112" t="n">
        <v>191.57</v>
      </c>
      <c r="S2832" s="112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D2833" t="inlineStr"/>
      <c r="E2833" t="inlineStr">
        <is>
          <t>ER</t>
        </is>
      </c>
      <c r="F2833" t="inlineStr"/>
      <c r="G2833" s="126" t="inlineStr"/>
      <c r="H2833" s="125" t="n">
        <v>46166</v>
      </c>
      <c r="I2833" t="inlineStr"/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N2833" t="inlineStr"/>
      <c r="O2833" t="inlineStr">
        <is>
          <t>RMS1653</t>
        </is>
      </c>
      <c r="P2833" t="inlineStr"/>
      <c r="Q2833" s="112" t="n">
        <v>0</v>
      </c>
      <c r="R2833" s="112" t="n">
        <v>191.57</v>
      </c>
      <c r="S2833" s="112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D2834" t="inlineStr"/>
      <c r="E2834" t="inlineStr">
        <is>
          <t>ER</t>
        </is>
      </c>
      <c r="F2834" t="inlineStr"/>
      <c r="G2834" s="126" t="inlineStr"/>
      <c r="H2834" s="125" t="n">
        <v>46166</v>
      </c>
      <c r="I2834" t="inlineStr"/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N2834" t="inlineStr"/>
      <c r="O2834" t="inlineStr">
        <is>
          <t>RMS1653</t>
        </is>
      </c>
      <c r="P2834" t="inlineStr"/>
      <c r="Q2834" s="112" t="n">
        <v>0</v>
      </c>
      <c r="R2834" s="112" t="n">
        <v>191.57</v>
      </c>
      <c r="S2834" s="112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D2835" t="inlineStr"/>
      <c r="E2835" t="inlineStr">
        <is>
          <t>LA</t>
        </is>
      </c>
      <c r="F2835" t="inlineStr"/>
      <c r="G2835" s="126" t="inlineStr"/>
      <c r="H2835" s="125" t="n">
        <v>46051</v>
      </c>
      <c r="I2835" t="inlineStr"/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N2835" t="inlineStr"/>
      <c r="O2835" t="inlineStr"/>
      <c r="P2835" t="inlineStr"/>
      <c r="Q2835" s="112" t="n">
        <v>0</v>
      </c>
      <c r="R2835" s="112" t="n">
        <v>453.92</v>
      </c>
      <c r="S2835" s="112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D2836" t="inlineStr"/>
      <c r="E2836" t="inlineStr">
        <is>
          <t>LA</t>
        </is>
      </c>
      <c r="F2836" t="inlineStr"/>
      <c r="G2836" s="126" t="inlineStr"/>
      <c r="H2836" s="125" t="n">
        <v>46051</v>
      </c>
      <c r="I2836" t="inlineStr"/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N2836" t="inlineStr"/>
      <c r="O2836" t="inlineStr"/>
      <c r="P2836" t="inlineStr"/>
      <c r="Q2836" s="112" t="n">
        <v>0</v>
      </c>
      <c r="R2836" s="112" t="n">
        <v>659.53</v>
      </c>
      <c r="S2836" s="112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D2837" t="inlineStr"/>
      <c r="E2837" t="inlineStr">
        <is>
          <t>LA</t>
        </is>
      </c>
      <c r="F2837" t="inlineStr"/>
      <c r="G2837" s="126" t="inlineStr"/>
      <c r="H2837" s="125" t="n">
        <v>46058</v>
      </c>
      <c r="I2837" t="inlineStr"/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N2837" t="inlineStr"/>
      <c r="O2837" t="inlineStr"/>
      <c r="P2837" t="inlineStr"/>
      <c r="Q2837" s="112" t="n">
        <v>0</v>
      </c>
      <c r="R2837" s="112" t="n">
        <v>2200.78</v>
      </c>
      <c r="S2837" s="112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D2838" t="inlineStr"/>
      <c r="E2838" t="inlineStr">
        <is>
          <t>LA</t>
        </is>
      </c>
      <c r="F2838" t="inlineStr"/>
      <c r="G2838" s="126" t="inlineStr"/>
      <c r="H2838" s="125" t="n">
        <v>46058</v>
      </c>
      <c r="I2838" t="inlineStr"/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N2838" t="inlineStr"/>
      <c r="O2838" t="inlineStr"/>
      <c r="P2838" t="inlineStr"/>
      <c r="Q2838" s="112" t="n">
        <v>0</v>
      </c>
      <c r="R2838" s="112" t="n">
        <v>2200.79</v>
      </c>
      <c r="S2838" s="112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D2839" t="inlineStr"/>
      <c r="E2839" t="inlineStr">
        <is>
          <t>LA</t>
        </is>
      </c>
      <c r="F2839" t="inlineStr"/>
      <c r="G2839" s="126" t="inlineStr"/>
      <c r="H2839" s="125" t="n">
        <v>46058</v>
      </c>
      <c r="I2839" t="inlineStr"/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N2839" t="inlineStr"/>
      <c r="O2839" t="inlineStr"/>
      <c r="P2839" t="inlineStr"/>
      <c r="Q2839" s="112" t="n">
        <v>0</v>
      </c>
      <c r="R2839" s="112" t="n">
        <v>1913.39</v>
      </c>
      <c r="S2839" s="112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D2840" t="inlineStr"/>
      <c r="E2840" t="inlineStr">
        <is>
          <t>LA</t>
        </is>
      </c>
      <c r="F2840" t="inlineStr"/>
      <c r="G2840" s="126" t="inlineStr"/>
      <c r="H2840" s="125" t="n">
        <v>46058</v>
      </c>
      <c r="I2840" t="inlineStr"/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N2840" t="inlineStr"/>
      <c r="O2840" t="inlineStr"/>
      <c r="P2840" t="inlineStr"/>
      <c r="Q2840" s="112" t="n">
        <v>0</v>
      </c>
      <c r="R2840" s="112" t="n">
        <v>759.95</v>
      </c>
      <c r="S2840" s="112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D2841" t="inlineStr"/>
      <c r="E2841" t="inlineStr">
        <is>
          <t>LA</t>
        </is>
      </c>
      <c r="F2841" t="inlineStr"/>
      <c r="G2841" s="126" t="inlineStr"/>
      <c r="H2841" s="125" t="n">
        <v>46058</v>
      </c>
      <c r="I2841" t="inlineStr"/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N2841" t="inlineStr"/>
      <c r="O2841" t="inlineStr"/>
      <c r="P2841" t="inlineStr"/>
      <c r="Q2841" s="112" t="n">
        <v>0</v>
      </c>
      <c r="R2841" s="112" t="n">
        <v>395.95</v>
      </c>
      <c r="S2841" s="112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D2842" t="inlineStr"/>
      <c r="E2842" t="inlineStr">
        <is>
          <t>LA</t>
        </is>
      </c>
      <c r="F2842" t="inlineStr"/>
      <c r="G2842" s="126" t="inlineStr"/>
      <c r="H2842" s="125" t="n">
        <v>46058</v>
      </c>
      <c r="I2842" t="inlineStr"/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N2842" t="inlineStr"/>
      <c r="O2842" t="inlineStr"/>
      <c r="P2842" t="inlineStr"/>
      <c r="Q2842" s="112" t="n">
        <v>0</v>
      </c>
      <c r="R2842" s="112" t="n">
        <v>460.9</v>
      </c>
      <c r="S2842" s="112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D2843" t="inlineStr"/>
      <c r="E2843" t="inlineStr">
        <is>
          <t>LA</t>
        </is>
      </c>
      <c r="F2843" t="inlineStr"/>
      <c r="G2843" s="126" t="inlineStr"/>
      <c r="H2843" s="125" t="n">
        <v>46058</v>
      </c>
      <c r="I2843" t="inlineStr"/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N2843" t="inlineStr"/>
      <c r="O2843" t="inlineStr"/>
      <c r="P2843" t="inlineStr"/>
      <c r="Q2843" s="112" t="n">
        <v>0</v>
      </c>
      <c r="R2843" s="112" t="n">
        <v>1053.81</v>
      </c>
      <c r="S2843" s="112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D2844" t="inlineStr"/>
      <c r="E2844" t="inlineStr">
        <is>
          <t>LA</t>
        </is>
      </c>
      <c r="F2844" t="inlineStr"/>
      <c r="G2844" s="126" t="inlineStr"/>
      <c r="H2844" s="125" t="n">
        <v>46093</v>
      </c>
      <c r="I2844" t="inlineStr"/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N2844" t="inlineStr"/>
      <c r="O2844" t="inlineStr"/>
      <c r="P2844" t="inlineStr"/>
      <c r="Q2844" s="112" t="n">
        <v>0</v>
      </c>
      <c r="R2844" s="112" t="n">
        <v>2683.91</v>
      </c>
      <c r="S2844" s="112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D2845" t="inlineStr"/>
      <c r="E2845" t="inlineStr">
        <is>
          <t>LA</t>
        </is>
      </c>
      <c r="F2845" t="inlineStr"/>
      <c r="G2845" s="126" t="inlineStr"/>
      <c r="H2845" s="125" t="n">
        <v>46093</v>
      </c>
      <c r="I2845" t="inlineStr"/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N2845" t="inlineStr"/>
      <c r="O2845" t="inlineStr"/>
      <c r="P2845" t="inlineStr"/>
      <c r="Q2845" s="112" t="n">
        <v>0</v>
      </c>
      <c r="R2845" s="112" t="n">
        <v>2683.91</v>
      </c>
      <c r="S2845" s="112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D2846" t="inlineStr"/>
      <c r="E2846" t="inlineStr">
        <is>
          <t>LA</t>
        </is>
      </c>
      <c r="F2846" t="inlineStr"/>
      <c r="G2846" s="126" t="inlineStr"/>
      <c r="H2846" s="125" t="n">
        <v>46093</v>
      </c>
      <c r="I2846" t="inlineStr"/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N2846" t="inlineStr"/>
      <c r="O2846" t="inlineStr"/>
      <c r="P2846" t="inlineStr"/>
      <c r="Q2846" s="112" t="n">
        <v>0</v>
      </c>
      <c r="R2846" s="112" t="n">
        <v>2683.92</v>
      </c>
      <c r="S2846" s="112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D2847" t="inlineStr"/>
      <c r="E2847" t="inlineStr">
        <is>
          <t>LA</t>
        </is>
      </c>
      <c r="F2847" t="inlineStr"/>
      <c r="G2847" s="126" t="inlineStr"/>
      <c r="H2847" s="125" t="n">
        <v>46093</v>
      </c>
      <c r="I2847" t="inlineStr"/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N2847" t="inlineStr"/>
      <c r="O2847" t="inlineStr"/>
      <c r="P2847" t="inlineStr"/>
      <c r="Q2847" s="112" t="n">
        <v>0</v>
      </c>
      <c r="R2847" s="112" t="n">
        <v>2575.93</v>
      </c>
      <c r="S2847" s="112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D2848" t="inlineStr"/>
      <c r="E2848" t="inlineStr">
        <is>
          <t>LA</t>
        </is>
      </c>
      <c r="F2848" t="inlineStr"/>
      <c r="G2848" s="126" t="inlineStr"/>
      <c r="H2848" s="125" t="n">
        <v>46093</v>
      </c>
      <c r="I2848" t="inlineStr"/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N2848" t="inlineStr"/>
      <c r="O2848" t="inlineStr"/>
      <c r="P2848" t="inlineStr"/>
      <c r="Q2848" s="112" t="n">
        <v>0</v>
      </c>
      <c r="R2848" s="112" t="n">
        <v>1531.96</v>
      </c>
      <c r="S2848" s="112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D2849" t="inlineStr"/>
      <c r="E2849" t="inlineStr">
        <is>
          <t>LA</t>
        </is>
      </c>
      <c r="F2849" t="inlineStr"/>
      <c r="G2849" s="126" t="inlineStr"/>
      <c r="H2849" s="125" t="n">
        <v>46093</v>
      </c>
      <c r="I2849" t="inlineStr"/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N2849" t="inlineStr"/>
      <c r="O2849" t="inlineStr"/>
      <c r="P2849" t="inlineStr"/>
      <c r="Q2849" s="112" t="n">
        <v>0</v>
      </c>
      <c r="R2849" s="112" t="n">
        <v>1379.97</v>
      </c>
      <c r="S2849" s="112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D2850" t="inlineStr"/>
      <c r="E2850" t="inlineStr">
        <is>
          <t>LA</t>
        </is>
      </c>
      <c r="F2850" t="inlineStr"/>
      <c r="G2850" s="126" t="inlineStr"/>
      <c r="H2850" s="125" t="n">
        <v>46093</v>
      </c>
      <c r="I2850" t="inlineStr"/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N2850" t="inlineStr"/>
      <c r="O2850" t="inlineStr"/>
      <c r="P2850" t="inlineStr"/>
      <c r="Q2850" s="112" t="n">
        <v>0</v>
      </c>
      <c r="R2850" s="112" t="n">
        <v>1512.54</v>
      </c>
      <c r="S2850" s="112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D2851" t="inlineStr"/>
      <c r="E2851" t="inlineStr">
        <is>
          <t>LA</t>
        </is>
      </c>
      <c r="F2851" t="inlineStr"/>
      <c r="G2851" s="126" t="inlineStr"/>
      <c r="H2851" s="125" t="n">
        <v>46093</v>
      </c>
      <c r="I2851" t="inlineStr"/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N2851" t="inlineStr"/>
      <c r="O2851" t="inlineStr"/>
      <c r="P2851" t="inlineStr"/>
      <c r="Q2851" s="112" t="n">
        <v>0</v>
      </c>
      <c r="R2851" s="112" t="n">
        <v>1716</v>
      </c>
      <c r="S2851" s="112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D2852" t="inlineStr"/>
      <c r="E2852" t="inlineStr">
        <is>
          <t>LA</t>
        </is>
      </c>
      <c r="F2852" t="inlineStr"/>
      <c r="G2852" s="126" t="inlineStr"/>
      <c r="H2852" s="125" t="n">
        <v>46100</v>
      </c>
      <c r="I2852" t="inlineStr"/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N2852" t="inlineStr"/>
      <c r="O2852" t="inlineStr"/>
      <c r="P2852" t="inlineStr"/>
      <c r="Q2852" s="112" t="n">
        <v>0</v>
      </c>
      <c r="R2852" s="112" t="n">
        <v>3712.11</v>
      </c>
      <c r="S2852" s="112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D2853" t="inlineStr"/>
      <c r="E2853" t="inlineStr">
        <is>
          <t>LA</t>
        </is>
      </c>
      <c r="F2853" t="inlineStr"/>
      <c r="G2853" s="126" t="inlineStr"/>
      <c r="H2853" s="125" t="n">
        <v>46100</v>
      </c>
      <c r="I2853" t="inlineStr"/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N2853" t="inlineStr"/>
      <c r="O2853" t="inlineStr"/>
      <c r="P2853" t="inlineStr"/>
      <c r="Q2853" s="112" t="n">
        <v>0</v>
      </c>
      <c r="R2853" s="112" t="n">
        <v>3712.11</v>
      </c>
      <c r="S2853" s="112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D2854" t="inlineStr"/>
      <c r="E2854" t="inlineStr">
        <is>
          <t>LA</t>
        </is>
      </c>
      <c r="F2854" t="inlineStr"/>
      <c r="G2854" s="126" t="inlineStr"/>
      <c r="H2854" s="125" t="n">
        <v>46100</v>
      </c>
      <c r="I2854" t="inlineStr"/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N2854" t="inlineStr"/>
      <c r="O2854" t="inlineStr"/>
      <c r="P2854" t="inlineStr"/>
      <c r="Q2854" s="112" t="n">
        <v>0</v>
      </c>
      <c r="R2854" s="112" t="n">
        <v>3712.12</v>
      </c>
      <c r="S2854" s="112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D2855" t="inlineStr"/>
      <c r="E2855" t="inlineStr">
        <is>
          <t>LA</t>
        </is>
      </c>
      <c r="F2855" t="inlineStr"/>
      <c r="G2855" s="126" t="inlineStr"/>
      <c r="H2855" s="125" t="n">
        <v>46100</v>
      </c>
      <c r="I2855" t="inlineStr"/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N2855" t="inlineStr"/>
      <c r="O2855" t="inlineStr"/>
      <c r="P2855" t="inlineStr"/>
      <c r="Q2855" s="112" t="n">
        <v>0</v>
      </c>
      <c r="R2855" s="112" t="n">
        <v>3082.54</v>
      </c>
      <c r="S2855" s="112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D2856" t="inlineStr"/>
      <c r="E2856" t="inlineStr">
        <is>
          <t>LA</t>
        </is>
      </c>
      <c r="F2856" t="inlineStr"/>
      <c r="G2856" s="126" t="inlineStr"/>
      <c r="H2856" s="125" t="n">
        <v>46100</v>
      </c>
      <c r="I2856" t="inlineStr"/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N2856" t="inlineStr"/>
      <c r="O2856" t="inlineStr"/>
      <c r="P2856" t="inlineStr"/>
      <c r="Q2856" s="112" t="n">
        <v>0</v>
      </c>
      <c r="R2856" s="112" t="n">
        <v>1994.8</v>
      </c>
      <c r="S2856" s="112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D2857" t="inlineStr"/>
      <c r="E2857" t="inlineStr">
        <is>
          <t>LA</t>
        </is>
      </c>
      <c r="F2857" t="inlineStr"/>
      <c r="G2857" s="126" t="inlineStr"/>
      <c r="H2857" s="125" t="n">
        <v>46100</v>
      </c>
      <c r="I2857" t="inlineStr"/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N2857" t="inlineStr"/>
      <c r="O2857" t="inlineStr"/>
      <c r="P2857" t="inlineStr"/>
      <c r="Q2857" s="112" t="n">
        <v>0</v>
      </c>
      <c r="R2857" s="112" t="n">
        <v>1994.77</v>
      </c>
      <c r="S2857" s="112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D2858" t="inlineStr"/>
      <c r="E2858" t="inlineStr">
        <is>
          <t>LA</t>
        </is>
      </c>
      <c r="F2858" t="inlineStr"/>
      <c r="G2858" s="126" t="inlineStr"/>
      <c r="H2858" s="125" t="n">
        <v>46100</v>
      </c>
      <c r="I2858" t="inlineStr"/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N2858" t="inlineStr"/>
      <c r="O2858" t="inlineStr"/>
      <c r="P2858" t="inlineStr"/>
      <c r="Q2858" s="112" t="n">
        <v>0</v>
      </c>
      <c r="R2858" s="112" t="n">
        <v>2178.9</v>
      </c>
      <c r="S2858" s="112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D2859" t="inlineStr"/>
      <c r="E2859" t="inlineStr">
        <is>
          <t>LA</t>
        </is>
      </c>
      <c r="F2859" t="inlineStr"/>
      <c r="G2859" s="126" t="inlineStr"/>
      <c r="H2859" s="125" t="n">
        <v>46100</v>
      </c>
      <c r="I2859" t="inlineStr"/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N2859" t="inlineStr"/>
      <c r="O2859" t="inlineStr"/>
      <c r="P2859" t="inlineStr"/>
      <c r="Q2859" s="112" t="n">
        <v>0</v>
      </c>
      <c r="R2859" s="112" t="n">
        <v>2336.84</v>
      </c>
      <c r="S2859" s="112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D2860" t="inlineStr"/>
      <c r="E2860" t="inlineStr">
        <is>
          <t>LA</t>
        </is>
      </c>
      <c r="F2860" t="inlineStr"/>
      <c r="G2860" s="126" t="inlineStr"/>
      <c r="H2860" s="125" t="n">
        <v>46111</v>
      </c>
      <c r="I2860" t="inlineStr"/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N2860" t="inlineStr"/>
      <c r="O2860" t="inlineStr"/>
      <c r="P2860" t="inlineStr"/>
      <c r="Q2860" s="112" t="n">
        <v>0</v>
      </c>
      <c r="R2860" s="112" t="n">
        <v>960.2</v>
      </c>
      <c r="S2860" s="112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D2861" t="inlineStr"/>
      <c r="E2861" t="inlineStr">
        <is>
          <t>LA</t>
        </is>
      </c>
      <c r="F2861" t="inlineStr"/>
      <c r="G2861" s="126" t="inlineStr"/>
      <c r="H2861" s="125" t="n">
        <v>46111</v>
      </c>
      <c r="I2861" t="inlineStr"/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N2861" t="inlineStr"/>
      <c r="O2861" t="inlineStr"/>
      <c r="P2861" t="inlineStr"/>
      <c r="Q2861" s="112" t="n">
        <v>0</v>
      </c>
      <c r="R2861" s="112" t="n">
        <v>960.1799999999999</v>
      </c>
      <c r="S2861" s="112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D2862" t="inlineStr"/>
      <c r="E2862" t="inlineStr">
        <is>
          <t>LA</t>
        </is>
      </c>
      <c r="F2862" t="inlineStr"/>
      <c r="G2862" s="126" t="inlineStr"/>
      <c r="H2862" s="125" t="n">
        <v>46111</v>
      </c>
      <c r="I2862" t="inlineStr"/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N2862" t="inlineStr"/>
      <c r="O2862" t="inlineStr"/>
      <c r="P2862" t="inlineStr"/>
      <c r="Q2862" s="112" t="n">
        <v>0</v>
      </c>
      <c r="R2862" s="112" t="n">
        <v>960.2</v>
      </c>
      <c r="S2862" s="112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D2863" t="inlineStr"/>
      <c r="E2863" t="inlineStr">
        <is>
          <t>LA</t>
        </is>
      </c>
      <c r="F2863" t="inlineStr"/>
      <c r="G2863" s="126" t="inlineStr"/>
      <c r="H2863" s="125" t="n">
        <v>46111</v>
      </c>
      <c r="I2863" t="inlineStr"/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N2863" t="inlineStr"/>
      <c r="O2863" t="inlineStr"/>
      <c r="P2863" t="inlineStr"/>
      <c r="Q2863" s="112" t="n">
        <v>0</v>
      </c>
      <c r="R2863" s="112" t="n">
        <v>960.2</v>
      </c>
      <c r="S2863" s="112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D2864" t="inlineStr"/>
      <c r="E2864" t="inlineStr">
        <is>
          <t>LA</t>
        </is>
      </c>
      <c r="F2864" t="inlineStr"/>
      <c r="G2864" s="126" t="inlineStr"/>
      <c r="H2864" s="125" t="n">
        <v>46111</v>
      </c>
      <c r="I2864" t="inlineStr"/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N2864" t="inlineStr"/>
      <c r="O2864" t="inlineStr"/>
      <c r="P2864" t="inlineStr"/>
      <c r="Q2864" s="112" t="n">
        <v>0</v>
      </c>
      <c r="R2864" s="112" t="n">
        <v>960.1799999999999</v>
      </c>
      <c r="S2864" s="112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D2865" t="inlineStr"/>
      <c r="E2865" t="inlineStr">
        <is>
          <t>LA</t>
        </is>
      </c>
      <c r="F2865" t="inlineStr"/>
      <c r="G2865" s="126" t="inlineStr"/>
      <c r="H2865" s="125" t="n">
        <v>46111</v>
      </c>
      <c r="I2865" t="inlineStr"/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N2865" t="inlineStr"/>
      <c r="O2865" t="inlineStr"/>
      <c r="P2865" t="inlineStr"/>
      <c r="Q2865" s="112" t="n">
        <v>0</v>
      </c>
      <c r="R2865" s="112" t="n">
        <v>960.2</v>
      </c>
      <c r="S2865" s="112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D2866" t="inlineStr"/>
      <c r="E2866" t="inlineStr">
        <is>
          <t>LA</t>
        </is>
      </c>
      <c r="F2866" t="inlineStr"/>
      <c r="G2866" s="126" t="inlineStr"/>
      <c r="H2866" s="125" t="n">
        <v>46107</v>
      </c>
      <c r="I2866" t="inlineStr"/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N2866" t="inlineStr"/>
      <c r="O2866" t="inlineStr"/>
      <c r="P2866" t="inlineStr"/>
      <c r="Q2866" s="112" t="n">
        <v>0</v>
      </c>
      <c r="R2866" s="112" t="n">
        <v>2984.07</v>
      </c>
      <c r="S2866" s="112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D2867" t="inlineStr"/>
      <c r="E2867" t="inlineStr">
        <is>
          <t>LA</t>
        </is>
      </c>
      <c r="F2867" t="inlineStr"/>
      <c r="G2867" s="126" t="inlineStr"/>
      <c r="H2867" s="125" t="n">
        <v>46107</v>
      </c>
      <c r="I2867" t="inlineStr"/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N2867" t="inlineStr"/>
      <c r="O2867" t="inlineStr"/>
      <c r="P2867" t="inlineStr"/>
      <c r="Q2867" s="112" t="n">
        <v>0</v>
      </c>
      <c r="R2867" s="112" t="n">
        <v>2984.07</v>
      </c>
      <c r="S2867" s="112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D2868" t="inlineStr"/>
      <c r="E2868" t="inlineStr">
        <is>
          <t>LA</t>
        </is>
      </c>
      <c r="F2868" t="inlineStr"/>
      <c r="G2868" s="126" t="inlineStr"/>
      <c r="H2868" s="125" t="n">
        <v>46107</v>
      </c>
      <c r="I2868" t="inlineStr"/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N2868" t="inlineStr"/>
      <c r="O2868" t="inlineStr"/>
      <c r="P2868" t="inlineStr"/>
      <c r="Q2868" s="112" t="n">
        <v>0</v>
      </c>
      <c r="R2868" s="112" t="n">
        <v>2015.31</v>
      </c>
      <c r="S2868" s="112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D2869" t="inlineStr"/>
      <c r="E2869" t="inlineStr">
        <is>
          <t>LA</t>
        </is>
      </c>
      <c r="F2869" t="inlineStr"/>
      <c r="G2869" s="126" t="inlineStr"/>
      <c r="H2869" s="125" t="n">
        <v>46107</v>
      </c>
      <c r="I2869" t="inlineStr"/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N2869" t="inlineStr"/>
      <c r="O2869" t="inlineStr"/>
      <c r="P2869" t="inlineStr"/>
      <c r="Q2869" s="112" t="n">
        <v>0</v>
      </c>
      <c r="R2869" s="112" t="n">
        <v>2015.31</v>
      </c>
      <c r="S2869" s="112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D2870" t="inlineStr"/>
      <c r="E2870" t="inlineStr">
        <is>
          <t>LA</t>
        </is>
      </c>
      <c r="F2870" t="inlineStr"/>
      <c r="G2870" s="126" t="inlineStr"/>
      <c r="H2870" s="125" t="n">
        <v>46107</v>
      </c>
      <c r="I2870" t="inlineStr"/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N2870" t="inlineStr"/>
      <c r="O2870" t="inlineStr"/>
      <c r="P2870" t="inlineStr"/>
      <c r="Q2870" s="112" t="n">
        <v>0</v>
      </c>
      <c r="R2870" s="112" t="n">
        <v>1485.9</v>
      </c>
      <c r="S2870" s="112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D2871" t="inlineStr"/>
      <c r="E2871" t="inlineStr">
        <is>
          <t>LA</t>
        </is>
      </c>
      <c r="F2871" t="inlineStr"/>
      <c r="G2871" s="126" t="inlineStr"/>
      <c r="H2871" s="125" t="n">
        <v>46107</v>
      </c>
      <c r="I2871" t="inlineStr"/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N2871" t="inlineStr"/>
      <c r="O2871" t="inlineStr"/>
      <c r="P2871" t="inlineStr"/>
      <c r="Q2871" s="112" t="n">
        <v>0</v>
      </c>
      <c r="R2871" s="112" t="n">
        <v>711.67</v>
      </c>
      <c r="S2871" s="112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D2872" t="inlineStr"/>
      <c r="E2872" t="inlineStr">
        <is>
          <t>LA</t>
        </is>
      </c>
      <c r="F2872" t="inlineStr"/>
      <c r="G2872" s="126" t="inlineStr"/>
      <c r="H2872" s="125" t="n">
        <v>46107</v>
      </c>
      <c r="I2872" t="inlineStr"/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N2872" t="inlineStr"/>
      <c r="O2872" t="inlineStr"/>
      <c r="P2872" t="inlineStr"/>
      <c r="Q2872" s="112" t="n">
        <v>0</v>
      </c>
      <c r="R2872" s="112" t="n">
        <v>406.83</v>
      </c>
      <c r="S2872" s="112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D2873" t="inlineStr"/>
      <c r="E2873" t="inlineStr">
        <is>
          <t>LA</t>
        </is>
      </c>
      <c r="F2873" t="inlineStr"/>
      <c r="G2873" s="126" t="inlineStr"/>
      <c r="H2873" s="125" t="n">
        <v>46114</v>
      </c>
      <c r="I2873" t="inlineStr"/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N2873" t="inlineStr"/>
      <c r="O2873" t="inlineStr"/>
      <c r="P2873" t="inlineStr"/>
      <c r="Q2873" s="112" t="n">
        <v>0</v>
      </c>
      <c r="R2873" s="112" t="n">
        <v>1516.01</v>
      </c>
      <c r="S2873" s="112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D2874" t="inlineStr"/>
      <c r="E2874" t="inlineStr">
        <is>
          <t>LA</t>
        </is>
      </c>
      <c r="F2874" t="inlineStr"/>
      <c r="G2874" s="126" t="inlineStr"/>
      <c r="H2874" s="125" t="n">
        <v>46114</v>
      </c>
      <c r="I2874" t="inlineStr"/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N2874" t="inlineStr"/>
      <c r="O2874" t="inlineStr"/>
      <c r="P2874" t="inlineStr"/>
      <c r="Q2874" s="112" t="n">
        <v>0</v>
      </c>
      <c r="R2874" s="112" t="n">
        <v>1516.01</v>
      </c>
      <c r="S2874" s="112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D2875" t="inlineStr"/>
      <c r="E2875" t="inlineStr">
        <is>
          <t>LA</t>
        </is>
      </c>
      <c r="F2875" t="inlineStr"/>
      <c r="G2875" s="126" t="inlineStr"/>
      <c r="H2875" s="125" t="n">
        <v>46114</v>
      </c>
      <c r="I2875" t="inlineStr"/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N2875" t="inlineStr"/>
      <c r="O2875" t="inlineStr"/>
      <c r="P2875" t="inlineStr"/>
      <c r="Q2875" s="112" t="n">
        <v>0</v>
      </c>
      <c r="R2875" s="112" t="n">
        <v>1516.03</v>
      </c>
      <c r="S2875" s="112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D2876" t="inlineStr"/>
      <c r="E2876" t="inlineStr">
        <is>
          <t>LA</t>
        </is>
      </c>
      <c r="F2876" t="inlineStr"/>
      <c r="G2876" s="126" t="inlineStr"/>
      <c r="H2876" s="125" t="n">
        <v>46114</v>
      </c>
      <c r="I2876" t="inlineStr"/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N2876" t="inlineStr"/>
      <c r="O2876" t="inlineStr"/>
      <c r="P2876" t="inlineStr"/>
      <c r="Q2876" s="112" t="n">
        <v>0</v>
      </c>
      <c r="R2876" s="112" t="n">
        <v>1516.04</v>
      </c>
      <c r="S2876" s="112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D2877" t="inlineStr"/>
      <c r="E2877" t="inlineStr">
        <is>
          <t>LA</t>
        </is>
      </c>
      <c r="F2877" t="inlineStr"/>
      <c r="G2877" s="126" t="inlineStr"/>
      <c r="H2877" s="125" t="n">
        <v>46121</v>
      </c>
      <c r="I2877" t="inlineStr"/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N2877" t="inlineStr"/>
      <c r="O2877" t="inlineStr"/>
      <c r="P2877" t="inlineStr"/>
      <c r="Q2877" s="112" t="n">
        <v>0</v>
      </c>
      <c r="R2877" s="112" t="n">
        <v>729.48</v>
      </c>
      <c r="S2877" s="112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D2878" t="inlineStr"/>
      <c r="E2878" t="inlineStr">
        <is>
          <t>LA</t>
        </is>
      </c>
      <c r="F2878" t="inlineStr"/>
      <c r="G2878" s="126" t="inlineStr"/>
      <c r="H2878" s="125" t="n">
        <v>46121</v>
      </c>
      <c r="I2878" t="inlineStr"/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N2878" t="inlineStr"/>
      <c r="O2878" t="inlineStr"/>
      <c r="P2878" t="inlineStr"/>
      <c r="Q2878" s="112" t="n">
        <v>0</v>
      </c>
      <c r="R2878" s="112" t="n">
        <v>1280.79</v>
      </c>
      <c r="S2878" s="112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D2879" t="inlineStr"/>
      <c r="E2879" t="inlineStr">
        <is>
          <t>LA</t>
        </is>
      </c>
      <c r="F2879" t="inlineStr"/>
      <c r="G2879" s="126" t="inlineStr"/>
      <c r="H2879" s="125" t="n">
        <v>46121</v>
      </c>
      <c r="I2879" t="inlineStr"/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N2879" t="inlineStr"/>
      <c r="O2879" t="inlineStr"/>
      <c r="P2879" t="inlineStr"/>
      <c r="Q2879" s="112" t="n">
        <v>0</v>
      </c>
      <c r="R2879" s="112" t="n">
        <v>1280.79</v>
      </c>
      <c r="S2879" s="112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D2880" t="inlineStr"/>
      <c r="E2880" t="inlineStr">
        <is>
          <t>LA</t>
        </is>
      </c>
      <c r="F2880" t="inlineStr"/>
      <c r="G2880" s="126" t="inlineStr"/>
      <c r="H2880" s="125" t="n">
        <v>46121</v>
      </c>
      <c r="I2880" t="inlineStr"/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N2880" t="inlineStr"/>
      <c r="O2880" t="inlineStr"/>
      <c r="P2880" t="inlineStr"/>
      <c r="Q2880" s="112" t="n">
        <v>0</v>
      </c>
      <c r="R2880" s="112" t="n">
        <v>1280.81</v>
      </c>
      <c r="S2880" s="112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D2881" t="inlineStr"/>
      <c r="E2881" t="inlineStr">
        <is>
          <t>LA</t>
        </is>
      </c>
      <c r="F2881" t="inlineStr"/>
      <c r="G2881" s="126" t="inlineStr"/>
      <c r="H2881" s="125" t="n">
        <v>46121</v>
      </c>
      <c r="I2881" t="inlineStr"/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N2881" t="inlineStr"/>
      <c r="O2881" t="inlineStr"/>
      <c r="P2881" t="inlineStr"/>
      <c r="Q2881" s="112" t="n">
        <v>0</v>
      </c>
      <c r="R2881" s="112" t="n">
        <v>1280.81</v>
      </c>
      <c r="S2881" s="112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D2882" t="inlineStr"/>
      <c r="E2882" t="inlineStr">
        <is>
          <t>LA</t>
        </is>
      </c>
      <c r="F2882" t="inlineStr"/>
      <c r="G2882" s="126" t="inlineStr"/>
      <c r="H2882" s="125" t="n">
        <v>46121</v>
      </c>
      <c r="I2882" t="inlineStr"/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N2882" t="inlineStr"/>
      <c r="O2882" t="inlineStr"/>
      <c r="P2882" t="inlineStr"/>
      <c r="Q2882" s="112" t="n">
        <v>0</v>
      </c>
      <c r="R2882" s="112" t="n">
        <v>774.21</v>
      </c>
      <c r="S2882" s="112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D2883" t="inlineStr"/>
      <c r="E2883" t="inlineStr">
        <is>
          <t>LA</t>
        </is>
      </c>
      <c r="F2883" t="inlineStr"/>
      <c r="G2883" s="126" t="inlineStr"/>
      <c r="H2883" s="125" t="n">
        <v>46128</v>
      </c>
      <c r="I2883" t="inlineStr"/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N2883" t="inlineStr"/>
      <c r="O2883" t="inlineStr"/>
      <c r="P2883" t="inlineStr"/>
      <c r="Q2883" s="112" t="n">
        <v>0</v>
      </c>
      <c r="R2883" s="112" t="n">
        <v>729.48</v>
      </c>
      <c r="S2883" s="112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D2884" t="inlineStr"/>
      <c r="E2884" t="inlineStr">
        <is>
          <t>LA</t>
        </is>
      </c>
      <c r="F2884" t="inlineStr"/>
      <c r="G2884" s="126" t="inlineStr"/>
      <c r="H2884" s="125" t="n">
        <v>46128</v>
      </c>
      <c r="I2884" t="inlineStr"/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N2884" t="inlineStr"/>
      <c r="O2884" t="inlineStr"/>
      <c r="P2884" t="inlineStr"/>
      <c r="Q2884" s="112" t="n">
        <v>0</v>
      </c>
      <c r="R2884" s="112" t="n">
        <v>2014.42</v>
      </c>
      <c r="S2884" s="112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D2885" t="inlineStr"/>
      <c r="E2885" t="inlineStr">
        <is>
          <t>LA</t>
        </is>
      </c>
      <c r="F2885" t="inlineStr"/>
      <c r="G2885" s="126" t="inlineStr"/>
      <c r="H2885" s="125" t="n">
        <v>46128</v>
      </c>
      <c r="I2885" t="inlineStr"/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N2885" t="inlineStr"/>
      <c r="O2885" t="inlineStr"/>
      <c r="P2885" t="inlineStr"/>
      <c r="Q2885" s="112" t="n">
        <v>0</v>
      </c>
      <c r="R2885" s="112" t="n">
        <v>2013.99</v>
      </c>
      <c r="S2885" s="112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D2886" t="inlineStr"/>
      <c r="E2886" t="inlineStr">
        <is>
          <t>LA</t>
        </is>
      </c>
      <c r="F2886" t="inlineStr"/>
      <c r="G2886" s="126" t="inlineStr"/>
      <c r="H2886" s="125" t="n">
        <v>46128</v>
      </c>
      <c r="I2886" t="inlineStr"/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N2886" t="inlineStr"/>
      <c r="O2886" t="inlineStr"/>
      <c r="P2886" t="inlineStr"/>
      <c r="Q2886" s="112" t="n">
        <v>0</v>
      </c>
      <c r="R2886" s="112" t="n">
        <v>2014.01</v>
      </c>
      <c r="S2886" s="112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D2887" t="inlineStr"/>
      <c r="E2887" t="inlineStr">
        <is>
          <t>LA</t>
        </is>
      </c>
      <c r="F2887" t="inlineStr"/>
      <c r="G2887" s="126" t="inlineStr"/>
      <c r="H2887" s="125" t="n">
        <v>46128</v>
      </c>
      <c r="I2887" t="inlineStr"/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N2887" t="inlineStr"/>
      <c r="O2887" t="inlineStr"/>
      <c r="P2887" t="inlineStr"/>
      <c r="Q2887" s="112" t="n">
        <v>0</v>
      </c>
      <c r="R2887" s="112" t="n">
        <v>2014.01</v>
      </c>
      <c r="S2887" s="112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D2888" t="inlineStr"/>
      <c r="E2888" t="inlineStr">
        <is>
          <t>LA</t>
        </is>
      </c>
      <c r="F2888" t="inlineStr"/>
      <c r="G2888" s="126" t="inlineStr"/>
      <c r="H2888" s="125" t="n">
        <v>46128</v>
      </c>
      <c r="I2888" t="inlineStr"/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N2888" t="inlineStr"/>
      <c r="O2888" t="inlineStr"/>
      <c r="P2888" t="inlineStr"/>
      <c r="Q2888" s="112" t="n">
        <v>0</v>
      </c>
      <c r="R2888" s="112" t="n">
        <v>1493.05</v>
      </c>
      <c r="S2888" s="112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D2889" t="inlineStr"/>
      <c r="E2889" t="inlineStr">
        <is>
          <t>LA</t>
        </is>
      </c>
      <c r="F2889" t="inlineStr"/>
      <c r="G2889" s="126" t="inlineStr"/>
      <c r="H2889" s="125" t="n">
        <v>46135</v>
      </c>
      <c r="I2889" t="inlineStr"/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N2889" t="inlineStr"/>
      <c r="O2889" t="inlineStr"/>
      <c r="P2889" t="inlineStr"/>
      <c r="Q2889" s="112" t="n">
        <v>0</v>
      </c>
      <c r="R2889" s="112" t="n">
        <v>527.65</v>
      </c>
      <c r="S2889" s="112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D2890" t="inlineStr"/>
      <c r="E2890" t="inlineStr">
        <is>
          <t>LA</t>
        </is>
      </c>
      <c r="F2890" t="inlineStr"/>
      <c r="G2890" s="126" t="inlineStr"/>
      <c r="H2890" s="125" t="n">
        <v>46135</v>
      </c>
      <c r="I2890" t="inlineStr"/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N2890" t="inlineStr"/>
      <c r="O2890" t="inlineStr"/>
      <c r="P2890" t="inlineStr"/>
      <c r="Q2890" s="112" t="n">
        <v>0</v>
      </c>
      <c r="R2890" s="112" t="n">
        <v>803.9400000000001</v>
      </c>
      <c r="S2890" s="112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D2891" t="inlineStr"/>
      <c r="E2891" t="inlineStr">
        <is>
          <t>LA</t>
        </is>
      </c>
      <c r="F2891" t="inlineStr"/>
      <c r="G2891" s="126" t="inlineStr"/>
      <c r="H2891" s="125" t="n">
        <v>46135</v>
      </c>
      <c r="I2891" t="inlineStr"/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N2891" t="inlineStr"/>
      <c r="O2891" t="inlineStr"/>
      <c r="P2891" t="inlineStr"/>
      <c r="Q2891" s="112" t="n">
        <v>0</v>
      </c>
      <c r="R2891" s="112" t="n">
        <v>2056.79</v>
      </c>
      <c r="S2891" s="112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D2892" t="inlineStr"/>
      <c r="E2892" t="inlineStr">
        <is>
          <t>LA</t>
        </is>
      </c>
      <c r="F2892" t="inlineStr"/>
      <c r="G2892" s="126" t="inlineStr"/>
      <c r="H2892" s="125" t="n">
        <v>46135</v>
      </c>
      <c r="I2892" t="inlineStr"/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N2892" t="inlineStr"/>
      <c r="O2892" t="inlineStr"/>
      <c r="P2892" t="inlineStr"/>
      <c r="Q2892" s="112" t="n">
        <v>0</v>
      </c>
      <c r="R2892" s="112" t="n">
        <v>1461.39</v>
      </c>
      <c r="S2892" s="112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D2893" t="inlineStr"/>
      <c r="E2893" t="inlineStr">
        <is>
          <t>LA</t>
        </is>
      </c>
      <c r="F2893" t="inlineStr"/>
      <c r="G2893" s="126" t="inlineStr"/>
      <c r="H2893" s="125" t="n">
        <v>46135</v>
      </c>
      <c r="I2893" t="inlineStr"/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N2893" t="inlineStr"/>
      <c r="O2893" t="inlineStr"/>
      <c r="P2893" t="inlineStr"/>
      <c r="Q2893" s="112" t="n">
        <v>0</v>
      </c>
      <c r="R2893" s="112" t="n">
        <v>1461.39</v>
      </c>
      <c r="S2893" s="112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D2894" t="inlineStr"/>
      <c r="E2894" t="inlineStr">
        <is>
          <t>LA</t>
        </is>
      </c>
      <c r="F2894" t="inlineStr"/>
      <c r="G2894" s="126" t="inlineStr"/>
      <c r="H2894" s="125" t="n">
        <v>46135</v>
      </c>
      <c r="I2894" t="inlineStr"/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N2894" t="inlineStr"/>
      <c r="O2894" t="inlineStr"/>
      <c r="P2894" t="inlineStr"/>
      <c r="Q2894" s="112" t="n">
        <v>0</v>
      </c>
      <c r="R2894" s="112" t="n">
        <v>1098.74</v>
      </c>
      <c r="S2894" s="112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D2895" t="inlineStr"/>
      <c r="E2895" t="inlineStr">
        <is>
          <t>LA</t>
        </is>
      </c>
      <c r="F2895" t="inlineStr"/>
      <c r="G2895" s="126" t="inlineStr"/>
      <c r="H2895" s="125" t="n">
        <v>46135</v>
      </c>
      <c r="I2895" t="inlineStr"/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N2895" t="inlineStr"/>
      <c r="O2895" t="inlineStr"/>
      <c r="P2895" t="inlineStr"/>
      <c r="Q2895" s="112" t="n">
        <v>0</v>
      </c>
      <c r="R2895" s="112" t="n">
        <v>567.3</v>
      </c>
      <c r="S2895" s="112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D2896" t="inlineStr"/>
      <c r="E2896" t="inlineStr">
        <is>
          <t>LA</t>
        </is>
      </c>
      <c r="F2896" t="inlineStr"/>
      <c r="G2896" s="126" t="inlineStr"/>
      <c r="H2896" s="125" t="n">
        <v>46135</v>
      </c>
      <c r="I2896" t="inlineStr"/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N2896" t="inlineStr"/>
      <c r="O2896" t="inlineStr"/>
      <c r="P2896" t="inlineStr"/>
      <c r="Q2896" s="112" t="n">
        <v>0</v>
      </c>
      <c r="R2896" s="112" t="n">
        <v>567.3099999999999</v>
      </c>
      <c r="S2896" s="112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D2897" t="inlineStr"/>
      <c r="E2897" t="inlineStr">
        <is>
          <t>LA</t>
        </is>
      </c>
      <c r="F2897" t="inlineStr"/>
      <c r="G2897" s="126" t="inlineStr"/>
      <c r="H2897" s="125" t="n">
        <v>46135</v>
      </c>
      <c r="I2897" t="inlineStr"/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N2897" t="inlineStr"/>
      <c r="O2897" t="inlineStr"/>
      <c r="P2897" t="inlineStr"/>
      <c r="Q2897" s="112" t="n">
        <v>0</v>
      </c>
      <c r="R2897" s="112" t="n">
        <v>567.29</v>
      </c>
      <c r="S2897" s="112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D2898" t="inlineStr"/>
      <c r="E2898" t="inlineStr">
        <is>
          <t>LA</t>
        </is>
      </c>
      <c r="F2898" t="inlineStr"/>
      <c r="G2898" s="126" t="inlineStr"/>
      <c r="H2898" s="125" t="n">
        <v>46142</v>
      </c>
      <c r="I2898" t="inlineStr"/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N2898" t="inlineStr"/>
      <c r="O2898" t="inlineStr"/>
      <c r="P2898" t="inlineStr"/>
      <c r="Q2898" s="112" t="n">
        <v>0</v>
      </c>
      <c r="R2898" s="112" t="n">
        <v>1533.19</v>
      </c>
      <c r="S2898" s="112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D2899" t="inlineStr"/>
      <c r="E2899" t="inlineStr">
        <is>
          <t>LA</t>
        </is>
      </c>
      <c r="F2899" t="inlineStr"/>
      <c r="G2899" s="126" t="inlineStr"/>
      <c r="H2899" s="125" t="n">
        <v>46142</v>
      </c>
      <c r="I2899" t="inlineStr"/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N2899" t="inlineStr"/>
      <c r="O2899" t="inlineStr"/>
      <c r="P2899" t="inlineStr"/>
      <c r="Q2899" s="112" t="n">
        <v>0</v>
      </c>
      <c r="R2899" s="112" t="n">
        <v>1172.95</v>
      </c>
      <c r="S2899" s="112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D2900" t="inlineStr"/>
      <c r="E2900" t="inlineStr">
        <is>
          <t>LA</t>
        </is>
      </c>
      <c r="F2900" t="inlineStr"/>
      <c r="G2900" s="126" t="inlineStr"/>
      <c r="H2900" s="125" t="n">
        <v>46142</v>
      </c>
      <c r="I2900" t="inlineStr"/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N2900" t="inlineStr"/>
      <c r="O2900" t="inlineStr"/>
      <c r="P2900" t="inlineStr"/>
      <c r="Q2900" s="112" t="n">
        <v>0</v>
      </c>
      <c r="R2900" s="112" t="n">
        <v>1172.95</v>
      </c>
      <c r="S2900" s="112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D2901" t="inlineStr"/>
      <c r="E2901" t="inlineStr">
        <is>
          <t>LA</t>
        </is>
      </c>
      <c r="F2901" t="inlineStr"/>
      <c r="G2901" s="126" t="inlineStr"/>
      <c r="H2901" s="125" t="n">
        <v>46142</v>
      </c>
      <c r="I2901" t="inlineStr"/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N2901" t="inlineStr"/>
      <c r="O2901" t="inlineStr"/>
      <c r="P2901" t="inlineStr"/>
      <c r="Q2901" s="112" t="n">
        <v>0</v>
      </c>
      <c r="R2901" s="112" t="n">
        <v>1172.95</v>
      </c>
      <c r="S2901" s="112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D2902" t="inlineStr"/>
      <c r="E2902" t="inlineStr">
        <is>
          <t>LA</t>
        </is>
      </c>
      <c r="F2902" t="inlineStr"/>
      <c r="G2902" s="126" t="inlineStr"/>
      <c r="H2902" s="125" t="n">
        <v>46149</v>
      </c>
      <c r="I2902" t="inlineStr"/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N2902" t="inlineStr"/>
      <c r="O2902" t="inlineStr"/>
      <c r="P2902" t="inlineStr"/>
      <c r="Q2902" s="112" t="n">
        <v>0</v>
      </c>
      <c r="R2902" s="112" t="n">
        <v>408.71</v>
      </c>
      <c r="S2902" s="112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D2903" t="inlineStr"/>
      <c r="E2903" t="inlineStr">
        <is>
          <t>LA</t>
        </is>
      </c>
      <c r="F2903" t="inlineStr"/>
      <c r="G2903" s="126" t="inlineStr"/>
      <c r="H2903" s="125" t="n">
        <v>46150</v>
      </c>
      <c r="I2903" t="inlineStr"/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N2903" t="inlineStr"/>
      <c r="O2903" t="inlineStr"/>
      <c r="P2903" t="inlineStr"/>
      <c r="Q2903" s="112" t="n">
        <v>0</v>
      </c>
      <c r="R2903" s="112" t="n">
        <v>-41790.32</v>
      </c>
      <c r="S2903" s="112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D2904" t="inlineStr"/>
      <c r="E2904" t="inlineStr">
        <is>
          <t>LA</t>
        </is>
      </c>
      <c r="F2904" t="inlineStr"/>
      <c r="G2904" s="126" t="inlineStr"/>
      <c r="H2904" s="125" t="n">
        <v>46149</v>
      </c>
      <c r="I2904" t="inlineStr"/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N2904" t="inlineStr"/>
      <c r="O2904" t="inlineStr"/>
      <c r="P2904" t="inlineStr"/>
      <c r="Q2904" s="112" t="n">
        <v>0</v>
      </c>
      <c r="R2904" s="112" t="n">
        <v>704.9</v>
      </c>
      <c r="S2904" s="112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D2905" t="inlineStr"/>
      <c r="E2905" t="inlineStr">
        <is>
          <t>LA</t>
        </is>
      </c>
      <c r="F2905" t="inlineStr"/>
      <c r="G2905" s="126" t="inlineStr"/>
      <c r="H2905" s="125" t="n">
        <v>46149</v>
      </c>
      <c r="I2905" t="inlineStr"/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N2905" t="inlineStr"/>
      <c r="O2905" t="inlineStr"/>
      <c r="P2905" t="inlineStr"/>
      <c r="Q2905" s="112" t="n">
        <v>0</v>
      </c>
      <c r="R2905" s="112" t="n">
        <v>681.5599999999999</v>
      </c>
      <c r="S2905" s="112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D2906" t="inlineStr"/>
      <c r="E2906" t="inlineStr">
        <is>
          <t>LA</t>
        </is>
      </c>
      <c r="F2906" t="inlineStr"/>
      <c r="G2906" s="126" t="inlineStr"/>
      <c r="H2906" s="125" t="n">
        <v>46149</v>
      </c>
      <c r="I2906" t="inlineStr"/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N2906" t="inlineStr"/>
      <c r="O2906" t="inlineStr"/>
      <c r="P2906" t="inlineStr"/>
      <c r="Q2906" s="112" t="n">
        <v>0</v>
      </c>
      <c r="R2906" s="112" t="n">
        <v>490.64</v>
      </c>
      <c r="S2906" s="112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D2907" t="inlineStr"/>
      <c r="E2907" t="inlineStr">
        <is>
          <t>LA</t>
        </is>
      </c>
      <c r="F2907" t="inlineStr"/>
      <c r="G2907" s="126" t="inlineStr"/>
      <c r="H2907" s="125" t="n">
        <v>46149</v>
      </c>
      <c r="I2907" t="inlineStr"/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N2907" t="inlineStr"/>
      <c r="O2907" t="inlineStr"/>
      <c r="P2907" t="inlineStr"/>
      <c r="Q2907" s="112" t="n">
        <v>0</v>
      </c>
      <c r="R2907" s="112" t="n">
        <v>899.35</v>
      </c>
      <c r="S2907" s="112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D2908" t="inlineStr"/>
      <c r="E2908" t="inlineStr">
        <is>
          <t>LA</t>
        </is>
      </c>
      <c r="F2908" t="inlineStr"/>
      <c r="G2908" s="126" t="inlineStr"/>
      <c r="H2908" s="125" t="n">
        <v>46149</v>
      </c>
      <c r="I2908" t="inlineStr"/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N2908" t="inlineStr"/>
      <c r="O2908" t="inlineStr"/>
      <c r="P2908" t="inlineStr"/>
      <c r="Q2908" s="112" t="n">
        <v>0</v>
      </c>
      <c r="R2908" s="112" t="n">
        <v>899.35</v>
      </c>
      <c r="S2908" s="112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D2909" t="inlineStr"/>
      <c r="E2909" t="inlineStr">
        <is>
          <t>LA</t>
        </is>
      </c>
      <c r="F2909" t="inlineStr"/>
      <c r="G2909" s="126" t="inlineStr"/>
      <c r="H2909" s="125" t="n">
        <v>46149</v>
      </c>
      <c r="I2909" t="inlineStr"/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N2909" t="inlineStr"/>
      <c r="O2909" t="inlineStr"/>
      <c r="P2909" t="inlineStr"/>
      <c r="Q2909" s="112" t="n">
        <v>0</v>
      </c>
      <c r="R2909" s="112" t="n">
        <v>899.35</v>
      </c>
      <c r="S2909" s="112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D2910" t="inlineStr"/>
      <c r="E2910" t="inlineStr">
        <is>
          <t>LA</t>
        </is>
      </c>
      <c r="F2910" t="inlineStr"/>
      <c r="G2910" s="126" t="inlineStr"/>
      <c r="H2910" s="125" t="n">
        <v>46156</v>
      </c>
      <c r="I2910" t="inlineStr"/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N2910" t="inlineStr"/>
      <c r="O2910" t="inlineStr"/>
      <c r="P2910" t="inlineStr"/>
      <c r="Q2910" s="112" t="n">
        <v>0</v>
      </c>
      <c r="R2910" s="112" t="n">
        <v>1260.17</v>
      </c>
      <c r="S2910" s="112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D2911" t="inlineStr"/>
      <c r="E2911" t="inlineStr">
        <is>
          <t>LA</t>
        </is>
      </c>
      <c r="F2911" t="inlineStr"/>
      <c r="G2911" s="126" t="inlineStr"/>
      <c r="H2911" s="125" t="n">
        <v>46156</v>
      </c>
      <c r="I2911" t="inlineStr"/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N2911" t="inlineStr"/>
      <c r="O2911" t="inlineStr"/>
      <c r="P2911" t="inlineStr"/>
      <c r="Q2911" s="112" t="n">
        <v>0</v>
      </c>
      <c r="R2911" s="112" t="n">
        <v>655.04</v>
      </c>
      <c r="S2911" s="112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D2912" t="inlineStr"/>
      <c r="E2912" t="inlineStr">
        <is>
          <t>LA</t>
        </is>
      </c>
      <c r="F2912" t="inlineStr"/>
      <c r="G2912" s="126" t="inlineStr"/>
      <c r="H2912" s="125" t="n">
        <v>46156</v>
      </c>
      <c r="I2912" t="inlineStr"/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N2912" t="inlineStr"/>
      <c r="O2912" t="inlineStr"/>
      <c r="P2912" t="inlineStr"/>
      <c r="Q2912" s="112" t="n">
        <v>0</v>
      </c>
      <c r="R2912" s="112" t="n">
        <v>863.98</v>
      </c>
      <c r="S2912" s="112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D2913" t="inlineStr"/>
      <c r="E2913" t="inlineStr">
        <is>
          <t>LA</t>
        </is>
      </c>
      <c r="F2913" t="inlineStr"/>
      <c r="G2913" s="126" t="inlineStr"/>
      <c r="H2913" s="125" t="n">
        <v>46156</v>
      </c>
      <c r="I2913" t="inlineStr"/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N2913" t="inlineStr"/>
      <c r="O2913" t="inlineStr"/>
      <c r="P2913" t="inlineStr"/>
      <c r="Q2913" s="112" t="n">
        <v>0</v>
      </c>
      <c r="R2913" s="112" t="n">
        <v>863.98</v>
      </c>
      <c r="S2913" s="112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D2914" t="inlineStr"/>
      <c r="E2914" t="inlineStr">
        <is>
          <t>LA</t>
        </is>
      </c>
      <c r="F2914" t="inlineStr"/>
      <c r="G2914" s="126" t="inlineStr"/>
      <c r="H2914" s="125" t="n">
        <v>46156</v>
      </c>
      <c r="I2914" t="inlineStr"/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N2914" t="inlineStr"/>
      <c r="O2914" t="inlineStr"/>
      <c r="P2914" t="inlineStr"/>
      <c r="Q2914" s="112" t="n">
        <v>0</v>
      </c>
      <c r="R2914" s="112" t="n">
        <v>863.98</v>
      </c>
      <c r="S2914" s="112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D2915" t="inlineStr"/>
      <c r="E2915" t="inlineStr">
        <is>
          <t>LA</t>
        </is>
      </c>
      <c r="F2915" t="inlineStr"/>
      <c r="G2915" s="126" t="inlineStr"/>
      <c r="H2915" s="125" t="n">
        <v>46156</v>
      </c>
      <c r="I2915" t="inlineStr"/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N2915" t="inlineStr"/>
      <c r="O2915" t="inlineStr"/>
      <c r="P2915" t="inlineStr"/>
      <c r="Q2915" s="112" t="n">
        <v>0</v>
      </c>
      <c r="R2915" s="112" t="n">
        <v>863.98</v>
      </c>
      <c r="S2915" s="112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D2916" t="inlineStr"/>
      <c r="E2916" t="inlineStr">
        <is>
          <t>LA</t>
        </is>
      </c>
      <c r="F2916" t="inlineStr"/>
      <c r="G2916" s="126" t="inlineStr"/>
      <c r="H2916" s="125" t="n">
        <v>46163</v>
      </c>
      <c r="I2916" t="inlineStr"/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N2916" t="inlineStr"/>
      <c r="O2916" t="inlineStr"/>
      <c r="P2916" t="inlineStr"/>
      <c r="Q2916" s="112" t="n">
        <v>0</v>
      </c>
      <c r="R2916" s="112" t="n">
        <v>1199.65</v>
      </c>
      <c r="S2916" s="112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D2917" t="inlineStr"/>
      <c r="E2917" t="inlineStr">
        <is>
          <t>LA</t>
        </is>
      </c>
      <c r="F2917" t="inlineStr"/>
      <c r="G2917" s="126" t="inlineStr"/>
      <c r="H2917" s="125" t="n">
        <v>46163</v>
      </c>
      <c r="I2917" t="inlineStr"/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N2917" t="inlineStr"/>
      <c r="O2917" t="inlineStr"/>
      <c r="P2917" t="inlineStr"/>
      <c r="Q2917" s="112" t="n">
        <v>0</v>
      </c>
      <c r="R2917" s="112" t="n">
        <v>1199.65</v>
      </c>
      <c r="S2917" s="112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26" t="n">
        <v>46094</v>
      </c>
      <c r="H2918" s="125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12" t="n">
        <v>0</v>
      </c>
      <c r="R2918" s="112" t="n">
        <v>0</v>
      </c>
      <c r="S2918" s="112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26" t="n">
        <v>46094</v>
      </c>
      <c r="H2919" s="125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12" t="n">
        <v>0</v>
      </c>
      <c r="R2919" s="112" t="n">
        <v>0</v>
      </c>
      <c r="S2919" s="112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26" t="n">
        <v>46094</v>
      </c>
      <c r="H2920" s="125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12" t="n">
        <v>0</v>
      </c>
      <c r="R2920" s="112" t="n">
        <v>0</v>
      </c>
      <c r="S2920" s="112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D2921" t="inlineStr"/>
      <c r="E2921" t="inlineStr">
        <is>
          <t>MA</t>
        </is>
      </c>
      <c r="F2921" t="inlineStr"/>
      <c r="G2921" s="126" t="inlineStr"/>
      <c r="H2921" s="125" t="n">
        <v>46162</v>
      </c>
      <c r="I2921" t="inlineStr"/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N2921" t="inlineStr"/>
      <c r="O2921" t="inlineStr">
        <is>
          <t>21358</t>
        </is>
      </c>
      <c r="P2921" t="inlineStr">
        <is>
          <t>TEXAS GULF COAST AGGREGATES, LLC</t>
        </is>
      </c>
      <c r="Q2921" s="112" t="n">
        <v>0</v>
      </c>
      <c r="R2921" s="112" t="n">
        <v>325.83</v>
      </c>
      <c r="S2921" s="112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26" t="n">
        <v>46093</v>
      </c>
      <c r="H2922" s="125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12" t="n">
        <v>0</v>
      </c>
      <c r="R2922" s="112" t="n">
        <v>0</v>
      </c>
      <c r="S2922" s="112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26" t="n">
        <v>46093</v>
      </c>
      <c r="H2923" s="125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12" t="n">
        <v>0</v>
      </c>
      <c r="R2923" s="112" t="n">
        <v>0</v>
      </c>
      <c r="S2923" s="112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26" t="n">
        <v>46093</v>
      </c>
      <c r="H2924" s="125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12" t="n">
        <v>0</v>
      </c>
      <c r="R2924" s="112" t="n">
        <v>0</v>
      </c>
      <c r="S2924" s="112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26" t="n">
        <v>46093</v>
      </c>
      <c r="H2925" s="125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12" t="n">
        <v>0</v>
      </c>
      <c r="R2925" s="112" t="n">
        <v>0</v>
      </c>
      <c r="S2925" s="112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26" t="n">
        <v>46093</v>
      </c>
      <c r="H2926" s="125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12" t="n">
        <v>0</v>
      </c>
      <c r="R2926" s="112" t="n">
        <v>0</v>
      </c>
      <c r="S2926" s="112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26" t="n">
        <v>46093</v>
      </c>
      <c r="H2927" s="125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12" t="n">
        <v>0</v>
      </c>
      <c r="R2927" s="112" t="n">
        <v>0</v>
      </c>
      <c r="S2927" s="112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26" t="n">
        <v>46093</v>
      </c>
      <c r="H2928" s="125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12" t="n">
        <v>0</v>
      </c>
      <c r="R2928" s="112" t="n">
        <v>0</v>
      </c>
      <c r="S2928" s="112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26" t="n">
        <v>46093</v>
      </c>
      <c r="H2929" s="125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12" t="n">
        <v>0</v>
      </c>
      <c r="R2929" s="112" t="n">
        <v>0</v>
      </c>
      <c r="S2929" s="112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26" t="n">
        <v>46093</v>
      </c>
      <c r="H2930" s="125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12" t="n">
        <v>0</v>
      </c>
      <c r="R2930" s="112" t="n">
        <v>0</v>
      </c>
      <c r="S2930" s="112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26" t="n">
        <v>46093</v>
      </c>
      <c r="H2931" s="125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12" t="n">
        <v>0</v>
      </c>
      <c r="R2931" s="112" t="n">
        <v>0</v>
      </c>
      <c r="S2931" s="112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26" t="n">
        <v>46093</v>
      </c>
      <c r="H2932" s="125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12" t="n">
        <v>0</v>
      </c>
      <c r="R2932" s="112" t="n">
        <v>0</v>
      </c>
      <c r="S2932" s="112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26" t="n">
        <v>46093</v>
      </c>
      <c r="H2933" s="125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12" t="n">
        <v>0</v>
      </c>
      <c r="R2933" s="112" t="n">
        <v>0</v>
      </c>
      <c r="S2933" s="112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26" t="n">
        <v>46093</v>
      </c>
      <c r="H2934" s="125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12" t="n">
        <v>0</v>
      </c>
      <c r="R2934" s="112" t="n">
        <v>0</v>
      </c>
      <c r="S2934" s="112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26" t="n">
        <v>46093</v>
      </c>
      <c r="H2935" s="125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12" t="n">
        <v>0</v>
      </c>
      <c r="R2935" s="112" t="n">
        <v>0</v>
      </c>
      <c r="S2935" s="112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26" t="n">
        <v>46093</v>
      </c>
      <c r="H2936" s="125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12" t="n">
        <v>0</v>
      </c>
      <c r="R2936" s="112" t="n">
        <v>0</v>
      </c>
      <c r="S2936" s="112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26" t="n">
        <v>46093</v>
      </c>
      <c r="H2937" s="125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12" t="n">
        <v>0</v>
      </c>
      <c r="R2937" s="112" t="n">
        <v>0</v>
      </c>
      <c r="S2937" s="112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26" t="n">
        <v>46093</v>
      </c>
      <c r="H2938" s="125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12" t="n">
        <v>0</v>
      </c>
      <c r="R2938" s="112" t="n">
        <v>0</v>
      </c>
      <c r="S2938" s="112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26" t="n">
        <v>46093</v>
      </c>
      <c r="H2939" s="125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12" t="n">
        <v>0</v>
      </c>
      <c r="R2939" s="112" t="n">
        <v>0</v>
      </c>
      <c r="S2939" s="112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26" t="n">
        <v>46097</v>
      </c>
      <c r="H2940" s="125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12" t="n">
        <v>0</v>
      </c>
      <c r="R2940" s="112" t="n">
        <v>0</v>
      </c>
      <c r="S2940" s="112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26" t="n">
        <v>46097</v>
      </c>
      <c r="H2941" s="125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12" t="n">
        <v>0</v>
      </c>
      <c r="R2941" s="112" t="n">
        <v>0</v>
      </c>
      <c r="S2941" s="112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26" t="n">
        <v>46097</v>
      </c>
      <c r="H2942" s="125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12" t="n">
        <v>0</v>
      </c>
      <c r="R2942" s="112" t="n">
        <v>0</v>
      </c>
      <c r="S2942" s="112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26" t="n">
        <v>46097</v>
      </c>
      <c r="H2943" s="125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12" t="n">
        <v>0</v>
      </c>
      <c r="R2943" s="112" t="n">
        <v>0</v>
      </c>
      <c r="S2943" s="112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26" t="n">
        <v>46097</v>
      </c>
      <c r="H2944" s="125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12" t="n">
        <v>0</v>
      </c>
      <c r="R2944" s="112" t="n">
        <v>0</v>
      </c>
      <c r="S2944" s="112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26" t="n">
        <v>46097</v>
      </c>
      <c r="H2945" s="125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12" t="n">
        <v>0</v>
      </c>
      <c r="R2945" s="112" t="n">
        <v>0</v>
      </c>
      <c r="S2945" s="112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D2946" t="inlineStr"/>
      <c r="E2946" t="inlineStr">
        <is>
          <t>OC</t>
        </is>
      </c>
      <c r="F2946" t="inlineStr"/>
      <c r="G2946" s="126" t="inlineStr"/>
      <c r="H2946" s="125" t="n">
        <v>46113</v>
      </c>
      <c r="I2946" t="inlineStr"/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N2946" t="inlineStr"/>
      <c r="O2946" t="inlineStr">
        <is>
          <t>21265</t>
        </is>
      </c>
      <c r="P2946" t="inlineStr">
        <is>
          <t>WHARTON FEED &amp; SUPPLY LLC</t>
        </is>
      </c>
      <c r="Q2946" s="112" t="n">
        <v>0</v>
      </c>
      <c r="R2946" s="112" t="n">
        <v>404.54</v>
      </c>
      <c r="S2946" s="112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D2947" t="inlineStr"/>
      <c r="E2947" t="inlineStr">
        <is>
          <t>OC</t>
        </is>
      </c>
      <c r="F2947" t="inlineStr"/>
      <c r="G2947" s="126" t="inlineStr"/>
      <c r="H2947" s="125" t="n">
        <v>46113</v>
      </c>
      <c r="I2947" t="inlineStr"/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N2947" t="inlineStr"/>
      <c r="O2947" t="inlineStr">
        <is>
          <t>21265</t>
        </is>
      </c>
      <c r="P2947" t="inlineStr">
        <is>
          <t>WHARTON FEED &amp; SUPPLY LLC</t>
        </is>
      </c>
      <c r="Q2947" s="112" t="n">
        <v>0</v>
      </c>
      <c r="R2947" s="112" t="n">
        <v>232.5</v>
      </c>
      <c r="S2947" s="112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D2948" t="inlineStr"/>
      <c r="E2948" t="inlineStr">
        <is>
          <t>OC</t>
        </is>
      </c>
      <c r="F2948" t="inlineStr"/>
      <c r="G2948" s="126" t="inlineStr"/>
      <c r="H2948" s="125" t="n">
        <v>46121</v>
      </c>
      <c r="I2948" t="inlineStr"/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N2948" t="inlineStr"/>
      <c r="O2948" t="inlineStr">
        <is>
          <t>20746</t>
        </is>
      </c>
      <c r="P2948" t="inlineStr">
        <is>
          <t>ALLTERRA CENTRAL, INC</t>
        </is>
      </c>
      <c r="Q2948" s="112" t="n">
        <v>0</v>
      </c>
      <c r="R2948" s="112" t="n">
        <v>318.97</v>
      </c>
      <c r="S2948" s="112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26" t="n">
        <v>45964</v>
      </c>
      <c r="H2949" s="125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12" t="n">
        <v>0</v>
      </c>
      <c r="R2949" s="112" t="n">
        <v>0</v>
      </c>
      <c r="S2949" s="112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26" t="n">
        <v>45964</v>
      </c>
      <c r="H2950" s="125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12" t="n">
        <v>0</v>
      </c>
      <c r="R2950" s="112" t="n">
        <v>0</v>
      </c>
      <c r="S2950" s="112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D2951" t="inlineStr"/>
      <c r="E2951" t="inlineStr">
        <is>
          <t>SU</t>
        </is>
      </c>
      <c r="F2951" t="inlineStr"/>
      <c r="G2951" s="126" t="inlineStr"/>
      <c r="H2951" s="125" t="n">
        <v>46112</v>
      </c>
      <c r="I2951" t="inlineStr"/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N2951" t="inlineStr"/>
      <c r="O2951" t="inlineStr">
        <is>
          <t>20047</t>
        </is>
      </c>
      <c r="P2951" t="inlineStr"/>
      <c r="Q2951" s="112" t="n">
        <v>0</v>
      </c>
      <c r="R2951" s="112" t="n">
        <v>26500</v>
      </c>
      <c r="S2951" s="112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D2952" t="inlineStr"/>
      <c r="E2952" t="inlineStr">
        <is>
          <t>SU</t>
        </is>
      </c>
      <c r="F2952" t="inlineStr"/>
      <c r="G2952" s="126" t="inlineStr"/>
      <c r="H2952" s="125" t="n">
        <v>46129</v>
      </c>
      <c r="I2952" t="inlineStr"/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N2952" t="inlineStr"/>
      <c r="O2952" t="inlineStr"/>
      <c r="P2952" t="inlineStr"/>
      <c r="Q2952" s="112" t="n">
        <v>0</v>
      </c>
      <c r="R2952" s="112" t="n">
        <v>1788.75</v>
      </c>
      <c r="S2952" s="112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D2953" t="inlineStr"/>
      <c r="E2953" t="inlineStr">
        <is>
          <t>LA</t>
        </is>
      </c>
      <c r="F2953" t="inlineStr"/>
      <c r="G2953" s="126" t="inlineStr"/>
      <c r="H2953" s="125" t="n">
        <v>46142</v>
      </c>
      <c r="I2953" t="inlineStr"/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N2953" t="inlineStr"/>
      <c r="O2953" t="inlineStr"/>
      <c r="P2953" t="inlineStr"/>
      <c r="Q2953" s="112" t="n">
        <v>0</v>
      </c>
      <c r="R2953" s="112" t="n">
        <v>399.4</v>
      </c>
      <c r="S2953" s="112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D2954" t="inlineStr"/>
      <c r="E2954" t="inlineStr">
        <is>
          <t>LA</t>
        </is>
      </c>
      <c r="F2954" t="inlineStr"/>
      <c r="G2954" s="126" t="inlineStr"/>
      <c r="H2954" s="125" t="n">
        <v>46142</v>
      </c>
      <c r="I2954" t="inlineStr"/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N2954" t="inlineStr"/>
      <c r="O2954" t="inlineStr"/>
      <c r="P2954" t="inlineStr"/>
      <c r="Q2954" s="112" t="n">
        <v>0</v>
      </c>
      <c r="R2954" s="112" t="n">
        <v>653.55</v>
      </c>
      <c r="S2954" s="112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D2955" t="inlineStr"/>
      <c r="E2955" t="inlineStr">
        <is>
          <t>LA</t>
        </is>
      </c>
      <c r="F2955" t="inlineStr"/>
      <c r="G2955" s="126" t="inlineStr"/>
      <c r="H2955" s="125" t="n">
        <v>46150</v>
      </c>
      <c r="I2955" t="inlineStr"/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N2955" t="inlineStr"/>
      <c r="O2955" t="inlineStr"/>
      <c r="P2955" t="inlineStr"/>
      <c r="Q2955" s="112" t="n">
        <v>0</v>
      </c>
      <c r="R2955" s="112" t="n">
        <v>41790.32</v>
      </c>
      <c r="S2955" s="112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26" t="n">
        <v>46113</v>
      </c>
      <c r="H2956" s="125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12" t="n">
        <v>0</v>
      </c>
      <c r="R2956" s="112" t="n">
        <v>0</v>
      </c>
      <c r="S2956" s="112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26" t="n">
        <v>46113</v>
      </c>
      <c r="H2957" s="125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12" t="n">
        <v>0</v>
      </c>
      <c r="R2957" s="112" t="n">
        <v>0</v>
      </c>
      <c r="S2957" s="112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26" t="n">
        <v>46113</v>
      </c>
      <c r="H2958" s="125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12" t="n">
        <v>0</v>
      </c>
      <c r="R2958" s="112" t="n">
        <v>0</v>
      </c>
      <c r="S2958" s="112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26" t="n">
        <v>46113</v>
      </c>
      <c r="H2959" s="125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12" t="n">
        <v>0</v>
      </c>
      <c r="R2959" s="112" t="n">
        <v>0</v>
      </c>
      <c r="S2959" s="112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26" t="n">
        <v>46113</v>
      </c>
      <c r="H2960" s="125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12" t="n">
        <v>0</v>
      </c>
      <c r="R2960" s="112" t="n">
        <v>0</v>
      </c>
      <c r="S2960" s="112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26" t="n">
        <v>46113</v>
      </c>
      <c r="H2961" s="125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12" t="n">
        <v>0</v>
      </c>
      <c r="R2961" s="112" t="n">
        <v>0</v>
      </c>
      <c r="S2961" s="112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26" t="n">
        <v>46113</v>
      </c>
      <c r="H2962" s="125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12" t="n">
        <v>0</v>
      </c>
      <c r="R2962" s="112" t="n">
        <v>0</v>
      </c>
      <c r="S2962" s="112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26" t="n">
        <v>46113</v>
      </c>
      <c r="H2963" s="125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12" t="n">
        <v>0</v>
      </c>
      <c r="R2963" s="112" t="n">
        <v>0</v>
      </c>
      <c r="S2963" s="112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26" t="n">
        <v>46113</v>
      </c>
      <c r="H2964" s="125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12" t="n">
        <v>0</v>
      </c>
      <c r="R2964" s="112" t="n">
        <v>0</v>
      </c>
      <c r="S2964" s="112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26" t="n">
        <v>46113</v>
      </c>
      <c r="H2965" s="125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12" t="n">
        <v>0</v>
      </c>
      <c r="R2965" s="112" t="n">
        <v>0</v>
      </c>
      <c r="S2965" s="112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26" t="n">
        <v>46113</v>
      </c>
      <c r="H2966" s="125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12" t="n">
        <v>0</v>
      </c>
      <c r="R2966" s="112" t="n">
        <v>0</v>
      </c>
      <c r="S2966" s="112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26" t="n">
        <v>46113</v>
      </c>
      <c r="H2967" s="125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12" t="n">
        <v>0</v>
      </c>
      <c r="R2967" s="112" t="n">
        <v>0</v>
      </c>
      <c r="S2967" s="112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26" t="n">
        <v>46113</v>
      </c>
      <c r="H2968" s="125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12" t="n">
        <v>0</v>
      </c>
      <c r="R2968" s="112" t="n">
        <v>0</v>
      </c>
      <c r="S2968" s="112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26" t="n">
        <v>46113</v>
      </c>
      <c r="H2969" s="125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12" t="n">
        <v>0</v>
      </c>
      <c r="R2969" s="112" t="n">
        <v>0</v>
      </c>
      <c r="S2969" s="112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26" t="n">
        <v>46113</v>
      </c>
      <c r="H2970" s="125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12" t="n">
        <v>0</v>
      </c>
      <c r="R2970" s="112" t="n">
        <v>0</v>
      </c>
      <c r="S2970" s="112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26" t="n">
        <v>46113</v>
      </c>
      <c r="H2971" s="125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12" t="n">
        <v>0</v>
      </c>
      <c r="R2971" s="112" t="n">
        <v>0</v>
      </c>
      <c r="S2971" s="112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26" t="n">
        <v>46113</v>
      </c>
      <c r="H2972" s="125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12" t="n">
        <v>0</v>
      </c>
      <c r="R2972" s="112" t="n">
        <v>0</v>
      </c>
      <c r="S2972" s="112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26" t="n">
        <v>46113</v>
      </c>
      <c r="H2973" s="125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12" t="n">
        <v>0</v>
      </c>
      <c r="R2973" s="112" t="n">
        <v>0</v>
      </c>
      <c r="S2973" s="112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D2974" t="inlineStr"/>
      <c r="E2974" t="inlineStr">
        <is>
          <t>OC</t>
        </is>
      </c>
      <c r="F2974" t="inlineStr"/>
      <c r="G2974" s="126" t="inlineStr"/>
      <c r="H2974" s="125" t="n">
        <v>46121</v>
      </c>
      <c r="I2974" t="inlineStr"/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N2974" t="inlineStr"/>
      <c r="O2974" t="inlineStr">
        <is>
          <t>20746</t>
        </is>
      </c>
      <c r="P2974" t="inlineStr">
        <is>
          <t>ALLTERRA CENTRAL, INC</t>
        </is>
      </c>
      <c r="Q2974" s="112" t="n">
        <v>0</v>
      </c>
      <c r="R2974" s="112" t="n">
        <v>965.25</v>
      </c>
      <c r="S2974" s="112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D2975" t="inlineStr"/>
      <c r="E2975" t="inlineStr">
        <is>
          <t>OC</t>
        </is>
      </c>
      <c r="F2975" t="inlineStr"/>
      <c r="G2975" s="126" t="inlineStr"/>
      <c r="H2975" s="125" t="n">
        <v>46153</v>
      </c>
      <c r="I2975" t="inlineStr"/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N2975" t="inlineStr"/>
      <c r="O2975" t="inlineStr">
        <is>
          <t>20395</t>
        </is>
      </c>
      <c r="P2975" t="inlineStr">
        <is>
          <t>AMAZON.COM SERVICES LLC</t>
        </is>
      </c>
      <c r="Q2975" s="112" t="n">
        <v>0</v>
      </c>
      <c r="R2975" s="112" t="n">
        <v>231.63</v>
      </c>
      <c r="S2975" s="112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26" t="n">
        <v>45936</v>
      </c>
      <c r="H2976" s="125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12" t="n">
        <v>0</v>
      </c>
      <c r="R2976" s="112" t="n">
        <v>0</v>
      </c>
      <c r="S2976" s="112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26" t="n">
        <v>45936</v>
      </c>
      <c r="H2977" s="125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12" t="n">
        <v>0</v>
      </c>
      <c r="R2977" s="112" t="n">
        <v>0</v>
      </c>
      <c r="S2977" s="112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26" t="n">
        <v>45936</v>
      </c>
      <c r="H2978" s="125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12" t="n">
        <v>0</v>
      </c>
      <c r="R2978" s="112" t="n">
        <v>0</v>
      </c>
      <c r="S2978" s="112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26" t="n">
        <v>45936</v>
      </c>
      <c r="H2979" s="125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12" t="n">
        <v>0</v>
      </c>
      <c r="R2979" s="112" t="n">
        <v>0</v>
      </c>
      <c r="S2979" s="112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26" t="n">
        <v>45936</v>
      </c>
      <c r="H2980" s="125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12" t="n">
        <v>0</v>
      </c>
      <c r="R2980" s="112" t="n">
        <v>0</v>
      </c>
      <c r="S2980" s="112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26" t="n">
        <v>45936</v>
      </c>
      <c r="H2981" s="125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12" t="n">
        <v>0</v>
      </c>
      <c r="R2981" s="112" t="n">
        <v>0</v>
      </c>
      <c r="S2981" s="112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26" t="n">
        <v>45936</v>
      </c>
      <c r="H2982" s="125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12" t="n">
        <v>0</v>
      </c>
      <c r="R2982" s="112" t="n">
        <v>0</v>
      </c>
      <c r="S2982" s="112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26" t="n">
        <v>45936</v>
      </c>
      <c r="H2983" s="125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12" t="n">
        <v>0</v>
      </c>
      <c r="R2983" s="112" t="n">
        <v>0</v>
      </c>
      <c r="S2983" s="112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26" t="n">
        <v>45936</v>
      </c>
      <c r="H2984" s="125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12" t="n">
        <v>0</v>
      </c>
      <c r="R2984" s="112" t="n">
        <v>0</v>
      </c>
      <c r="S2984" s="112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26" t="n">
        <v>45936</v>
      </c>
      <c r="H2985" s="125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12" t="n">
        <v>0</v>
      </c>
      <c r="R2985" s="112" t="n">
        <v>0</v>
      </c>
      <c r="S2985" s="112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26" t="n">
        <v>45936</v>
      </c>
      <c r="H2986" s="125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12" t="n">
        <v>0</v>
      </c>
      <c r="R2986" s="112" t="n">
        <v>0</v>
      </c>
      <c r="S2986" s="112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26" t="n">
        <v>45936</v>
      </c>
      <c r="H2987" s="125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12" t="n">
        <v>0</v>
      </c>
      <c r="R2987" s="112" t="n">
        <v>0</v>
      </c>
      <c r="S2987" s="112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26" t="n">
        <v>46098</v>
      </c>
      <c r="H2988" s="125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12" t="n">
        <v>0</v>
      </c>
      <c r="R2988" s="112" t="n">
        <v>0</v>
      </c>
      <c r="S2988" s="112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26" t="n">
        <v>45971</v>
      </c>
      <c r="H2989" s="125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12" t="n">
        <v>0</v>
      </c>
      <c r="R2989" s="112" t="n">
        <v>0</v>
      </c>
      <c r="S2989" s="112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26" t="n">
        <v>46098</v>
      </c>
      <c r="H2990" s="125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12" t="n">
        <v>0</v>
      </c>
      <c r="R2990" s="112" t="n">
        <v>0</v>
      </c>
      <c r="S2990" s="112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26" t="n">
        <v>45971</v>
      </c>
      <c r="H2991" s="125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12" t="n">
        <v>0</v>
      </c>
      <c r="R2991" s="112" t="n">
        <v>0</v>
      </c>
      <c r="S2991" s="112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26" t="n">
        <v>45971</v>
      </c>
      <c r="H2992" s="125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12" t="n">
        <v>0</v>
      </c>
      <c r="R2992" s="112" t="n">
        <v>0</v>
      </c>
      <c r="S2992" s="112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26" t="n">
        <v>46108</v>
      </c>
      <c r="H2993" s="125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12" t="n">
        <v>0</v>
      </c>
      <c r="R2993" s="112" t="n">
        <v>0</v>
      </c>
      <c r="S2993" s="112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D2994" t="inlineStr"/>
      <c r="E2994" t="inlineStr">
        <is>
          <t>SU</t>
        </is>
      </c>
      <c r="F2994" t="inlineStr"/>
      <c r="G2994" s="126" t="inlineStr"/>
      <c r="H2994" s="125" t="n">
        <v>45963</v>
      </c>
      <c r="I2994" t="inlineStr"/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N2994" t="inlineStr"/>
      <c r="O2994" t="inlineStr">
        <is>
          <t>12043</t>
        </is>
      </c>
      <c r="P2994" t="inlineStr">
        <is>
          <t>SCHOEFFLER ENERGY GROUP INC</t>
        </is>
      </c>
      <c r="Q2994" s="112" t="n">
        <v>0</v>
      </c>
      <c r="R2994" s="112" t="n">
        <v>637.5</v>
      </c>
      <c r="S2994" s="112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D2995" t="inlineStr"/>
      <c r="E2995" t="inlineStr">
        <is>
          <t>SU</t>
        </is>
      </c>
      <c r="F2995" t="inlineStr"/>
      <c r="G2995" s="126" t="inlineStr"/>
      <c r="H2995" s="125" t="n">
        <v>45984</v>
      </c>
      <c r="I2995" t="inlineStr"/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N2995" t="inlineStr"/>
      <c r="O2995" t="inlineStr">
        <is>
          <t>12043</t>
        </is>
      </c>
      <c r="P2995" t="inlineStr">
        <is>
          <t>SCHOEFFLER ENERGY GROUP INC</t>
        </is>
      </c>
      <c r="Q2995" s="112" t="n">
        <v>0</v>
      </c>
      <c r="R2995" s="112" t="n">
        <v>1515</v>
      </c>
      <c r="S2995" s="112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D2996" t="inlineStr"/>
      <c r="E2996" t="inlineStr">
        <is>
          <t>SU</t>
        </is>
      </c>
      <c r="F2996" t="inlineStr"/>
      <c r="G2996" s="126" t="inlineStr"/>
      <c r="H2996" s="125" t="n">
        <v>45992</v>
      </c>
      <c r="I2996" t="inlineStr"/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N2996" t="inlineStr"/>
      <c r="O2996" t="inlineStr">
        <is>
          <t>12043</t>
        </is>
      </c>
      <c r="P2996" t="inlineStr">
        <is>
          <t>SCHOEFFLER ENERGY GROUP INC</t>
        </is>
      </c>
      <c r="Q2996" s="112" t="n">
        <v>0</v>
      </c>
      <c r="R2996" s="112" t="n">
        <v>945</v>
      </c>
      <c r="S2996" s="112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D2997" t="inlineStr"/>
      <c r="E2997" t="inlineStr">
        <is>
          <t>SU</t>
        </is>
      </c>
      <c r="F2997" t="inlineStr"/>
      <c r="G2997" s="126" t="inlineStr"/>
      <c r="H2997" s="125" t="n">
        <v>46007</v>
      </c>
      <c r="I2997" t="inlineStr"/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N2997" t="inlineStr"/>
      <c r="O2997" t="inlineStr">
        <is>
          <t>21204</t>
        </is>
      </c>
      <c r="P2997" t="inlineStr">
        <is>
          <t>SIEMENS ENERGY, INC.</t>
        </is>
      </c>
      <c r="Q2997" s="112" t="n">
        <v>0</v>
      </c>
      <c r="R2997" s="112" t="n">
        <v>311403.86</v>
      </c>
      <c r="S2997" s="112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D2998" t="inlineStr"/>
      <c r="E2998" t="inlineStr">
        <is>
          <t>SU</t>
        </is>
      </c>
      <c r="F2998" t="inlineStr"/>
      <c r="G2998" s="126" t="inlineStr"/>
      <c r="H2998" s="125" t="n">
        <v>46000</v>
      </c>
      <c r="I2998" t="inlineStr"/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N2998" t="inlineStr"/>
      <c r="O2998" t="inlineStr">
        <is>
          <t>12043</t>
        </is>
      </c>
      <c r="P2998" t="inlineStr">
        <is>
          <t>SCHOEFFLER ENERGY GROUP INC</t>
        </is>
      </c>
      <c r="Q2998" s="112" t="n">
        <v>0</v>
      </c>
      <c r="R2998" s="112" t="n">
        <v>540</v>
      </c>
      <c r="S2998" s="112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D2999" t="inlineStr"/>
      <c r="E2999" t="inlineStr">
        <is>
          <t>SU</t>
        </is>
      </c>
      <c r="F2999" t="inlineStr"/>
      <c r="G2999" s="126" t="inlineStr"/>
      <c r="H2999" s="125" t="n">
        <v>46007</v>
      </c>
      <c r="I2999" t="inlineStr"/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N2999" t="inlineStr"/>
      <c r="O2999" t="inlineStr">
        <is>
          <t>21204</t>
        </is>
      </c>
      <c r="P2999" t="inlineStr">
        <is>
          <t>SIEMENS ENERGY, INC.</t>
        </is>
      </c>
      <c r="Q2999" s="112" t="n">
        <v>0</v>
      </c>
      <c r="R2999" s="112" t="n">
        <v>122826.14</v>
      </c>
      <c r="S2999" s="112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D3000" t="inlineStr"/>
      <c r="E3000" t="inlineStr">
        <is>
          <t>SU</t>
        </is>
      </c>
      <c r="F3000" t="inlineStr"/>
      <c r="G3000" s="126" t="inlineStr"/>
      <c r="H3000" s="125" t="n">
        <v>46043</v>
      </c>
      <c r="I3000" t="inlineStr"/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N3000" t="inlineStr"/>
      <c r="O3000" t="inlineStr">
        <is>
          <t>12043</t>
        </is>
      </c>
      <c r="P3000" t="inlineStr">
        <is>
          <t>SCHOEFFLER ENERGY GROUP INC</t>
        </is>
      </c>
      <c r="Q3000" s="112" t="n">
        <v>0</v>
      </c>
      <c r="R3000" s="112" t="n">
        <v>2160</v>
      </c>
      <c r="S3000" s="112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D3001" t="inlineStr"/>
      <c r="E3001" t="inlineStr">
        <is>
          <t>SU</t>
        </is>
      </c>
      <c r="F3001" t="inlineStr"/>
      <c r="G3001" s="126" t="inlineStr"/>
      <c r="H3001" s="125" t="n">
        <v>46077</v>
      </c>
      <c r="I3001" t="inlineStr"/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N3001" t="inlineStr"/>
      <c r="O3001" t="inlineStr">
        <is>
          <t>12043</t>
        </is>
      </c>
      <c r="P3001" t="inlineStr">
        <is>
          <t>SCHOEFFLER ENERGY GROUP INC</t>
        </is>
      </c>
      <c r="Q3001" s="112" t="n">
        <v>0</v>
      </c>
      <c r="R3001" s="112" t="n">
        <v>2736.86</v>
      </c>
      <c r="S3001" s="112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D3002" t="inlineStr"/>
      <c r="E3002" t="inlineStr">
        <is>
          <t>SU</t>
        </is>
      </c>
      <c r="F3002" t="inlineStr"/>
      <c r="G3002" s="126" t="inlineStr"/>
      <c r="H3002" s="125" t="n">
        <v>46077</v>
      </c>
      <c r="I3002" t="inlineStr"/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N3002" t="inlineStr"/>
      <c r="O3002" t="inlineStr">
        <is>
          <t>12043</t>
        </is>
      </c>
      <c r="P3002" t="inlineStr">
        <is>
          <t>SCHOEFFLER ENERGY GROUP INC</t>
        </is>
      </c>
      <c r="Q3002" s="112" t="n">
        <v>0</v>
      </c>
      <c r="R3002" s="112" t="n">
        <v>4215</v>
      </c>
      <c r="S3002" s="112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D3003" t="inlineStr"/>
      <c r="E3003" t="inlineStr">
        <is>
          <t>SU</t>
        </is>
      </c>
      <c r="F3003" t="inlineStr"/>
      <c r="G3003" s="126" t="inlineStr"/>
      <c r="H3003" s="125" t="n">
        <v>46055</v>
      </c>
      <c r="I3003" t="inlineStr"/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N3003" t="inlineStr"/>
      <c r="O3003" t="inlineStr">
        <is>
          <t>12043</t>
        </is>
      </c>
      <c r="P3003" t="inlineStr">
        <is>
          <t>SCHOEFFLER ENERGY GROUP INC</t>
        </is>
      </c>
      <c r="Q3003" s="112" t="n">
        <v>0</v>
      </c>
      <c r="R3003" s="112" t="n">
        <v>2055</v>
      </c>
      <c r="S3003" s="112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D3004" t="inlineStr"/>
      <c r="E3004" t="inlineStr">
        <is>
          <t>SU</t>
        </is>
      </c>
      <c r="F3004" t="inlineStr"/>
      <c r="G3004" s="126" t="inlineStr"/>
      <c r="H3004" s="125" t="n">
        <v>46077</v>
      </c>
      <c r="I3004" t="inlineStr"/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N3004" t="inlineStr"/>
      <c r="O3004" t="inlineStr">
        <is>
          <t>12043</t>
        </is>
      </c>
      <c r="P3004" t="inlineStr">
        <is>
          <t>SCHOEFFLER ENERGY GROUP INC</t>
        </is>
      </c>
      <c r="Q3004" s="112" t="n">
        <v>0</v>
      </c>
      <c r="R3004" s="112" t="n">
        <v>1560</v>
      </c>
      <c r="S3004" s="112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D3005" t="inlineStr"/>
      <c r="E3005" t="inlineStr">
        <is>
          <t>SU</t>
        </is>
      </c>
      <c r="F3005" t="inlineStr"/>
      <c r="G3005" s="126" t="inlineStr"/>
      <c r="H3005" s="125" t="n">
        <v>46098</v>
      </c>
      <c r="I3005" t="inlineStr"/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N3005" t="inlineStr"/>
      <c r="O3005" t="inlineStr">
        <is>
          <t>21204</t>
        </is>
      </c>
      <c r="P3005" t="inlineStr">
        <is>
          <t>SIEMENS ENERGY, INC.</t>
        </is>
      </c>
      <c r="Q3005" s="112" t="n">
        <v>0</v>
      </c>
      <c r="R3005" s="112" t="n">
        <v>433097</v>
      </c>
      <c r="S3005" s="112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D3006" t="inlineStr"/>
      <c r="E3006" t="inlineStr">
        <is>
          <t>SU</t>
        </is>
      </c>
      <c r="F3006" t="inlineStr"/>
      <c r="G3006" s="126" t="inlineStr"/>
      <c r="H3006" s="125" t="n">
        <v>46128</v>
      </c>
      <c r="I3006" t="inlineStr"/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N3006" t="inlineStr"/>
      <c r="O3006" t="inlineStr">
        <is>
          <t>12043</t>
        </is>
      </c>
      <c r="P3006" t="inlineStr">
        <is>
          <t>SCHOEFFLER ENERGY GROUP INC</t>
        </is>
      </c>
      <c r="Q3006" s="112" t="n">
        <v>0</v>
      </c>
      <c r="R3006" s="112" t="n">
        <v>1305</v>
      </c>
      <c r="S3006" s="112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D3007" t="inlineStr"/>
      <c r="E3007" t="inlineStr">
        <is>
          <t>SU</t>
        </is>
      </c>
      <c r="F3007" t="inlineStr"/>
      <c r="G3007" s="126" t="inlineStr"/>
      <c r="H3007" s="125" t="n">
        <v>46128</v>
      </c>
      <c r="I3007" t="inlineStr"/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N3007" t="inlineStr"/>
      <c r="O3007" t="inlineStr">
        <is>
          <t>12043</t>
        </is>
      </c>
      <c r="P3007" t="inlineStr">
        <is>
          <t>SCHOEFFLER ENERGY GROUP INC</t>
        </is>
      </c>
      <c r="Q3007" s="112" t="n">
        <v>0</v>
      </c>
      <c r="R3007" s="112" t="n">
        <v>2355</v>
      </c>
      <c r="S3007" s="112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26" t="n">
        <v>46092</v>
      </c>
      <c r="H3008" s="125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12" t="n">
        <v>0</v>
      </c>
      <c r="R3008" s="112" t="n">
        <v>0</v>
      </c>
      <c r="S3008" s="112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26" t="n">
        <v>46092</v>
      </c>
      <c r="H3009" s="125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12" t="n">
        <v>0</v>
      </c>
      <c r="R3009" s="112" t="n">
        <v>0</v>
      </c>
      <c r="S3009" s="112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26" t="n">
        <v>46092</v>
      </c>
      <c r="H3010" s="125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12" t="n">
        <v>0</v>
      </c>
      <c r="R3010" s="112" t="n">
        <v>0</v>
      </c>
      <c r="S3010" s="112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D3011" t="inlineStr"/>
      <c r="E3011" t="inlineStr">
        <is>
          <t>OC</t>
        </is>
      </c>
      <c r="F3011" t="inlineStr"/>
      <c r="G3011" s="126" t="inlineStr"/>
      <c r="H3011" s="125" t="n">
        <v>46159</v>
      </c>
      <c r="I3011" t="inlineStr"/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N3011" t="inlineStr"/>
      <c r="O3011" t="inlineStr">
        <is>
          <t>21358</t>
        </is>
      </c>
      <c r="P3011" t="inlineStr">
        <is>
          <t>TEXAS GULF COAST AGGREGATES, LLC</t>
        </is>
      </c>
      <c r="Q3011" s="112" t="n">
        <v>0</v>
      </c>
      <c r="R3011" s="112" t="n">
        <v>849.86</v>
      </c>
      <c r="S3011" s="112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D3012" t="inlineStr"/>
      <c r="E3012" t="inlineStr">
        <is>
          <t>OC</t>
        </is>
      </c>
      <c r="F3012" t="inlineStr"/>
      <c r="G3012" s="126" t="inlineStr"/>
      <c r="H3012" s="125" t="n">
        <v>46027</v>
      </c>
      <c r="I3012" t="inlineStr"/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N3012" t="inlineStr"/>
      <c r="O3012" t="inlineStr">
        <is>
          <t>20542</t>
        </is>
      </c>
      <c r="P3012" t="inlineStr">
        <is>
          <t>CORPORATE TRAVELER</t>
        </is>
      </c>
      <c r="Q3012" s="112" t="n">
        <v>0</v>
      </c>
      <c r="R3012" s="112" t="n">
        <v>295.27</v>
      </c>
      <c r="S3012" s="112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D3013" t="inlineStr"/>
      <c r="E3013" t="inlineStr">
        <is>
          <t>OC</t>
        </is>
      </c>
      <c r="F3013" t="inlineStr"/>
      <c r="G3013" s="126" t="inlineStr"/>
      <c r="H3013" s="125" t="n">
        <v>46035</v>
      </c>
      <c r="I3013" t="inlineStr"/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N3013" t="inlineStr"/>
      <c r="O3013" t="inlineStr">
        <is>
          <t>20542</t>
        </is>
      </c>
      <c r="P3013" t="inlineStr">
        <is>
          <t>CORPORATE TRAVELER</t>
        </is>
      </c>
      <c r="Q3013" s="112" t="n">
        <v>0</v>
      </c>
      <c r="R3013" s="112" t="n">
        <v>705.5</v>
      </c>
      <c r="S3013" s="112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D3014" t="inlineStr"/>
      <c r="E3014" t="inlineStr">
        <is>
          <t>OC</t>
        </is>
      </c>
      <c r="F3014" t="inlineStr"/>
      <c r="G3014" s="126" t="inlineStr"/>
      <c r="H3014" s="125" t="n">
        <v>46052</v>
      </c>
      <c r="I3014" t="inlineStr"/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N3014" t="inlineStr"/>
      <c r="O3014" t="inlineStr">
        <is>
          <t>20542</t>
        </is>
      </c>
      <c r="P3014" t="inlineStr">
        <is>
          <t>CORPORATE TRAVELER</t>
        </is>
      </c>
      <c r="Q3014" s="112" t="n">
        <v>0</v>
      </c>
      <c r="R3014" s="112" t="n">
        <v>464.45</v>
      </c>
      <c r="S3014" s="112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D3015" t="inlineStr"/>
      <c r="E3015" t="inlineStr">
        <is>
          <t>OC</t>
        </is>
      </c>
      <c r="F3015" t="inlineStr"/>
      <c r="G3015" s="126" t="inlineStr"/>
      <c r="H3015" s="125" t="n">
        <v>46071</v>
      </c>
      <c r="I3015" t="inlineStr"/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N3015" t="inlineStr"/>
      <c r="O3015" t="inlineStr">
        <is>
          <t>20542</t>
        </is>
      </c>
      <c r="P3015" t="inlineStr">
        <is>
          <t>CORPORATE TRAVELER</t>
        </is>
      </c>
      <c r="Q3015" s="112" t="n">
        <v>0</v>
      </c>
      <c r="R3015" s="112" t="n">
        <v>169.64</v>
      </c>
      <c r="S3015" s="112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D3016" t="inlineStr"/>
      <c r="E3016" t="inlineStr">
        <is>
          <t>OC</t>
        </is>
      </c>
      <c r="F3016" t="inlineStr"/>
      <c r="G3016" s="126" t="inlineStr"/>
      <c r="H3016" s="125" t="n">
        <v>46071</v>
      </c>
      <c r="I3016" t="inlineStr"/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N3016" t="inlineStr"/>
      <c r="O3016" t="inlineStr">
        <is>
          <t>20542</t>
        </is>
      </c>
      <c r="P3016" t="inlineStr">
        <is>
          <t>CORPORATE TRAVELER</t>
        </is>
      </c>
      <c r="Q3016" s="112" t="n">
        <v>0</v>
      </c>
      <c r="R3016" s="112" t="n">
        <v>461.54</v>
      </c>
      <c r="S3016" s="112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D3017" t="inlineStr"/>
      <c r="E3017" t="inlineStr">
        <is>
          <t>OC</t>
        </is>
      </c>
      <c r="F3017" t="inlineStr"/>
      <c r="G3017" s="126" t="inlineStr"/>
      <c r="H3017" s="125" t="n">
        <v>46058</v>
      </c>
      <c r="I3017" t="inlineStr"/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N3017" t="inlineStr"/>
      <c r="O3017" t="inlineStr">
        <is>
          <t>20542</t>
        </is>
      </c>
      <c r="P3017" t="inlineStr">
        <is>
          <t>CORPORATE TRAVELER</t>
        </is>
      </c>
      <c r="Q3017" s="112" t="n">
        <v>0</v>
      </c>
      <c r="R3017" s="112" t="n">
        <v>20.1</v>
      </c>
      <c r="S3017" s="112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D3018" t="inlineStr"/>
      <c r="E3018" t="inlineStr">
        <is>
          <t>OC</t>
        </is>
      </c>
      <c r="F3018" t="inlineStr"/>
      <c r="G3018" s="126" t="inlineStr"/>
      <c r="H3018" s="125" t="n">
        <v>46071</v>
      </c>
      <c r="I3018" t="inlineStr"/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N3018" t="inlineStr"/>
      <c r="O3018" t="inlineStr">
        <is>
          <t>20542</t>
        </is>
      </c>
      <c r="P3018" t="inlineStr">
        <is>
          <t>CORPORATE TRAVELER</t>
        </is>
      </c>
      <c r="Q3018" s="112" t="n">
        <v>0</v>
      </c>
      <c r="R3018" s="112" t="n">
        <v>595.97</v>
      </c>
      <c r="S3018" s="112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D3019" t="inlineStr"/>
      <c r="E3019" t="inlineStr">
        <is>
          <t>OC</t>
        </is>
      </c>
      <c r="F3019" t="inlineStr"/>
      <c r="G3019" s="126" t="inlineStr"/>
      <c r="H3019" s="125" t="n">
        <v>46071</v>
      </c>
      <c r="I3019" t="inlineStr"/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N3019" t="inlineStr"/>
      <c r="O3019" t="inlineStr">
        <is>
          <t>20542</t>
        </is>
      </c>
      <c r="P3019" t="inlineStr">
        <is>
          <t>CORPORATE TRAVELER</t>
        </is>
      </c>
      <c r="Q3019" s="112" t="n">
        <v>0</v>
      </c>
      <c r="R3019" s="112" t="n">
        <v>20.1</v>
      </c>
      <c r="S3019" s="112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D3020" t="inlineStr"/>
      <c r="E3020" t="inlineStr">
        <is>
          <t>OC</t>
        </is>
      </c>
      <c r="F3020" t="inlineStr"/>
      <c r="G3020" s="126" t="inlineStr"/>
      <c r="H3020" s="125" t="n">
        <v>46078</v>
      </c>
      <c r="I3020" t="inlineStr"/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N3020" t="inlineStr"/>
      <c r="O3020" t="inlineStr">
        <is>
          <t>20542</t>
        </is>
      </c>
      <c r="P3020" t="inlineStr">
        <is>
          <t>CORPORATE TRAVELER</t>
        </is>
      </c>
      <c r="Q3020" s="112" t="n">
        <v>0</v>
      </c>
      <c r="R3020" s="112" t="n">
        <v>20.1</v>
      </c>
      <c r="S3020" s="112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D3021" t="inlineStr"/>
      <c r="E3021" t="inlineStr">
        <is>
          <t>OC</t>
        </is>
      </c>
      <c r="F3021" t="inlineStr"/>
      <c r="G3021" s="126" t="inlineStr"/>
      <c r="H3021" s="125" t="n">
        <v>46078</v>
      </c>
      <c r="I3021" t="inlineStr"/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N3021" t="inlineStr"/>
      <c r="O3021" t="inlineStr">
        <is>
          <t>20542</t>
        </is>
      </c>
      <c r="P3021" t="inlineStr">
        <is>
          <t>CORPORATE TRAVELER</t>
        </is>
      </c>
      <c r="Q3021" s="112" t="n">
        <v>0</v>
      </c>
      <c r="R3021" s="112" t="n">
        <v>21.46</v>
      </c>
      <c r="S3021" s="112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D3022" t="inlineStr"/>
      <c r="E3022" t="inlineStr">
        <is>
          <t>OC</t>
        </is>
      </c>
      <c r="F3022" t="inlineStr"/>
      <c r="G3022" s="126" t="inlineStr"/>
      <c r="H3022" s="125" t="n">
        <v>46078</v>
      </c>
      <c r="I3022" t="inlineStr"/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N3022" t="inlineStr"/>
      <c r="O3022" t="inlineStr">
        <is>
          <t>16913</t>
        </is>
      </c>
      <c r="P3022" t="inlineStr">
        <is>
          <t>TRAHAN, ADAM M.</t>
        </is>
      </c>
      <c r="Q3022" s="112" t="n">
        <v>0</v>
      </c>
      <c r="R3022" s="112" t="n">
        <v>2075</v>
      </c>
      <c r="S3022" s="112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D3023" t="inlineStr"/>
      <c r="E3023" t="inlineStr">
        <is>
          <t>OC</t>
        </is>
      </c>
      <c r="F3023" t="inlineStr"/>
      <c r="G3023" s="126" t="inlineStr"/>
      <c r="H3023" s="125" t="n">
        <v>46093</v>
      </c>
      <c r="I3023" t="inlineStr"/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N3023" t="inlineStr"/>
      <c r="O3023" t="inlineStr">
        <is>
          <t>20542</t>
        </is>
      </c>
      <c r="P3023" t="inlineStr">
        <is>
          <t>CORPORATE TRAVELER</t>
        </is>
      </c>
      <c r="Q3023" s="112" t="n">
        <v>0</v>
      </c>
      <c r="R3023" s="112" t="n">
        <v>20.1</v>
      </c>
      <c r="S3023" s="112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D3024" t="inlineStr"/>
      <c r="E3024" t="inlineStr">
        <is>
          <t>OC</t>
        </is>
      </c>
      <c r="F3024" t="inlineStr"/>
      <c r="G3024" s="126" t="inlineStr"/>
      <c r="H3024" s="125" t="n">
        <v>46093</v>
      </c>
      <c r="I3024" t="inlineStr"/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N3024" t="inlineStr"/>
      <c r="O3024" t="inlineStr">
        <is>
          <t>20542</t>
        </is>
      </c>
      <c r="P3024" t="inlineStr">
        <is>
          <t>CORPORATE TRAVELER</t>
        </is>
      </c>
      <c r="Q3024" s="112" t="n">
        <v>0</v>
      </c>
      <c r="R3024" s="112" t="n">
        <v>283.95</v>
      </c>
      <c r="S3024" s="112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D3025" t="inlineStr"/>
      <c r="E3025" t="inlineStr">
        <is>
          <t>OC</t>
        </is>
      </c>
      <c r="F3025" t="inlineStr"/>
      <c r="G3025" s="126" t="inlineStr"/>
      <c r="H3025" s="125" t="n">
        <v>46093</v>
      </c>
      <c r="I3025" t="inlineStr"/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N3025" t="inlineStr"/>
      <c r="O3025" t="inlineStr">
        <is>
          <t>20542</t>
        </is>
      </c>
      <c r="P3025" t="inlineStr">
        <is>
          <t>CORPORATE TRAVELER</t>
        </is>
      </c>
      <c r="Q3025" s="112" t="n">
        <v>0</v>
      </c>
      <c r="R3025" s="112" t="n">
        <v>20.1</v>
      </c>
      <c r="S3025" s="112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D3026" t="inlineStr"/>
      <c r="E3026" t="inlineStr">
        <is>
          <t>OC</t>
        </is>
      </c>
      <c r="F3026" t="inlineStr"/>
      <c r="G3026" s="126" t="inlineStr"/>
      <c r="H3026" s="125" t="n">
        <v>46105</v>
      </c>
      <c r="I3026" t="inlineStr"/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N3026" t="inlineStr"/>
      <c r="O3026" t="inlineStr"/>
      <c r="P3026" t="inlineStr"/>
      <c r="Q3026" s="112" t="n">
        <v>0</v>
      </c>
      <c r="R3026" s="112" t="n">
        <v>-1.36</v>
      </c>
      <c r="S3026" s="112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D3027" t="inlineStr"/>
      <c r="E3027" t="inlineStr">
        <is>
          <t>OC</t>
        </is>
      </c>
      <c r="F3027" t="inlineStr"/>
      <c r="G3027" s="126" t="inlineStr"/>
      <c r="H3027" s="125" t="n">
        <v>46084</v>
      </c>
      <c r="I3027" t="inlineStr"/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N3027" t="inlineStr"/>
      <c r="O3027" t="inlineStr">
        <is>
          <t>20542</t>
        </is>
      </c>
      <c r="P3027" t="inlineStr">
        <is>
          <t>CORPORATE TRAVELER</t>
        </is>
      </c>
      <c r="Q3027" s="112" t="n">
        <v>0</v>
      </c>
      <c r="R3027" s="112" t="n">
        <v>20.1</v>
      </c>
      <c r="S3027" s="112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D3028" t="inlineStr"/>
      <c r="E3028" t="inlineStr">
        <is>
          <t>OC</t>
        </is>
      </c>
      <c r="F3028" t="inlineStr"/>
      <c r="G3028" s="126" t="inlineStr"/>
      <c r="H3028" s="125" t="n">
        <v>46084</v>
      </c>
      <c r="I3028" t="inlineStr"/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N3028" t="inlineStr"/>
      <c r="O3028" t="inlineStr">
        <is>
          <t>20542</t>
        </is>
      </c>
      <c r="P3028" t="inlineStr">
        <is>
          <t>CORPORATE TRAVELER</t>
        </is>
      </c>
      <c r="Q3028" s="112" t="n">
        <v>0</v>
      </c>
      <c r="R3028" s="112" t="n">
        <v>20.1</v>
      </c>
      <c r="S3028" s="112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D3029" t="inlineStr"/>
      <c r="E3029" t="inlineStr">
        <is>
          <t>OC</t>
        </is>
      </c>
      <c r="F3029" t="inlineStr"/>
      <c r="G3029" s="126" t="inlineStr"/>
      <c r="H3029" s="125" t="n">
        <v>46086</v>
      </c>
      <c r="I3029" t="inlineStr"/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N3029" t="inlineStr"/>
      <c r="O3029" t="inlineStr">
        <is>
          <t>20331</t>
        </is>
      </c>
      <c r="P3029" t="inlineStr">
        <is>
          <t>MCCURLEY, MARCUS BRYAN</t>
        </is>
      </c>
      <c r="Q3029" s="112" t="n">
        <v>0</v>
      </c>
      <c r="R3029" s="112" t="n">
        <v>453.98</v>
      </c>
      <c r="S3029" s="112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D3030" t="inlineStr"/>
      <c r="E3030" t="inlineStr">
        <is>
          <t>OC</t>
        </is>
      </c>
      <c r="F3030" t="inlineStr"/>
      <c r="G3030" s="126" t="inlineStr"/>
      <c r="H3030" s="125" t="n">
        <v>46105</v>
      </c>
      <c r="I3030" t="inlineStr"/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N3030" t="inlineStr"/>
      <c r="O3030" t="inlineStr">
        <is>
          <t>20542</t>
        </is>
      </c>
      <c r="P3030" t="inlineStr">
        <is>
          <t>CORPORATE TRAVELER</t>
        </is>
      </c>
      <c r="Q3030" s="112" t="n">
        <v>0</v>
      </c>
      <c r="R3030" s="112" t="n">
        <v>629.45</v>
      </c>
      <c r="S3030" s="112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D3031" t="inlineStr"/>
      <c r="E3031" t="inlineStr">
        <is>
          <t>OC</t>
        </is>
      </c>
      <c r="F3031" t="inlineStr"/>
      <c r="G3031" s="126" t="inlineStr"/>
      <c r="H3031" s="125" t="n">
        <v>46098</v>
      </c>
      <c r="I3031" t="inlineStr"/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N3031" t="inlineStr"/>
      <c r="O3031" t="inlineStr">
        <is>
          <t>20542</t>
        </is>
      </c>
      <c r="P3031" t="inlineStr">
        <is>
          <t>CORPORATE TRAVELER</t>
        </is>
      </c>
      <c r="Q3031" s="112" t="n">
        <v>0</v>
      </c>
      <c r="R3031" s="112" t="n">
        <v>246.71</v>
      </c>
      <c r="S3031" s="112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D3032" t="inlineStr"/>
      <c r="E3032" t="inlineStr">
        <is>
          <t>OC</t>
        </is>
      </c>
      <c r="F3032" t="inlineStr"/>
      <c r="G3032" s="126" t="inlineStr"/>
      <c r="H3032" s="125" t="n">
        <v>46098</v>
      </c>
      <c r="I3032" t="inlineStr"/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N3032" t="inlineStr"/>
      <c r="O3032" t="inlineStr">
        <is>
          <t>20542</t>
        </is>
      </c>
      <c r="P3032" t="inlineStr">
        <is>
          <t>CORPORATE TRAVELER</t>
        </is>
      </c>
      <c r="Q3032" s="112" t="n">
        <v>0</v>
      </c>
      <c r="R3032" s="112" t="n">
        <v>618.9</v>
      </c>
      <c r="S3032" s="112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D3033" t="inlineStr"/>
      <c r="E3033" t="inlineStr">
        <is>
          <t>OC</t>
        </is>
      </c>
      <c r="F3033" t="inlineStr"/>
      <c r="G3033" s="126" t="inlineStr"/>
      <c r="H3033" s="125" t="n">
        <v>46098</v>
      </c>
      <c r="I3033" t="inlineStr"/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N3033" t="inlineStr"/>
      <c r="O3033" t="inlineStr">
        <is>
          <t>20542</t>
        </is>
      </c>
      <c r="P3033" t="inlineStr">
        <is>
          <t>CORPORATE TRAVELER</t>
        </is>
      </c>
      <c r="Q3033" s="112" t="n">
        <v>0</v>
      </c>
      <c r="R3033" s="112" t="n">
        <v>20.1</v>
      </c>
      <c r="S3033" s="112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D3034" t="inlineStr"/>
      <c r="E3034" t="inlineStr">
        <is>
          <t>OC</t>
        </is>
      </c>
      <c r="F3034" t="inlineStr"/>
      <c r="G3034" s="126" t="inlineStr"/>
      <c r="H3034" s="125" t="n">
        <v>46098</v>
      </c>
      <c r="I3034" t="inlineStr"/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N3034" t="inlineStr"/>
      <c r="O3034" t="inlineStr">
        <is>
          <t>20542</t>
        </is>
      </c>
      <c r="P3034" t="inlineStr">
        <is>
          <t>CORPORATE TRAVELER</t>
        </is>
      </c>
      <c r="Q3034" s="112" t="n">
        <v>0</v>
      </c>
      <c r="R3034" s="112" t="n">
        <v>20.1</v>
      </c>
      <c r="S3034" s="112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D3035" t="inlineStr"/>
      <c r="E3035" t="inlineStr">
        <is>
          <t>OC</t>
        </is>
      </c>
      <c r="F3035" t="inlineStr"/>
      <c r="G3035" s="126" t="inlineStr"/>
      <c r="H3035" s="125" t="n">
        <v>46098</v>
      </c>
      <c r="I3035" t="inlineStr"/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N3035" t="inlineStr"/>
      <c r="O3035" t="inlineStr">
        <is>
          <t>20542</t>
        </is>
      </c>
      <c r="P3035" t="inlineStr">
        <is>
          <t>CORPORATE TRAVELER</t>
        </is>
      </c>
      <c r="Q3035" s="112" t="n">
        <v>0</v>
      </c>
      <c r="R3035" s="112" t="n">
        <v>20.1</v>
      </c>
      <c r="S3035" s="112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D3036" t="inlineStr"/>
      <c r="E3036" t="inlineStr">
        <is>
          <t>OC</t>
        </is>
      </c>
      <c r="F3036" t="inlineStr"/>
      <c r="G3036" s="126" t="inlineStr"/>
      <c r="H3036" s="125" t="n">
        <v>46098</v>
      </c>
      <c r="I3036" t="inlineStr"/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N3036" t="inlineStr"/>
      <c r="O3036" t="inlineStr">
        <is>
          <t>20542</t>
        </is>
      </c>
      <c r="P3036" t="inlineStr">
        <is>
          <t>CORPORATE TRAVELER</t>
        </is>
      </c>
      <c r="Q3036" s="112" t="n">
        <v>0</v>
      </c>
      <c r="R3036" s="112" t="n">
        <v>20.1</v>
      </c>
      <c r="S3036" s="112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D3037" t="inlineStr"/>
      <c r="E3037" t="inlineStr">
        <is>
          <t>OC</t>
        </is>
      </c>
      <c r="F3037" t="inlineStr"/>
      <c r="G3037" s="126" t="inlineStr"/>
      <c r="H3037" s="125" t="n">
        <v>46098</v>
      </c>
      <c r="I3037" t="inlineStr"/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N3037" t="inlineStr"/>
      <c r="O3037" t="inlineStr">
        <is>
          <t>20542</t>
        </is>
      </c>
      <c r="P3037" t="inlineStr">
        <is>
          <t>CORPORATE TRAVELER</t>
        </is>
      </c>
      <c r="Q3037" s="112" t="n">
        <v>0</v>
      </c>
      <c r="R3037" s="112" t="n">
        <v>40.2</v>
      </c>
      <c r="S3037" s="112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D3038" t="inlineStr"/>
      <c r="E3038" t="inlineStr">
        <is>
          <t>OC</t>
        </is>
      </c>
      <c r="F3038" t="inlineStr"/>
      <c r="G3038" s="126" t="inlineStr"/>
      <c r="H3038" s="125" t="n">
        <v>46105</v>
      </c>
      <c r="I3038" t="inlineStr"/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N3038" t="inlineStr"/>
      <c r="O3038" t="inlineStr">
        <is>
          <t>20542</t>
        </is>
      </c>
      <c r="P3038" t="inlineStr">
        <is>
          <t>CORPORATE TRAVELER</t>
        </is>
      </c>
      <c r="Q3038" s="112" t="n">
        <v>0</v>
      </c>
      <c r="R3038" s="112" t="n">
        <v>20.1</v>
      </c>
      <c r="S3038" s="112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D3039" t="inlineStr"/>
      <c r="E3039" t="inlineStr">
        <is>
          <t>OC</t>
        </is>
      </c>
      <c r="F3039" t="inlineStr"/>
      <c r="G3039" s="126" t="inlineStr"/>
      <c r="H3039" s="125" t="n">
        <v>46105</v>
      </c>
      <c r="I3039" t="inlineStr"/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N3039" t="inlineStr"/>
      <c r="O3039" t="inlineStr">
        <is>
          <t>20542</t>
        </is>
      </c>
      <c r="P3039" t="inlineStr">
        <is>
          <t>CORPORATE TRAVELER</t>
        </is>
      </c>
      <c r="Q3039" s="112" t="n">
        <v>0</v>
      </c>
      <c r="R3039" s="112" t="n">
        <v>40.2</v>
      </c>
      <c r="S3039" s="112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D3040" t="inlineStr"/>
      <c r="E3040" t="inlineStr">
        <is>
          <t>OC</t>
        </is>
      </c>
      <c r="F3040" t="inlineStr"/>
      <c r="G3040" s="126" t="inlineStr"/>
      <c r="H3040" s="125" t="n">
        <v>46105</v>
      </c>
      <c r="I3040" t="inlineStr"/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N3040" t="inlineStr"/>
      <c r="O3040" t="inlineStr">
        <is>
          <t>20542</t>
        </is>
      </c>
      <c r="P3040" t="inlineStr">
        <is>
          <t>CORPORATE TRAVELER</t>
        </is>
      </c>
      <c r="Q3040" s="112" t="n">
        <v>0</v>
      </c>
      <c r="R3040" s="112" t="n">
        <v>20.1</v>
      </c>
      <c r="S3040" s="112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D3041" t="inlineStr"/>
      <c r="E3041" t="inlineStr">
        <is>
          <t>OC</t>
        </is>
      </c>
      <c r="F3041" t="inlineStr"/>
      <c r="G3041" s="126" t="inlineStr"/>
      <c r="H3041" s="125" t="n">
        <v>46105</v>
      </c>
      <c r="I3041" t="inlineStr"/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N3041" t="inlineStr"/>
      <c r="O3041" t="inlineStr">
        <is>
          <t>20542</t>
        </is>
      </c>
      <c r="P3041" t="inlineStr">
        <is>
          <t>CORPORATE TRAVELER</t>
        </is>
      </c>
      <c r="Q3041" s="112" t="n">
        <v>0</v>
      </c>
      <c r="R3041" s="112" t="n">
        <v>303.82</v>
      </c>
      <c r="S3041" s="112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D3042" t="inlineStr"/>
      <c r="E3042" t="inlineStr">
        <is>
          <t>OC</t>
        </is>
      </c>
      <c r="F3042" t="inlineStr"/>
      <c r="G3042" s="126" t="inlineStr"/>
      <c r="H3042" s="125" t="n">
        <v>46105</v>
      </c>
      <c r="I3042" t="inlineStr"/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N3042" t="inlineStr"/>
      <c r="O3042" t="inlineStr">
        <is>
          <t>20542</t>
        </is>
      </c>
      <c r="P3042" t="inlineStr">
        <is>
          <t>CORPORATE TRAVELER</t>
        </is>
      </c>
      <c r="Q3042" s="112" t="n">
        <v>0</v>
      </c>
      <c r="R3042" s="112" t="n">
        <v>149.45</v>
      </c>
      <c r="S3042" s="112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D3043" t="inlineStr"/>
      <c r="E3043" t="inlineStr">
        <is>
          <t>OC</t>
        </is>
      </c>
      <c r="F3043" t="inlineStr"/>
      <c r="G3043" s="126" t="inlineStr"/>
      <c r="H3043" s="125" t="n">
        <v>46105</v>
      </c>
      <c r="I3043" t="inlineStr"/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N3043" t="inlineStr"/>
      <c r="O3043" t="inlineStr">
        <is>
          <t>20542</t>
        </is>
      </c>
      <c r="P3043" t="inlineStr">
        <is>
          <t>CORPORATE TRAVELER</t>
        </is>
      </c>
      <c r="Q3043" s="112" t="n">
        <v>0</v>
      </c>
      <c r="R3043" s="112" t="n">
        <v>937.5599999999999</v>
      </c>
      <c r="S3043" s="112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D3044" t="inlineStr"/>
      <c r="E3044" t="inlineStr">
        <is>
          <t>OC</t>
        </is>
      </c>
      <c r="F3044" t="inlineStr"/>
      <c r="G3044" s="126" t="inlineStr"/>
      <c r="H3044" s="125" t="n">
        <v>46105</v>
      </c>
      <c r="I3044" t="inlineStr"/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N3044" t="inlineStr"/>
      <c r="O3044" t="inlineStr">
        <is>
          <t>20542</t>
        </is>
      </c>
      <c r="P3044" t="inlineStr">
        <is>
          <t>CORPORATE TRAVELER</t>
        </is>
      </c>
      <c r="Q3044" s="112" t="n">
        <v>0</v>
      </c>
      <c r="R3044" s="112" t="n">
        <v>491.07</v>
      </c>
      <c r="S3044" s="112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D3045" t="inlineStr"/>
      <c r="E3045" t="inlineStr">
        <is>
          <t>OC</t>
        </is>
      </c>
      <c r="F3045" t="inlineStr"/>
      <c r="G3045" s="126" t="inlineStr"/>
      <c r="H3045" s="125" t="n">
        <v>46105</v>
      </c>
      <c r="I3045" t="inlineStr"/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N3045" t="inlineStr"/>
      <c r="O3045" t="inlineStr">
        <is>
          <t>20542</t>
        </is>
      </c>
      <c r="P3045" t="inlineStr">
        <is>
          <t>CORPORATE TRAVELER</t>
        </is>
      </c>
      <c r="Q3045" s="112" t="n">
        <v>0</v>
      </c>
      <c r="R3045" s="112" t="n">
        <v>440.43</v>
      </c>
      <c r="S3045" s="112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D3046" t="inlineStr"/>
      <c r="E3046" t="inlineStr">
        <is>
          <t>OC</t>
        </is>
      </c>
      <c r="F3046" t="inlineStr"/>
      <c r="G3046" s="126" t="inlineStr"/>
      <c r="H3046" s="125" t="n">
        <v>46105</v>
      </c>
      <c r="I3046" t="inlineStr"/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N3046" t="inlineStr"/>
      <c r="O3046" t="inlineStr">
        <is>
          <t>20542</t>
        </is>
      </c>
      <c r="P3046" t="inlineStr">
        <is>
          <t>CORPORATE TRAVELER</t>
        </is>
      </c>
      <c r="Q3046" s="112" t="n">
        <v>0</v>
      </c>
      <c r="R3046" s="112" t="n">
        <v>640.75</v>
      </c>
      <c r="S3046" s="112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D3047" t="inlineStr"/>
      <c r="E3047" t="inlineStr">
        <is>
          <t>OC</t>
        </is>
      </c>
      <c r="F3047" t="inlineStr"/>
      <c r="G3047" s="126" t="inlineStr"/>
      <c r="H3047" s="125" t="n">
        <v>46105</v>
      </c>
      <c r="I3047" t="inlineStr"/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N3047" t="inlineStr"/>
      <c r="O3047" t="inlineStr">
        <is>
          <t>20542</t>
        </is>
      </c>
      <c r="P3047" t="inlineStr">
        <is>
          <t>CORPORATE TRAVELER</t>
        </is>
      </c>
      <c r="Q3047" s="112" t="n">
        <v>0</v>
      </c>
      <c r="R3047" s="112" t="n">
        <v>440.39</v>
      </c>
      <c r="S3047" s="112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D3048" t="inlineStr"/>
      <c r="E3048" t="inlineStr">
        <is>
          <t>OC</t>
        </is>
      </c>
      <c r="F3048" t="inlineStr"/>
      <c r="G3048" s="126" t="inlineStr"/>
      <c r="H3048" s="125" t="n">
        <v>46105</v>
      </c>
      <c r="I3048" t="inlineStr"/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N3048" t="inlineStr"/>
      <c r="O3048" t="inlineStr">
        <is>
          <t>20542</t>
        </is>
      </c>
      <c r="P3048" t="inlineStr">
        <is>
          <t>CORPORATE TRAVELER</t>
        </is>
      </c>
      <c r="Q3048" s="112" t="n">
        <v>0</v>
      </c>
      <c r="R3048" s="112" t="n">
        <v>133.95</v>
      </c>
      <c r="S3048" s="112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D3049" t="inlineStr"/>
      <c r="E3049" t="inlineStr">
        <is>
          <t>OC</t>
        </is>
      </c>
      <c r="F3049" t="inlineStr"/>
      <c r="G3049" s="126" t="inlineStr"/>
      <c r="H3049" s="125" t="n">
        <v>46105</v>
      </c>
      <c r="I3049" t="inlineStr"/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N3049" t="inlineStr"/>
      <c r="O3049" t="inlineStr">
        <is>
          <t>20542</t>
        </is>
      </c>
      <c r="P3049" t="inlineStr">
        <is>
          <t>CORPORATE TRAVELER</t>
        </is>
      </c>
      <c r="Q3049" s="112" t="n">
        <v>0</v>
      </c>
      <c r="R3049" s="112" t="n">
        <v>432.32</v>
      </c>
      <c r="S3049" s="112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D3050" t="inlineStr"/>
      <c r="E3050" t="inlineStr">
        <is>
          <t>OC</t>
        </is>
      </c>
      <c r="F3050" t="inlineStr"/>
      <c r="G3050" s="126" t="inlineStr"/>
      <c r="H3050" s="125" t="n">
        <v>46105</v>
      </c>
      <c r="I3050" t="inlineStr"/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N3050" t="inlineStr"/>
      <c r="O3050" t="inlineStr">
        <is>
          <t>20542</t>
        </is>
      </c>
      <c r="P3050" t="inlineStr">
        <is>
          <t>CORPORATE TRAVELER</t>
        </is>
      </c>
      <c r="Q3050" s="112" t="n">
        <v>0</v>
      </c>
      <c r="R3050" s="112" t="n">
        <v>988.3200000000001</v>
      </c>
      <c r="S3050" s="112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D3051" t="inlineStr"/>
      <c r="E3051" t="inlineStr">
        <is>
          <t>OC</t>
        </is>
      </c>
      <c r="F3051" t="inlineStr"/>
      <c r="G3051" s="126" t="inlineStr"/>
      <c r="H3051" s="125" t="n">
        <v>46112</v>
      </c>
      <c r="I3051" t="inlineStr"/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N3051" t="inlineStr"/>
      <c r="O3051" t="inlineStr">
        <is>
          <t>20542</t>
        </is>
      </c>
      <c r="P3051" t="inlineStr">
        <is>
          <t>CORPORATE TRAVELER</t>
        </is>
      </c>
      <c r="Q3051" s="112" t="n">
        <v>0</v>
      </c>
      <c r="R3051" s="112" t="n">
        <v>794.34</v>
      </c>
      <c r="S3051" s="112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D3052" t="inlineStr"/>
      <c r="E3052" t="inlineStr">
        <is>
          <t>OC</t>
        </is>
      </c>
      <c r="F3052" t="inlineStr"/>
      <c r="G3052" s="126" t="inlineStr"/>
      <c r="H3052" s="125" t="n">
        <v>46112</v>
      </c>
      <c r="I3052" t="inlineStr"/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N3052" t="inlineStr"/>
      <c r="O3052" t="inlineStr">
        <is>
          <t>20542</t>
        </is>
      </c>
      <c r="P3052" t="inlineStr">
        <is>
          <t>CORPORATE TRAVELER</t>
        </is>
      </c>
      <c r="Q3052" s="112" t="n">
        <v>0</v>
      </c>
      <c r="R3052" s="112" t="n">
        <v>442.37</v>
      </c>
      <c r="S3052" s="112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D3053" t="inlineStr"/>
      <c r="E3053" t="inlineStr">
        <is>
          <t>OC</t>
        </is>
      </c>
      <c r="F3053" t="inlineStr"/>
      <c r="G3053" s="126" t="inlineStr"/>
      <c r="H3053" s="125" t="n">
        <v>46112</v>
      </c>
      <c r="I3053" t="inlineStr"/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N3053" t="inlineStr"/>
      <c r="O3053" t="inlineStr">
        <is>
          <t>20542</t>
        </is>
      </c>
      <c r="P3053" t="inlineStr">
        <is>
          <t>CORPORATE TRAVELER</t>
        </is>
      </c>
      <c r="Q3053" s="112" t="n">
        <v>0</v>
      </c>
      <c r="R3053" s="112" t="n">
        <v>407.93</v>
      </c>
      <c r="S3053" s="112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D3054" t="inlineStr"/>
      <c r="E3054" t="inlineStr">
        <is>
          <t>OC</t>
        </is>
      </c>
      <c r="F3054" t="inlineStr"/>
      <c r="G3054" s="126" t="inlineStr"/>
      <c r="H3054" s="125" t="n">
        <v>46112</v>
      </c>
      <c r="I3054" t="inlineStr"/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N3054" t="inlineStr"/>
      <c r="O3054" t="inlineStr">
        <is>
          <t>20542</t>
        </is>
      </c>
      <c r="P3054" t="inlineStr">
        <is>
          <t>CORPORATE TRAVELER</t>
        </is>
      </c>
      <c r="Q3054" s="112" t="n">
        <v>0</v>
      </c>
      <c r="R3054" s="112" t="n">
        <v>137.57</v>
      </c>
      <c r="S3054" s="112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D3055" t="inlineStr"/>
      <c r="E3055" t="inlineStr">
        <is>
          <t>OC</t>
        </is>
      </c>
      <c r="F3055" t="inlineStr"/>
      <c r="G3055" s="126" t="inlineStr"/>
      <c r="H3055" s="125" t="n">
        <v>46112</v>
      </c>
      <c r="I3055" t="inlineStr"/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N3055" t="inlineStr"/>
      <c r="O3055" t="inlineStr">
        <is>
          <t>20542</t>
        </is>
      </c>
      <c r="P3055" t="inlineStr">
        <is>
          <t>CORPORATE TRAVELER</t>
        </is>
      </c>
      <c r="Q3055" s="112" t="n">
        <v>0</v>
      </c>
      <c r="R3055" s="112" t="n">
        <v>794.4400000000001</v>
      </c>
      <c r="S3055" s="112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D3056" t="inlineStr"/>
      <c r="E3056" t="inlineStr">
        <is>
          <t>OC</t>
        </is>
      </c>
      <c r="F3056" t="inlineStr"/>
      <c r="G3056" s="126" t="inlineStr"/>
      <c r="H3056" s="125" t="n">
        <v>46112</v>
      </c>
      <c r="I3056" t="inlineStr"/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N3056" t="inlineStr"/>
      <c r="O3056" t="inlineStr">
        <is>
          <t>20542</t>
        </is>
      </c>
      <c r="P3056" t="inlineStr">
        <is>
          <t>CORPORATE TRAVELER</t>
        </is>
      </c>
      <c r="Q3056" s="112" t="n">
        <v>0</v>
      </c>
      <c r="R3056" s="112" t="n">
        <v>215.59</v>
      </c>
      <c r="S3056" s="112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D3057" t="inlineStr"/>
      <c r="E3057" t="inlineStr">
        <is>
          <t>OC</t>
        </is>
      </c>
      <c r="F3057" t="inlineStr"/>
      <c r="G3057" s="126" t="inlineStr"/>
      <c r="H3057" s="125" t="n">
        <v>46112</v>
      </c>
      <c r="I3057" t="inlineStr"/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N3057" t="inlineStr"/>
      <c r="O3057" t="inlineStr">
        <is>
          <t>20542</t>
        </is>
      </c>
      <c r="P3057" t="inlineStr">
        <is>
          <t>CORPORATE TRAVELER</t>
        </is>
      </c>
      <c r="Q3057" s="112" t="n">
        <v>0</v>
      </c>
      <c r="R3057" s="112" t="n">
        <v>1107.67</v>
      </c>
      <c r="S3057" s="112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D3058" t="inlineStr"/>
      <c r="E3058" t="inlineStr">
        <is>
          <t>OC</t>
        </is>
      </c>
      <c r="F3058" t="inlineStr"/>
      <c r="G3058" s="126" t="inlineStr"/>
      <c r="H3058" s="125" t="n">
        <v>46112</v>
      </c>
      <c r="I3058" t="inlineStr"/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N3058" t="inlineStr"/>
      <c r="O3058" t="inlineStr">
        <is>
          <t>20542</t>
        </is>
      </c>
      <c r="P3058" t="inlineStr">
        <is>
          <t>CORPORATE TRAVELER</t>
        </is>
      </c>
      <c r="Q3058" s="112" t="n">
        <v>0</v>
      </c>
      <c r="R3058" s="112" t="n">
        <v>216.26</v>
      </c>
      <c r="S3058" s="112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D3059" t="inlineStr"/>
      <c r="E3059" t="inlineStr">
        <is>
          <t>OC</t>
        </is>
      </c>
      <c r="F3059" t="inlineStr"/>
      <c r="G3059" s="126" t="inlineStr"/>
      <c r="H3059" s="125" t="n">
        <v>46112</v>
      </c>
      <c r="I3059" t="inlineStr"/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N3059" t="inlineStr"/>
      <c r="O3059" t="inlineStr">
        <is>
          <t>20542</t>
        </is>
      </c>
      <c r="P3059" t="inlineStr">
        <is>
          <t>CORPORATE TRAVELER</t>
        </is>
      </c>
      <c r="Q3059" s="112" t="n">
        <v>0</v>
      </c>
      <c r="R3059" s="112" t="n">
        <v>853.59</v>
      </c>
      <c r="S3059" s="112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D3060" t="inlineStr"/>
      <c r="E3060" t="inlineStr">
        <is>
          <t>OC</t>
        </is>
      </c>
      <c r="F3060" t="inlineStr"/>
      <c r="G3060" s="126" t="inlineStr"/>
      <c r="H3060" s="125" t="n">
        <v>46113</v>
      </c>
      <c r="I3060" t="inlineStr"/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N3060" t="inlineStr"/>
      <c r="O3060" t="inlineStr">
        <is>
          <t>18873</t>
        </is>
      </c>
      <c r="P3060" t="inlineStr">
        <is>
          <t>EAN SERVICES, LLC</t>
        </is>
      </c>
      <c r="Q3060" s="112" t="n">
        <v>0</v>
      </c>
      <c r="R3060" s="112" t="n">
        <v>420.71</v>
      </c>
      <c r="S3060" s="112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D3061" t="inlineStr"/>
      <c r="E3061" t="inlineStr">
        <is>
          <t>OC</t>
        </is>
      </c>
      <c r="F3061" t="inlineStr"/>
      <c r="G3061" s="126" t="inlineStr"/>
      <c r="H3061" s="125" t="n">
        <v>46113</v>
      </c>
      <c r="I3061" t="inlineStr"/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N3061" t="inlineStr"/>
      <c r="O3061" t="inlineStr">
        <is>
          <t>18873</t>
        </is>
      </c>
      <c r="P3061" t="inlineStr">
        <is>
          <t>EAN SERVICES, LLC</t>
        </is>
      </c>
      <c r="Q3061" s="112" t="n">
        <v>0</v>
      </c>
      <c r="R3061" s="112" t="n">
        <v>673.02</v>
      </c>
      <c r="S3061" s="112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D3062" t="inlineStr"/>
      <c r="E3062" t="inlineStr">
        <is>
          <t>OC</t>
        </is>
      </c>
      <c r="F3062" t="inlineStr"/>
      <c r="G3062" s="126" t="inlineStr"/>
      <c r="H3062" s="125" t="n">
        <v>46120</v>
      </c>
      <c r="I3062" t="inlineStr"/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N3062" t="inlineStr"/>
      <c r="O3062" t="inlineStr">
        <is>
          <t>20542</t>
        </is>
      </c>
      <c r="P3062" t="inlineStr">
        <is>
          <t>CORPORATE TRAVELER</t>
        </is>
      </c>
      <c r="Q3062" s="112" t="n">
        <v>0</v>
      </c>
      <c r="R3062" s="112" t="n">
        <v>20.1</v>
      </c>
      <c r="S3062" s="112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D3063" t="inlineStr"/>
      <c r="E3063" t="inlineStr">
        <is>
          <t>OC</t>
        </is>
      </c>
      <c r="F3063" t="inlineStr"/>
      <c r="G3063" s="126" t="inlineStr"/>
      <c r="H3063" s="125" t="n">
        <v>46120</v>
      </c>
      <c r="I3063" t="inlineStr"/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N3063" t="inlineStr"/>
      <c r="O3063" t="inlineStr">
        <is>
          <t>20542</t>
        </is>
      </c>
      <c r="P3063" t="inlineStr">
        <is>
          <t>CORPORATE TRAVELER</t>
        </is>
      </c>
      <c r="Q3063" s="112" t="n">
        <v>0</v>
      </c>
      <c r="R3063" s="112" t="n">
        <v>82.12</v>
      </c>
      <c r="S3063" s="112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D3064" t="inlineStr"/>
      <c r="E3064" t="inlineStr">
        <is>
          <t>OC</t>
        </is>
      </c>
      <c r="F3064" t="inlineStr"/>
      <c r="G3064" s="126" t="inlineStr"/>
      <c r="H3064" s="125" t="n">
        <v>46120</v>
      </c>
      <c r="I3064" t="inlineStr"/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N3064" t="inlineStr"/>
      <c r="O3064" t="inlineStr">
        <is>
          <t>19449</t>
        </is>
      </c>
      <c r="P3064" t="inlineStr">
        <is>
          <t>BARTLES, JAMES E.</t>
        </is>
      </c>
      <c r="Q3064" s="112" t="n">
        <v>0</v>
      </c>
      <c r="R3064" s="112" t="n">
        <v>266.72</v>
      </c>
      <c r="S3064" s="112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D3065" t="inlineStr"/>
      <c r="E3065" t="inlineStr">
        <is>
          <t>OC</t>
        </is>
      </c>
      <c r="F3065" t="inlineStr"/>
      <c r="G3065" s="126" t="inlineStr"/>
      <c r="H3065" s="125" t="n">
        <v>46127</v>
      </c>
      <c r="I3065" t="inlineStr"/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N3065" t="inlineStr"/>
      <c r="O3065" t="inlineStr">
        <is>
          <t>20542</t>
        </is>
      </c>
      <c r="P3065" t="inlineStr">
        <is>
          <t>CORPORATE TRAVELER</t>
        </is>
      </c>
      <c r="Q3065" s="112" t="n">
        <v>0</v>
      </c>
      <c r="R3065" s="112" t="n">
        <v>583.6900000000001</v>
      </c>
      <c r="S3065" s="112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D3066" t="inlineStr"/>
      <c r="E3066" t="inlineStr">
        <is>
          <t>OC</t>
        </is>
      </c>
      <c r="F3066" t="inlineStr"/>
      <c r="G3066" s="126" t="inlineStr"/>
      <c r="H3066" s="125" t="n">
        <v>46127</v>
      </c>
      <c r="I3066" t="inlineStr"/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N3066" t="inlineStr"/>
      <c r="O3066" t="inlineStr">
        <is>
          <t>20542</t>
        </is>
      </c>
      <c r="P3066" t="inlineStr">
        <is>
          <t>CORPORATE TRAVELER</t>
        </is>
      </c>
      <c r="Q3066" s="112" t="n">
        <v>0</v>
      </c>
      <c r="R3066" s="112" t="n">
        <v>114.42</v>
      </c>
      <c r="S3066" s="112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D3067" t="inlineStr"/>
      <c r="E3067" t="inlineStr">
        <is>
          <t>OC</t>
        </is>
      </c>
      <c r="F3067" t="inlineStr"/>
      <c r="G3067" s="126" t="inlineStr"/>
      <c r="H3067" s="125" t="n">
        <v>46127</v>
      </c>
      <c r="I3067" t="inlineStr"/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N3067" t="inlineStr"/>
      <c r="O3067" t="inlineStr">
        <is>
          <t>20542</t>
        </is>
      </c>
      <c r="P3067" t="inlineStr">
        <is>
          <t>CORPORATE TRAVELER</t>
        </is>
      </c>
      <c r="Q3067" s="112" t="n">
        <v>0</v>
      </c>
      <c r="R3067" s="112" t="n">
        <v>437.08</v>
      </c>
      <c r="S3067" s="112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D3068" t="inlineStr"/>
      <c r="E3068" t="inlineStr">
        <is>
          <t>OC</t>
        </is>
      </c>
      <c r="F3068" t="inlineStr"/>
      <c r="G3068" s="126" t="inlineStr"/>
      <c r="H3068" s="125" t="n">
        <v>46127</v>
      </c>
      <c r="I3068" t="inlineStr"/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N3068" t="inlineStr"/>
      <c r="O3068" t="inlineStr">
        <is>
          <t>20542</t>
        </is>
      </c>
      <c r="P3068" t="inlineStr">
        <is>
          <t>CORPORATE TRAVELER</t>
        </is>
      </c>
      <c r="Q3068" s="112" t="n">
        <v>0</v>
      </c>
      <c r="R3068" s="112" t="n">
        <v>140.74</v>
      </c>
      <c r="S3068" s="112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D3069" t="inlineStr"/>
      <c r="E3069" t="inlineStr">
        <is>
          <t>OC</t>
        </is>
      </c>
      <c r="F3069" t="inlineStr"/>
      <c r="G3069" s="126" t="inlineStr"/>
      <c r="H3069" s="125" t="n">
        <v>46127</v>
      </c>
      <c r="I3069" t="inlineStr"/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N3069" t="inlineStr"/>
      <c r="O3069" t="inlineStr">
        <is>
          <t>20542</t>
        </is>
      </c>
      <c r="P3069" t="inlineStr">
        <is>
          <t>CORPORATE TRAVELER</t>
        </is>
      </c>
      <c r="Q3069" s="112" t="n">
        <v>0</v>
      </c>
      <c r="R3069" s="112" t="n">
        <v>123.67</v>
      </c>
      <c r="S3069" s="112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D3070" t="inlineStr"/>
      <c r="E3070" t="inlineStr">
        <is>
          <t>OC</t>
        </is>
      </c>
      <c r="F3070" t="inlineStr"/>
      <c r="G3070" s="126" t="inlineStr"/>
      <c r="H3070" s="125" t="n">
        <v>46127</v>
      </c>
      <c r="I3070" t="inlineStr"/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N3070" t="inlineStr"/>
      <c r="O3070" t="inlineStr">
        <is>
          <t>20542</t>
        </is>
      </c>
      <c r="P3070" t="inlineStr">
        <is>
          <t>CORPORATE TRAVELER</t>
        </is>
      </c>
      <c r="Q3070" s="112" t="n">
        <v>0</v>
      </c>
      <c r="R3070" s="112" t="n">
        <v>20.1</v>
      </c>
      <c r="S3070" s="112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D3071" t="inlineStr"/>
      <c r="E3071" t="inlineStr">
        <is>
          <t>OC</t>
        </is>
      </c>
      <c r="F3071" t="inlineStr"/>
      <c r="G3071" s="126" t="inlineStr"/>
      <c r="H3071" s="125" t="n">
        <v>46122</v>
      </c>
      <c r="I3071" t="inlineStr"/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N3071" t="inlineStr"/>
      <c r="O3071" t="inlineStr">
        <is>
          <t>13733</t>
        </is>
      </c>
      <c r="P3071" t="inlineStr">
        <is>
          <t>TREPAGNIER, ANDREAU P.</t>
        </is>
      </c>
      <c r="Q3071" s="112" t="n">
        <v>0</v>
      </c>
      <c r="R3071" s="112" t="n">
        <v>9</v>
      </c>
      <c r="S3071" s="112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D3072" t="inlineStr"/>
      <c r="E3072" t="inlineStr">
        <is>
          <t>OC</t>
        </is>
      </c>
      <c r="F3072" t="inlineStr"/>
      <c r="G3072" s="126" t="inlineStr"/>
      <c r="H3072" s="125" t="n">
        <v>46122</v>
      </c>
      <c r="I3072" t="inlineStr"/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N3072" t="inlineStr"/>
      <c r="O3072" t="inlineStr">
        <is>
          <t>13733</t>
        </is>
      </c>
      <c r="P3072" t="inlineStr">
        <is>
          <t>TREPAGNIER, ANDREAU P.</t>
        </is>
      </c>
      <c r="Q3072" s="112" t="n">
        <v>0</v>
      </c>
      <c r="R3072" s="112" t="n">
        <v>182.55</v>
      </c>
      <c r="S3072" s="112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D3073" t="inlineStr"/>
      <c r="E3073" t="inlineStr">
        <is>
          <t>OC</t>
        </is>
      </c>
      <c r="F3073" t="inlineStr"/>
      <c r="G3073" s="126" t="inlineStr"/>
      <c r="H3073" s="125" t="n">
        <v>46135</v>
      </c>
      <c r="I3073" t="inlineStr"/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N3073" t="inlineStr"/>
      <c r="O3073" t="inlineStr">
        <is>
          <t>20542</t>
        </is>
      </c>
      <c r="P3073" t="inlineStr">
        <is>
          <t>CORPORATE TRAVELER</t>
        </is>
      </c>
      <c r="Q3073" s="112" t="n">
        <v>0</v>
      </c>
      <c r="R3073" s="112" t="n">
        <v>636.1900000000001</v>
      </c>
      <c r="S3073" s="112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D3074" t="inlineStr"/>
      <c r="E3074" t="inlineStr">
        <is>
          <t>OC</t>
        </is>
      </c>
      <c r="F3074" t="inlineStr"/>
      <c r="G3074" s="126" t="inlineStr"/>
      <c r="H3074" s="125" t="n">
        <v>46135</v>
      </c>
      <c r="I3074" t="inlineStr"/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N3074" t="inlineStr"/>
      <c r="O3074" t="inlineStr">
        <is>
          <t>20542</t>
        </is>
      </c>
      <c r="P3074" t="inlineStr">
        <is>
          <t>CORPORATE TRAVELER</t>
        </is>
      </c>
      <c r="Q3074" s="112" t="n">
        <v>0</v>
      </c>
      <c r="R3074" s="112" t="n">
        <v>20.1</v>
      </c>
      <c r="S3074" s="112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D3075" t="inlineStr"/>
      <c r="E3075" t="inlineStr">
        <is>
          <t>OC</t>
        </is>
      </c>
      <c r="F3075" t="inlineStr"/>
      <c r="G3075" s="126" t="inlineStr"/>
      <c r="H3075" s="125" t="n">
        <v>46135</v>
      </c>
      <c r="I3075" t="inlineStr"/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N3075" t="inlineStr"/>
      <c r="O3075" t="inlineStr">
        <is>
          <t>20542</t>
        </is>
      </c>
      <c r="P3075" t="inlineStr">
        <is>
          <t>CORPORATE TRAVELER</t>
        </is>
      </c>
      <c r="Q3075" s="112" t="n">
        <v>0</v>
      </c>
      <c r="R3075" s="112" t="n">
        <v>416.33</v>
      </c>
      <c r="S3075" s="112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D3076" t="inlineStr"/>
      <c r="E3076" t="inlineStr">
        <is>
          <t>OC</t>
        </is>
      </c>
      <c r="F3076" t="inlineStr"/>
      <c r="G3076" s="126" t="inlineStr"/>
      <c r="H3076" s="125" t="n">
        <v>46142</v>
      </c>
      <c r="I3076" t="inlineStr"/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N3076" t="inlineStr"/>
      <c r="O3076" t="inlineStr">
        <is>
          <t>20542</t>
        </is>
      </c>
      <c r="P3076" t="inlineStr">
        <is>
          <t>CORPORATE TRAVELER</t>
        </is>
      </c>
      <c r="Q3076" s="112" t="n">
        <v>0</v>
      </c>
      <c r="R3076" s="112" t="n">
        <v>339.36</v>
      </c>
      <c r="S3076" s="112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D3077" t="inlineStr"/>
      <c r="E3077" t="inlineStr">
        <is>
          <t>OC</t>
        </is>
      </c>
      <c r="F3077" t="inlineStr"/>
      <c r="G3077" s="126" t="inlineStr"/>
      <c r="H3077" s="125" t="n">
        <v>46142</v>
      </c>
      <c r="I3077" t="inlineStr"/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N3077" t="inlineStr"/>
      <c r="O3077" t="inlineStr">
        <is>
          <t>20542</t>
        </is>
      </c>
      <c r="P3077" t="inlineStr">
        <is>
          <t>CORPORATE TRAVELER</t>
        </is>
      </c>
      <c r="Q3077" s="112" t="n">
        <v>0</v>
      </c>
      <c r="R3077" s="112" t="n">
        <v>390.14</v>
      </c>
      <c r="S3077" s="112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D3078" t="inlineStr"/>
      <c r="E3078" t="inlineStr">
        <is>
          <t>OC</t>
        </is>
      </c>
      <c r="F3078" t="inlineStr"/>
      <c r="G3078" s="126" t="inlineStr"/>
      <c r="H3078" s="125" t="n">
        <v>46142</v>
      </c>
      <c r="I3078" t="inlineStr"/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N3078" t="inlineStr"/>
      <c r="O3078" t="inlineStr">
        <is>
          <t>20542</t>
        </is>
      </c>
      <c r="P3078" t="inlineStr">
        <is>
          <t>CORPORATE TRAVELER</t>
        </is>
      </c>
      <c r="Q3078" s="112" t="n">
        <v>0</v>
      </c>
      <c r="R3078" s="112" t="n">
        <v>559.99</v>
      </c>
      <c r="S3078" s="112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D3079" t="inlineStr"/>
      <c r="E3079" t="inlineStr">
        <is>
          <t>OC</t>
        </is>
      </c>
      <c r="F3079" t="inlineStr"/>
      <c r="G3079" s="126" t="inlineStr"/>
      <c r="H3079" s="125" t="n">
        <v>46142</v>
      </c>
      <c r="I3079" t="inlineStr"/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N3079" t="inlineStr"/>
      <c r="O3079" t="inlineStr">
        <is>
          <t>20542</t>
        </is>
      </c>
      <c r="P3079" t="inlineStr">
        <is>
          <t>CORPORATE TRAVELER</t>
        </is>
      </c>
      <c r="Q3079" s="112" t="n">
        <v>0</v>
      </c>
      <c r="R3079" s="112" t="n">
        <v>1046.65</v>
      </c>
      <c r="S3079" s="112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D3080" t="inlineStr"/>
      <c r="E3080" t="inlineStr">
        <is>
          <t>OC</t>
        </is>
      </c>
      <c r="F3080" t="inlineStr"/>
      <c r="G3080" s="126" t="inlineStr"/>
      <c r="H3080" s="125" t="n">
        <v>46156</v>
      </c>
      <c r="I3080" t="inlineStr"/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N3080" t="inlineStr"/>
      <c r="O3080" t="inlineStr">
        <is>
          <t>20542</t>
        </is>
      </c>
      <c r="P3080" t="inlineStr">
        <is>
          <t>CORPORATE TRAVELER</t>
        </is>
      </c>
      <c r="Q3080" s="112" t="n">
        <v>0</v>
      </c>
      <c r="R3080" s="112" t="n">
        <v>3.69</v>
      </c>
      <c r="S3080" s="112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D3081" t="inlineStr"/>
      <c r="E3081" t="inlineStr">
        <is>
          <t>OC</t>
        </is>
      </c>
      <c r="F3081" t="inlineStr"/>
      <c r="G3081" s="126" t="inlineStr"/>
      <c r="H3081" s="125" t="n">
        <v>46161</v>
      </c>
      <c r="I3081" t="inlineStr"/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N3081" t="inlineStr"/>
      <c r="O3081" t="inlineStr">
        <is>
          <t>20542</t>
        </is>
      </c>
      <c r="P3081" t="inlineStr">
        <is>
          <t>CORPORATE TRAVELER</t>
        </is>
      </c>
      <c r="Q3081" s="112" t="n">
        <v>0</v>
      </c>
      <c r="R3081" s="112" t="n">
        <v>2.14</v>
      </c>
      <c r="S3081" s="112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D3082" t="inlineStr"/>
      <c r="E3082" t="inlineStr">
        <is>
          <t>OC</t>
        </is>
      </c>
      <c r="F3082" t="inlineStr"/>
      <c r="G3082" s="126" t="inlineStr"/>
      <c r="H3082" s="125" t="n">
        <v>46156</v>
      </c>
      <c r="I3082" t="inlineStr"/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N3082" t="inlineStr"/>
      <c r="O3082" t="inlineStr">
        <is>
          <t>20542</t>
        </is>
      </c>
      <c r="P3082" t="inlineStr">
        <is>
          <t>CORPORATE TRAVELER</t>
        </is>
      </c>
      <c r="Q3082" s="112" t="n">
        <v>0</v>
      </c>
      <c r="R3082" s="112" t="n">
        <v>373.9</v>
      </c>
      <c r="S3082" s="112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D3083" t="inlineStr"/>
      <c r="E3083" t="inlineStr">
        <is>
          <t>OC</t>
        </is>
      </c>
      <c r="F3083" t="inlineStr"/>
      <c r="G3083" s="126" t="inlineStr"/>
      <c r="H3083" s="125" t="n">
        <v>46156</v>
      </c>
      <c r="I3083" t="inlineStr"/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N3083" t="inlineStr"/>
      <c r="O3083" t="inlineStr">
        <is>
          <t>20542</t>
        </is>
      </c>
      <c r="P3083" t="inlineStr">
        <is>
          <t>CORPORATE TRAVELER</t>
        </is>
      </c>
      <c r="Q3083" s="112" t="n">
        <v>0</v>
      </c>
      <c r="R3083" s="112" t="n">
        <v>0.1</v>
      </c>
      <c r="S3083" s="112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D3084" t="inlineStr"/>
      <c r="E3084" t="inlineStr">
        <is>
          <t>OC</t>
        </is>
      </c>
      <c r="F3084" t="inlineStr"/>
      <c r="G3084" s="126" t="inlineStr"/>
      <c r="H3084" s="125" t="n">
        <v>46156</v>
      </c>
      <c r="I3084" t="inlineStr"/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N3084" t="inlineStr"/>
      <c r="O3084" t="inlineStr">
        <is>
          <t>20542</t>
        </is>
      </c>
      <c r="P3084" t="inlineStr">
        <is>
          <t>CORPORATE TRAVELER</t>
        </is>
      </c>
      <c r="Q3084" s="112" t="n">
        <v>0</v>
      </c>
      <c r="R3084" s="112" t="n">
        <v>373.4</v>
      </c>
      <c r="S3084" s="112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D3085" t="inlineStr"/>
      <c r="E3085" t="inlineStr">
        <is>
          <t>OC</t>
        </is>
      </c>
      <c r="F3085" t="inlineStr"/>
      <c r="G3085" s="126" t="inlineStr"/>
      <c r="H3085" s="125" t="n">
        <v>46156</v>
      </c>
      <c r="I3085" t="inlineStr"/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N3085" t="inlineStr"/>
      <c r="O3085" t="inlineStr">
        <is>
          <t>20542</t>
        </is>
      </c>
      <c r="P3085" t="inlineStr">
        <is>
          <t>CORPORATE TRAVELER</t>
        </is>
      </c>
      <c r="Q3085" s="112" t="n">
        <v>0</v>
      </c>
      <c r="R3085" s="112" t="n">
        <v>20</v>
      </c>
      <c r="S3085" s="112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D3086" t="inlineStr"/>
      <c r="E3086" t="inlineStr">
        <is>
          <t>OC</t>
        </is>
      </c>
      <c r="F3086" t="inlineStr"/>
      <c r="G3086" s="126" t="inlineStr"/>
      <c r="H3086" s="125" t="n">
        <v>46156</v>
      </c>
      <c r="I3086" t="inlineStr"/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N3086" t="inlineStr"/>
      <c r="O3086" t="inlineStr">
        <is>
          <t>20542</t>
        </is>
      </c>
      <c r="P3086" t="inlineStr">
        <is>
          <t>CORPORATE TRAVELER</t>
        </is>
      </c>
      <c r="Q3086" s="112" t="n">
        <v>0</v>
      </c>
      <c r="R3086" s="112" t="n">
        <v>10</v>
      </c>
      <c r="S3086" s="112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D3087" t="inlineStr"/>
      <c r="E3087" t="inlineStr">
        <is>
          <t>OC</t>
        </is>
      </c>
      <c r="F3087" t="inlineStr"/>
      <c r="G3087" s="126" t="inlineStr"/>
      <c r="H3087" s="125" t="n">
        <v>46156</v>
      </c>
      <c r="I3087" t="inlineStr"/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N3087" t="inlineStr"/>
      <c r="O3087" t="inlineStr">
        <is>
          <t>20542</t>
        </is>
      </c>
      <c r="P3087" t="inlineStr">
        <is>
          <t>CORPORATE TRAVELER</t>
        </is>
      </c>
      <c r="Q3087" s="112" t="n">
        <v>0</v>
      </c>
      <c r="R3087" s="112" t="n">
        <v>355.5</v>
      </c>
      <c r="S3087" s="112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D3088" t="inlineStr"/>
      <c r="E3088" t="inlineStr">
        <is>
          <t>OC</t>
        </is>
      </c>
      <c r="F3088" t="inlineStr"/>
      <c r="G3088" s="126" t="inlineStr"/>
      <c r="H3088" s="125" t="n">
        <v>46156</v>
      </c>
      <c r="I3088" t="inlineStr"/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N3088" t="inlineStr"/>
      <c r="O3088" t="inlineStr">
        <is>
          <t>20542</t>
        </is>
      </c>
      <c r="P3088" t="inlineStr">
        <is>
          <t>CORPORATE TRAVELER</t>
        </is>
      </c>
      <c r="Q3088" s="112" t="n">
        <v>0</v>
      </c>
      <c r="R3088" s="112" t="n">
        <v>20</v>
      </c>
      <c r="S3088" s="112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D3089" t="inlineStr"/>
      <c r="E3089" t="inlineStr">
        <is>
          <t>OC</t>
        </is>
      </c>
      <c r="F3089" t="inlineStr"/>
      <c r="G3089" s="126" t="inlineStr"/>
      <c r="H3089" s="125" t="n">
        <v>46156</v>
      </c>
      <c r="I3089" t="inlineStr"/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N3089" t="inlineStr"/>
      <c r="O3089" t="inlineStr">
        <is>
          <t>20542</t>
        </is>
      </c>
      <c r="P3089" t="inlineStr">
        <is>
          <t>CORPORATE TRAVELER</t>
        </is>
      </c>
      <c r="Q3089" s="112" t="n">
        <v>0</v>
      </c>
      <c r="R3089" s="112" t="n">
        <v>0.1</v>
      </c>
      <c r="S3089" s="112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D3090" t="inlineStr"/>
      <c r="E3090" t="inlineStr">
        <is>
          <t>OC</t>
        </is>
      </c>
      <c r="F3090" t="inlineStr"/>
      <c r="G3090" s="126" t="inlineStr"/>
      <c r="H3090" s="125" t="n">
        <v>46156</v>
      </c>
      <c r="I3090" t="inlineStr"/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N3090" t="inlineStr"/>
      <c r="O3090" t="inlineStr">
        <is>
          <t>20542</t>
        </is>
      </c>
      <c r="P3090" t="inlineStr">
        <is>
          <t>CORPORATE TRAVELER</t>
        </is>
      </c>
      <c r="Q3090" s="112" t="n">
        <v>0</v>
      </c>
      <c r="R3090" s="112" t="n">
        <v>0.1</v>
      </c>
      <c r="S3090" s="112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D3091" t="inlineStr"/>
      <c r="E3091" t="inlineStr">
        <is>
          <t>OC</t>
        </is>
      </c>
      <c r="F3091" t="inlineStr"/>
      <c r="G3091" s="126" t="inlineStr"/>
      <c r="H3091" s="125" t="n">
        <v>46156</v>
      </c>
      <c r="I3091" t="inlineStr"/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N3091" t="inlineStr"/>
      <c r="O3091" t="inlineStr">
        <is>
          <t>20542</t>
        </is>
      </c>
      <c r="P3091" t="inlineStr">
        <is>
          <t>CORPORATE TRAVELER</t>
        </is>
      </c>
      <c r="Q3091" s="112" t="n">
        <v>0</v>
      </c>
      <c r="R3091" s="112" t="n">
        <v>20</v>
      </c>
      <c r="S3091" s="112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D3092" t="inlineStr"/>
      <c r="E3092" t="inlineStr">
        <is>
          <t>OC</t>
        </is>
      </c>
      <c r="F3092" t="inlineStr"/>
      <c r="G3092" s="126" t="inlineStr"/>
      <c r="H3092" s="125" t="n">
        <v>46156</v>
      </c>
      <c r="I3092" t="inlineStr"/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N3092" t="inlineStr"/>
      <c r="O3092" t="inlineStr">
        <is>
          <t>20542</t>
        </is>
      </c>
      <c r="P3092" t="inlineStr">
        <is>
          <t>CORPORATE TRAVELER</t>
        </is>
      </c>
      <c r="Q3092" s="112" t="n">
        <v>0</v>
      </c>
      <c r="R3092" s="112" t="n">
        <v>10</v>
      </c>
      <c r="S3092" s="112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D3093" t="inlineStr"/>
      <c r="E3093" t="inlineStr">
        <is>
          <t>OC</t>
        </is>
      </c>
      <c r="F3093" t="inlineStr"/>
      <c r="G3093" s="126" t="inlineStr"/>
      <c r="H3093" s="125" t="n">
        <v>46156</v>
      </c>
      <c r="I3093" t="inlineStr"/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N3093" t="inlineStr"/>
      <c r="O3093" t="inlineStr">
        <is>
          <t>20542</t>
        </is>
      </c>
      <c r="P3093" t="inlineStr">
        <is>
          <t>CORPORATE TRAVELER</t>
        </is>
      </c>
      <c r="Q3093" s="112" t="n">
        <v>0</v>
      </c>
      <c r="R3093" s="112" t="n">
        <v>1124.8</v>
      </c>
      <c r="S3093" s="112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D3094" t="inlineStr"/>
      <c r="E3094" t="inlineStr">
        <is>
          <t>OC</t>
        </is>
      </c>
      <c r="F3094" t="inlineStr"/>
      <c r="G3094" s="126" t="inlineStr"/>
      <c r="H3094" s="125" t="n">
        <v>46161</v>
      </c>
      <c r="I3094" t="inlineStr"/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N3094" t="inlineStr"/>
      <c r="O3094" t="inlineStr">
        <is>
          <t>20542</t>
        </is>
      </c>
      <c r="P3094" t="inlineStr">
        <is>
          <t>CORPORATE TRAVELER</t>
        </is>
      </c>
      <c r="Q3094" s="112" t="n">
        <v>0</v>
      </c>
      <c r="R3094" s="112" t="n">
        <v>360.09</v>
      </c>
      <c r="S3094" s="112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D3095" t="inlineStr"/>
      <c r="E3095" t="inlineStr">
        <is>
          <t>OC</t>
        </is>
      </c>
      <c r="F3095" t="inlineStr"/>
      <c r="G3095" s="126" t="inlineStr"/>
      <c r="H3095" s="125" t="n">
        <v>46161</v>
      </c>
      <c r="I3095" t="inlineStr"/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N3095" t="inlineStr"/>
      <c r="O3095" t="inlineStr">
        <is>
          <t>20542</t>
        </is>
      </c>
      <c r="P3095" t="inlineStr">
        <is>
          <t>CORPORATE TRAVELER</t>
        </is>
      </c>
      <c r="Q3095" s="112" t="n">
        <v>0</v>
      </c>
      <c r="R3095" s="112" t="n">
        <v>516.03</v>
      </c>
      <c r="S3095" s="112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D3096" t="inlineStr"/>
      <c r="E3096" t="inlineStr">
        <is>
          <t>OC</t>
        </is>
      </c>
      <c r="F3096" t="inlineStr"/>
      <c r="G3096" s="126" t="inlineStr"/>
      <c r="H3096" s="125" t="n">
        <v>46161</v>
      </c>
      <c r="I3096" t="inlineStr"/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N3096" t="inlineStr"/>
      <c r="O3096" t="inlineStr">
        <is>
          <t>20542</t>
        </is>
      </c>
      <c r="P3096" t="inlineStr">
        <is>
          <t>CORPORATE TRAVELER</t>
        </is>
      </c>
      <c r="Q3096" s="112" t="n">
        <v>0</v>
      </c>
      <c r="R3096" s="112" t="n">
        <v>0.63</v>
      </c>
      <c r="S3096" s="112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D3097" t="inlineStr"/>
      <c r="E3097" t="inlineStr">
        <is>
          <t>OC</t>
        </is>
      </c>
      <c r="F3097" t="inlineStr"/>
      <c r="G3097" s="126" t="inlineStr"/>
      <c r="H3097" s="125" t="n">
        <v>46161</v>
      </c>
      <c r="I3097" t="inlineStr"/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N3097" t="inlineStr"/>
      <c r="O3097" t="inlineStr">
        <is>
          <t>20542</t>
        </is>
      </c>
      <c r="P3097" t="inlineStr">
        <is>
          <t>CORPORATE TRAVELER</t>
        </is>
      </c>
      <c r="Q3097" s="112" t="n">
        <v>0</v>
      </c>
      <c r="R3097" s="112" t="n">
        <v>20</v>
      </c>
      <c r="S3097" s="112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D3098" t="inlineStr"/>
      <c r="E3098" t="inlineStr">
        <is>
          <t>OC</t>
        </is>
      </c>
      <c r="F3098" t="inlineStr"/>
      <c r="G3098" s="126" t="inlineStr"/>
      <c r="H3098" s="125" t="n">
        <v>46161</v>
      </c>
      <c r="I3098" t="inlineStr"/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N3098" t="inlineStr"/>
      <c r="O3098" t="inlineStr">
        <is>
          <t>20542</t>
        </is>
      </c>
      <c r="P3098" t="inlineStr">
        <is>
          <t>CORPORATE TRAVELER</t>
        </is>
      </c>
      <c r="Q3098" s="112" t="n">
        <v>0</v>
      </c>
      <c r="R3098" s="112" t="n">
        <v>10</v>
      </c>
      <c r="S3098" s="112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D3099" t="inlineStr"/>
      <c r="E3099" t="inlineStr">
        <is>
          <t>OC</t>
        </is>
      </c>
      <c r="F3099" t="inlineStr"/>
      <c r="G3099" s="126" t="inlineStr"/>
      <c r="H3099" s="125" t="n">
        <v>46161</v>
      </c>
      <c r="I3099" t="inlineStr"/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N3099" t="inlineStr"/>
      <c r="O3099" t="inlineStr">
        <is>
          <t>20542</t>
        </is>
      </c>
      <c r="P3099" t="inlineStr">
        <is>
          <t>CORPORATE TRAVELER</t>
        </is>
      </c>
      <c r="Q3099" s="112" t="n">
        <v>0</v>
      </c>
      <c r="R3099" s="112" t="n">
        <v>764.21</v>
      </c>
      <c r="S3099" s="112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D3100" t="inlineStr"/>
      <c r="E3100" t="inlineStr">
        <is>
          <t>OC</t>
        </is>
      </c>
      <c r="F3100" t="inlineStr"/>
      <c r="G3100" s="126" t="inlineStr"/>
      <c r="H3100" s="125" t="n">
        <v>46161</v>
      </c>
      <c r="I3100" t="inlineStr"/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N3100" t="inlineStr"/>
      <c r="O3100" t="inlineStr">
        <is>
          <t>20542</t>
        </is>
      </c>
      <c r="P3100" t="inlineStr">
        <is>
          <t>CORPORATE TRAVELER</t>
        </is>
      </c>
      <c r="Q3100" s="112" t="n">
        <v>0</v>
      </c>
      <c r="R3100" s="112" t="n">
        <v>2.58</v>
      </c>
      <c r="S3100" s="112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D3101" t="inlineStr"/>
      <c r="E3101" t="inlineStr">
        <is>
          <t>OC</t>
        </is>
      </c>
      <c r="F3101" t="inlineStr"/>
      <c r="G3101" s="126" t="inlineStr"/>
      <c r="H3101" s="125" t="n">
        <v>46149</v>
      </c>
      <c r="I3101" t="inlineStr"/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N3101" t="inlineStr"/>
      <c r="O3101" t="inlineStr">
        <is>
          <t>20542</t>
        </is>
      </c>
      <c r="P3101" t="inlineStr">
        <is>
          <t>CORPORATE TRAVELER</t>
        </is>
      </c>
      <c r="Q3101" s="112" t="n">
        <v>0</v>
      </c>
      <c r="R3101" s="112" t="n">
        <v>0.1</v>
      </c>
      <c r="S3101" s="112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D3102" t="inlineStr"/>
      <c r="E3102" t="inlineStr">
        <is>
          <t>OC</t>
        </is>
      </c>
      <c r="F3102" t="inlineStr"/>
      <c r="G3102" s="126" t="inlineStr"/>
      <c r="H3102" s="125" t="n">
        <v>46149</v>
      </c>
      <c r="I3102" t="inlineStr"/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N3102" t="inlineStr"/>
      <c r="O3102" t="inlineStr">
        <is>
          <t>20542</t>
        </is>
      </c>
      <c r="P3102" t="inlineStr">
        <is>
          <t>CORPORATE TRAVELER</t>
        </is>
      </c>
      <c r="Q3102" s="112" t="n">
        <v>0</v>
      </c>
      <c r="R3102" s="112" t="n">
        <v>815.51</v>
      </c>
      <c r="S3102" s="112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D3103" t="inlineStr"/>
      <c r="E3103" t="inlineStr">
        <is>
          <t>OC</t>
        </is>
      </c>
      <c r="F3103" t="inlineStr"/>
      <c r="G3103" s="126" t="inlineStr"/>
      <c r="H3103" s="125" t="n">
        <v>46149</v>
      </c>
      <c r="I3103" t="inlineStr"/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N3103" t="inlineStr"/>
      <c r="O3103" t="inlineStr">
        <is>
          <t>20542</t>
        </is>
      </c>
      <c r="P3103" t="inlineStr">
        <is>
          <t>CORPORATE TRAVELER</t>
        </is>
      </c>
      <c r="Q3103" s="112" t="n">
        <v>0</v>
      </c>
      <c r="R3103" s="112" t="n">
        <v>4.23</v>
      </c>
      <c r="S3103" s="112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D3104" t="inlineStr"/>
      <c r="E3104" t="inlineStr">
        <is>
          <t>OC</t>
        </is>
      </c>
      <c r="F3104" t="inlineStr"/>
      <c r="G3104" s="126" t="inlineStr"/>
      <c r="H3104" s="125" t="n">
        <v>46149</v>
      </c>
      <c r="I3104" t="inlineStr"/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N3104" t="inlineStr"/>
      <c r="O3104" t="inlineStr">
        <is>
          <t>20542</t>
        </is>
      </c>
      <c r="P3104" t="inlineStr">
        <is>
          <t>CORPORATE TRAVELER</t>
        </is>
      </c>
      <c r="Q3104" s="112" t="n">
        <v>0</v>
      </c>
      <c r="R3104" s="112" t="n">
        <v>823.34</v>
      </c>
      <c r="S3104" s="112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D3105" t="inlineStr"/>
      <c r="E3105" t="inlineStr">
        <is>
          <t>OC</t>
        </is>
      </c>
      <c r="F3105" t="inlineStr"/>
      <c r="G3105" s="126" t="inlineStr"/>
      <c r="H3105" s="125" t="n">
        <v>46149</v>
      </c>
      <c r="I3105" t="inlineStr"/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N3105" t="inlineStr"/>
      <c r="O3105" t="inlineStr">
        <is>
          <t>20542</t>
        </is>
      </c>
      <c r="P3105" t="inlineStr">
        <is>
          <t>CORPORATE TRAVELER</t>
        </is>
      </c>
      <c r="Q3105" s="112" t="n">
        <v>0</v>
      </c>
      <c r="R3105" s="112" t="n">
        <v>10</v>
      </c>
      <c r="S3105" s="112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D3106" t="inlineStr"/>
      <c r="E3106" t="inlineStr">
        <is>
          <t>OC</t>
        </is>
      </c>
      <c r="F3106" t="inlineStr"/>
      <c r="G3106" s="126" t="inlineStr"/>
      <c r="H3106" s="125" t="n">
        <v>46149</v>
      </c>
      <c r="I3106" t="inlineStr"/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N3106" t="inlineStr"/>
      <c r="O3106" t="inlineStr">
        <is>
          <t>20542</t>
        </is>
      </c>
      <c r="P3106" t="inlineStr">
        <is>
          <t>CORPORATE TRAVELER</t>
        </is>
      </c>
      <c r="Q3106" s="112" t="n">
        <v>0</v>
      </c>
      <c r="R3106" s="112" t="n">
        <v>20</v>
      </c>
      <c r="S3106" s="112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D3107" t="inlineStr"/>
      <c r="E3107" t="inlineStr">
        <is>
          <t>OC</t>
        </is>
      </c>
      <c r="F3107" t="inlineStr"/>
      <c r="G3107" s="126" t="inlineStr"/>
      <c r="H3107" s="125" t="n">
        <v>46149</v>
      </c>
      <c r="I3107" t="inlineStr"/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N3107" t="inlineStr"/>
      <c r="O3107" t="inlineStr">
        <is>
          <t>20542</t>
        </is>
      </c>
      <c r="P3107" t="inlineStr">
        <is>
          <t>CORPORATE TRAVELER</t>
        </is>
      </c>
      <c r="Q3107" s="112" t="n">
        <v>0</v>
      </c>
      <c r="R3107" s="112" t="n">
        <v>10</v>
      </c>
      <c r="S3107" s="112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D3108" t="inlineStr"/>
      <c r="E3108" t="inlineStr">
        <is>
          <t>OC</t>
        </is>
      </c>
      <c r="F3108" t="inlineStr"/>
      <c r="G3108" s="126" t="inlineStr"/>
      <c r="H3108" s="125" t="n">
        <v>46149</v>
      </c>
      <c r="I3108" t="inlineStr"/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N3108" t="inlineStr"/>
      <c r="O3108" t="inlineStr">
        <is>
          <t>20542</t>
        </is>
      </c>
      <c r="P3108" t="inlineStr">
        <is>
          <t>CORPORATE TRAVELER</t>
        </is>
      </c>
      <c r="Q3108" s="112" t="n">
        <v>0</v>
      </c>
      <c r="R3108" s="112" t="n">
        <v>20</v>
      </c>
      <c r="S3108" s="112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D3109" t="inlineStr"/>
      <c r="E3109" t="inlineStr">
        <is>
          <t>OC</t>
        </is>
      </c>
      <c r="F3109" t="inlineStr"/>
      <c r="G3109" s="126" t="inlineStr"/>
      <c r="H3109" s="125" t="n">
        <v>46147</v>
      </c>
      <c r="I3109" t="inlineStr"/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N3109" t="inlineStr"/>
      <c r="O3109" t="inlineStr">
        <is>
          <t>18873</t>
        </is>
      </c>
      <c r="P3109" t="inlineStr">
        <is>
          <t>EAN SERVICES, LLC</t>
        </is>
      </c>
      <c r="Q3109" s="112" t="n">
        <v>0</v>
      </c>
      <c r="R3109" s="112" t="n">
        <v>369.15</v>
      </c>
      <c r="S3109" s="112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D3110" t="inlineStr"/>
      <c r="E3110" t="inlineStr">
        <is>
          <t>OC</t>
        </is>
      </c>
      <c r="F3110" t="inlineStr"/>
      <c r="G3110" s="126" t="inlineStr"/>
      <c r="H3110" s="125" t="n">
        <v>46147</v>
      </c>
      <c r="I3110" t="inlineStr"/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N3110" t="inlineStr"/>
      <c r="O3110" t="inlineStr">
        <is>
          <t>18873</t>
        </is>
      </c>
      <c r="P3110" t="inlineStr">
        <is>
          <t>EAN SERVICES, LLC</t>
        </is>
      </c>
      <c r="Q3110" s="112" t="n">
        <v>0</v>
      </c>
      <c r="R3110" s="112" t="n">
        <v>283.63</v>
      </c>
      <c r="S3110" s="112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D3111" t="inlineStr"/>
      <c r="E3111" t="inlineStr">
        <is>
          <t>OC</t>
        </is>
      </c>
      <c r="F3111" t="inlineStr"/>
      <c r="G3111" s="126" t="inlineStr"/>
      <c r="H3111" s="125" t="n">
        <v>46147</v>
      </c>
      <c r="I3111" t="inlineStr"/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N3111" t="inlineStr"/>
      <c r="O3111" t="inlineStr">
        <is>
          <t>2300</t>
        </is>
      </c>
      <c r="P3111" t="inlineStr"/>
      <c r="Q3111" s="112" t="n">
        <v>0</v>
      </c>
      <c r="R3111" s="112" t="n">
        <v>10.95</v>
      </c>
      <c r="S3111" s="112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D3112" t="inlineStr"/>
      <c r="E3112" t="inlineStr">
        <is>
          <t>OC</t>
        </is>
      </c>
      <c r="F3112" t="inlineStr"/>
      <c r="G3112" s="126" t="inlineStr"/>
      <c r="H3112" s="125" t="n">
        <v>46147</v>
      </c>
      <c r="I3112" t="inlineStr"/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N3112" t="inlineStr"/>
      <c r="O3112" t="inlineStr">
        <is>
          <t>2300</t>
        </is>
      </c>
      <c r="P3112" t="inlineStr"/>
      <c r="Q3112" s="112" t="n">
        <v>0</v>
      </c>
      <c r="R3112" s="112" t="n">
        <v>55.96</v>
      </c>
      <c r="S3112" s="112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D3113" t="inlineStr"/>
      <c r="E3113" t="inlineStr">
        <is>
          <t>OC</t>
        </is>
      </c>
      <c r="F3113" t="inlineStr"/>
      <c r="G3113" s="126" t="inlineStr"/>
      <c r="H3113" s="125" t="n">
        <v>46149</v>
      </c>
      <c r="I3113" t="inlineStr"/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N3113" t="inlineStr"/>
      <c r="O3113" t="inlineStr">
        <is>
          <t>20542</t>
        </is>
      </c>
      <c r="P3113" t="inlineStr">
        <is>
          <t>CORPORATE TRAVELER</t>
        </is>
      </c>
      <c r="Q3113" s="112" t="n">
        <v>0</v>
      </c>
      <c r="R3113" s="112" t="n">
        <v>20</v>
      </c>
      <c r="S3113" s="112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D3114" t="inlineStr"/>
      <c r="E3114" t="inlineStr">
        <is>
          <t>OC</t>
        </is>
      </c>
      <c r="F3114" t="inlineStr"/>
      <c r="G3114" s="126" t="inlineStr"/>
      <c r="H3114" s="125" t="n">
        <v>46149</v>
      </c>
      <c r="I3114" t="inlineStr"/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N3114" t="inlineStr"/>
      <c r="O3114" t="inlineStr">
        <is>
          <t>20542</t>
        </is>
      </c>
      <c r="P3114" t="inlineStr">
        <is>
          <t>CORPORATE TRAVELER</t>
        </is>
      </c>
      <c r="Q3114" s="112" t="n">
        <v>0</v>
      </c>
      <c r="R3114" s="112" t="n">
        <v>0.1</v>
      </c>
      <c r="S3114" s="112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D3115" t="inlineStr"/>
      <c r="E3115" t="inlineStr">
        <is>
          <t>OC</t>
        </is>
      </c>
      <c r="F3115" t="inlineStr"/>
      <c r="G3115" s="126" t="inlineStr"/>
      <c r="H3115" s="125" t="n">
        <v>46149</v>
      </c>
      <c r="I3115" t="inlineStr"/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N3115" t="inlineStr"/>
      <c r="O3115" t="inlineStr">
        <is>
          <t>20542</t>
        </is>
      </c>
      <c r="P3115" t="inlineStr">
        <is>
          <t>CORPORATE TRAVELER</t>
        </is>
      </c>
      <c r="Q3115" s="112" t="n">
        <v>0</v>
      </c>
      <c r="R3115" s="112" t="n">
        <v>7.78</v>
      </c>
      <c r="S3115" s="112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D3116" t="inlineStr"/>
      <c r="E3116" t="inlineStr">
        <is>
          <t>OC</t>
        </is>
      </c>
      <c r="F3116" t="inlineStr"/>
      <c r="G3116" s="126" t="inlineStr"/>
      <c r="H3116" s="125" t="n">
        <v>46149</v>
      </c>
      <c r="I3116" t="inlineStr"/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N3116" t="inlineStr"/>
      <c r="O3116" t="inlineStr">
        <is>
          <t>20542</t>
        </is>
      </c>
      <c r="P3116" t="inlineStr">
        <is>
          <t>CORPORATE TRAVELER</t>
        </is>
      </c>
      <c r="Q3116" s="112" t="n">
        <v>0</v>
      </c>
      <c r="R3116" s="112" t="n">
        <v>-1011.44</v>
      </c>
      <c r="S3116" s="112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D3117" t="inlineStr"/>
      <c r="E3117" t="inlineStr">
        <is>
          <t>OC</t>
        </is>
      </c>
      <c r="F3117" t="inlineStr"/>
      <c r="G3117" s="126" t="inlineStr"/>
      <c r="H3117" s="125" t="n">
        <v>46149</v>
      </c>
      <c r="I3117" t="inlineStr"/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N3117" t="inlineStr"/>
      <c r="O3117" t="inlineStr">
        <is>
          <t>20542</t>
        </is>
      </c>
      <c r="P3117" t="inlineStr">
        <is>
          <t>CORPORATE TRAVELER</t>
        </is>
      </c>
      <c r="Q3117" s="112" t="n">
        <v>0</v>
      </c>
      <c r="R3117" s="112" t="n">
        <v>-5.06</v>
      </c>
      <c r="S3117" s="112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D3118" t="inlineStr"/>
      <c r="E3118" t="inlineStr">
        <is>
          <t>OC</t>
        </is>
      </c>
      <c r="F3118" t="inlineStr"/>
      <c r="G3118" s="126" t="inlineStr"/>
      <c r="H3118" s="125" t="n">
        <v>46149</v>
      </c>
      <c r="I3118" t="inlineStr"/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N3118" t="inlineStr"/>
      <c r="O3118" t="inlineStr">
        <is>
          <t>20542</t>
        </is>
      </c>
      <c r="P3118" t="inlineStr">
        <is>
          <t>CORPORATE TRAVELER</t>
        </is>
      </c>
      <c r="Q3118" s="112" t="n">
        <v>0</v>
      </c>
      <c r="R3118" s="112" t="n">
        <v>4.27</v>
      </c>
      <c r="S3118" s="112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D3119" t="inlineStr"/>
      <c r="E3119" t="inlineStr">
        <is>
          <t>OC</t>
        </is>
      </c>
      <c r="F3119" t="inlineStr"/>
      <c r="G3119" s="126" t="inlineStr"/>
      <c r="H3119" s="125" t="n">
        <v>46149</v>
      </c>
      <c r="I3119" t="inlineStr"/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N3119" t="inlineStr"/>
      <c r="O3119" t="inlineStr">
        <is>
          <t>20542</t>
        </is>
      </c>
      <c r="P3119" t="inlineStr">
        <is>
          <t>CORPORATE TRAVELER</t>
        </is>
      </c>
      <c r="Q3119" s="112" t="n">
        <v>0</v>
      </c>
      <c r="R3119" s="112" t="n">
        <v>158.25</v>
      </c>
      <c r="S3119" s="112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D3120" t="inlineStr"/>
      <c r="E3120" t="inlineStr">
        <is>
          <t>OC</t>
        </is>
      </c>
      <c r="F3120" t="inlineStr"/>
      <c r="G3120" s="126" t="inlineStr"/>
      <c r="H3120" s="125" t="n">
        <v>46149</v>
      </c>
      <c r="I3120" t="inlineStr"/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N3120" t="inlineStr"/>
      <c r="O3120" t="inlineStr">
        <is>
          <t>20542</t>
        </is>
      </c>
      <c r="P3120" t="inlineStr">
        <is>
          <t>CORPORATE TRAVELER</t>
        </is>
      </c>
      <c r="Q3120" s="112" t="n">
        <v>0</v>
      </c>
      <c r="R3120" s="112" t="n">
        <v>0.79</v>
      </c>
      <c r="S3120" s="112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D3121" t="inlineStr"/>
      <c r="E3121" t="inlineStr">
        <is>
          <t>OC</t>
        </is>
      </c>
      <c r="F3121" t="inlineStr"/>
      <c r="G3121" s="126" t="inlineStr"/>
      <c r="H3121" s="125" t="n">
        <v>46149</v>
      </c>
      <c r="I3121" t="inlineStr"/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N3121" t="inlineStr"/>
      <c r="O3121" t="inlineStr">
        <is>
          <t>20542</t>
        </is>
      </c>
      <c r="P3121" t="inlineStr">
        <is>
          <t>CORPORATE TRAVELER</t>
        </is>
      </c>
      <c r="Q3121" s="112" t="n">
        <v>0</v>
      </c>
      <c r="R3121" s="112" t="n">
        <v>1526.4</v>
      </c>
      <c r="S3121" s="112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D3122" t="inlineStr"/>
      <c r="E3122" t="inlineStr">
        <is>
          <t>OC</t>
        </is>
      </c>
      <c r="F3122" t="inlineStr"/>
      <c r="G3122" s="126" t="inlineStr"/>
      <c r="H3122" s="125" t="n">
        <v>46149</v>
      </c>
      <c r="I3122" t="inlineStr"/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N3122" t="inlineStr"/>
      <c r="O3122" t="inlineStr">
        <is>
          <t>20542</t>
        </is>
      </c>
      <c r="P3122" t="inlineStr">
        <is>
          <t>CORPORATE TRAVELER</t>
        </is>
      </c>
      <c r="Q3122" s="112" t="n">
        <v>0</v>
      </c>
      <c r="R3122" s="112" t="n">
        <v>10</v>
      </c>
      <c r="S3122" s="112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D3123" t="inlineStr"/>
      <c r="E3123" t="inlineStr">
        <is>
          <t>OC</t>
        </is>
      </c>
      <c r="F3123" t="inlineStr"/>
      <c r="G3123" s="126" t="inlineStr"/>
      <c r="H3123" s="125" t="n">
        <v>46149</v>
      </c>
      <c r="I3123" t="inlineStr"/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N3123" t="inlineStr"/>
      <c r="O3123" t="inlineStr">
        <is>
          <t>20542</t>
        </is>
      </c>
      <c r="P3123" t="inlineStr">
        <is>
          <t>CORPORATE TRAVELER</t>
        </is>
      </c>
      <c r="Q3123" s="112" t="n">
        <v>0</v>
      </c>
      <c r="R3123" s="112" t="n">
        <v>3.61</v>
      </c>
      <c r="S3123" s="112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D3124" t="inlineStr"/>
      <c r="E3124" t="inlineStr">
        <is>
          <t>OC</t>
        </is>
      </c>
      <c r="F3124" t="inlineStr"/>
      <c r="G3124" s="126" t="inlineStr"/>
      <c r="H3124" s="125" t="n">
        <v>46149</v>
      </c>
      <c r="I3124" t="inlineStr"/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N3124" t="inlineStr"/>
      <c r="O3124" t="inlineStr">
        <is>
          <t>20542</t>
        </is>
      </c>
      <c r="P3124" t="inlineStr">
        <is>
          <t>CORPORATE TRAVELER</t>
        </is>
      </c>
      <c r="Q3124" s="112" t="n">
        <v>0</v>
      </c>
      <c r="R3124" s="112" t="n">
        <v>20</v>
      </c>
      <c r="S3124" s="112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D3125" t="inlineStr"/>
      <c r="E3125" t="inlineStr">
        <is>
          <t>OC</t>
        </is>
      </c>
      <c r="F3125" t="inlineStr"/>
      <c r="G3125" s="126" t="inlineStr"/>
      <c r="H3125" s="125" t="n">
        <v>46149</v>
      </c>
      <c r="I3125" t="inlineStr"/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N3125" t="inlineStr"/>
      <c r="O3125" t="inlineStr">
        <is>
          <t>20542</t>
        </is>
      </c>
      <c r="P3125" t="inlineStr">
        <is>
          <t>CORPORATE TRAVELER</t>
        </is>
      </c>
      <c r="Q3125" s="112" t="n">
        <v>0</v>
      </c>
      <c r="R3125" s="112" t="n">
        <v>10</v>
      </c>
      <c r="S3125" s="112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D3126" t="inlineStr"/>
      <c r="E3126" t="inlineStr">
        <is>
          <t>OC</t>
        </is>
      </c>
      <c r="F3126" t="inlineStr"/>
      <c r="G3126" s="126" t="inlineStr"/>
      <c r="H3126" s="125" t="n">
        <v>46149</v>
      </c>
      <c r="I3126" t="inlineStr"/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N3126" t="inlineStr"/>
      <c r="O3126" t="inlineStr">
        <is>
          <t>20542</t>
        </is>
      </c>
      <c r="P3126" t="inlineStr">
        <is>
          <t>CORPORATE TRAVELER</t>
        </is>
      </c>
      <c r="Q3126" s="112" t="n">
        <v>0</v>
      </c>
      <c r="R3126" s="112" t="n">
        <v>0.1</v>
      </c>
      <c r="S3126" s="112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D3127" t="inlineStr"/>
      <c r="E3127" t="inlineStr">
        <is>
          <t>OC</t>
        </is>
      </c>
      <c r="F3127" t="inlineStr"/>
      <c r="G3127" s="126" t="inlineStr"/>
      <c r="H3127" s="125" t="n">
        <v>46149</v>
      </c>
      <c r="I3127" t="inlineStr"/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N3127" t="inlineStr"/>
      <c r="O3127" t="inlineStr">
        <is>
          <t>20542</t>
        </is>
      </c>
      <c r="P3127" t="inlineStr">
        <is>
          <t>CORPORATE TRAVELER</t>
        </is>
      </c>
      <c r="Q3127" s="112" t="n">
        <v>0</v>
      </c>
      <c r="R3127" s="112" t="n">
        <v>711</v>
      </c>
      <c r="S3127" s="112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D3128" t="inlineStr"/>
      <c r="E3128" t="inlineStr">
        <is>
          <t>OC</t>
        </is>
      </c>
      <c r="F3128" t="inlineStr"/>
      <c r="G3128" s="126" t="inlineStr"/>
      <c r="H3128" s="125" t="n">
        <v>46149</v>
      </c>
      <c r="I3128" t="inlineStr"/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N3128" t="inlineStr"/>
      <c r="O3128" t="inlineStr">
        <is>
          <t>20542</t>
        </is>
      </c>
      <c r="P3128" t="inlineStr">
        <is>
          <t>CORPORATE TRAVELER</t>
        </is>
      </c>
      <c r="Q3128" s="112" t="n">
        <v>0</v>
      </c>
      <c r="R3128" s="112" t="n">
        <v>0.1</v>
      </c>
      <c r="S3128" s="112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D3129" t="inlineStr"/>
      <c r="E3129" t="inlineStr">
        <is>
          <t>OC</t>
        </is>
      </c>
      <c r="F3129" t="inlineStr"/>
      <c r="G3129" s="126" t="inlineStr"/>
      <c r="H3129" s="125" t="n">
        <v>46149</v>
      </c>
      <c r="I3129" t="inlineStr"/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N3129" t="inlineStr"/>
      <c r="O3129" t="inlineStr">
        <is>
          <t>20542</t>
        </is>
      </c>
      <c r="P3129" t="inlineStr">
        <is>
          <t>CORPORATE TRAVELER</t>
        </is>
      </c>
      <c r="Q3129" s="112" t="n">
        <v>0</v>
      </c>
      <c r="R3129" s="112" t="n">
        <v>20</v>
      </c>
      <c r="S3129" s="112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D3130" t="inlineStr"/>
      <c r="E3130" t="inlineStr">
        <is>
          <t>OC</t>
        </is>
      </c>
      <c r="F3130" t="inlineStr"/>
      <c r="G3130" s="126" t="inlineStr"/>
      <c r="H3130" s="125" t="n">
        <v>46149</v>
      </c>
      <c r="I3130" t="inlineStr"/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N3130" t="inlineStr"/>
      <c r="O3130" t="inlineStr">
        <is>
          <t>20542</t>
        </is>
      </c>
      <c r="P3130" t="inlineStr">
        <is>
          <t>CORPORATE TRAVELER</t>
        </is>
      </c>
      <c r="Q3130" s="112" t="n">
        <v>0</v>
      </c>
      <c r="R3130" s="112" t="n">
        <v>0.1</v>
      </c>
      <c r="S3130" s="112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D3131" t="inlineStr"/>
      <c r="E3131" t="inlineStr">
        <is>
          <t>OC</t>
        </is>
      </c>
      <c r="F3131" t="inlineStr"/>
      <c r="G3131" s="126" t="inlineStr"/>
      <c r="H3131" s="125" t="n">
        <v>46149</v>
      </c>
      <c r="I3131" t="inlineStr"/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N3131" t="inlineStr"/>
      <c r="O3131" t="inlineStr">
        <is>
          <t>20542</t>
        </is>
      </c>
      <c r="P3131" t="inlineStr">
        <is>
          <t>CORPORATE TRAVELER</t>
        </is>
      </c>
      <c r="Q3131" s="112" t="n">
        <v>0</v>
      </c>
      <c r="R3131" s="112" t="n">
        <v>20</v>
      </c>
      <c r="S3131" s="112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D3132" t="inlineStr"/>
      <c r="E3132" t="inlineStr">
        <is>
          <t>OC</t>
        </is>
      </c>
      <c r="F3132" t="inlineStr"/>
      <c r="G3132" s="126" t="inlineStr"/>
      <c r="H3132" s="125" t="n">
        <v>46149</v>
      </c>
      <c r="I3132" t="inlineStr"/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N3132" t="inlineStr"/>
      <c r="O3132" t="inlineStr">
        <is>
          <t>20542</t>
        </is>
      </c>
      <c r="P3132" t="inlineStr">
        <is>
          <t>CORPORATE TRAVELER</t>
        </is>
      </c>
      <c r="Q3132" s="112" t="n">
        <v>0</v>
      </c>
      <c r="R3132" s="112" t="n">
        <v>0.1</v>
      </c>
      <c r="S3132" s="112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D3133" t="inlineStr"/>
      <c r="E3133" t="inlineStr">
        <is>
          <t>OC</t>
        </is>
      </c>
      <c r="F3133" t="inlineStr"/>
      <c r="G3133" s="126" t="inlineStr"/>
      <c r="H3133" s="125" t="n">
        <v>46149</v>
      </c>
      <c r="I3133" t="inlineStr"/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N3133" t="inlineStr"/>
      <c r="O3133" t="inlineStr">
        <is>
          <t>20542</t>
        </is>
      </c>
      <c r="P3133" t="inlineStr">
        <is>
          <t>CORPORATE TRAVELER</t>
        </is>
      </c>
      <c r="Q3133" s="112" t="n">
        <v>0</v>
      </c>
      <c r="R3133" s="112" t="n">
        <v>20</v>
      </c>
      <c r="S3133" s="112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D3134" t="inlineStr"/>
      <c r="E3134" t="inlineStr">
        <is>
          <t>OC</t>
        </is>
      </c>
      <c r="F3134" t="inlineStr"/>
      <c r="G3134" s="126" t="inlineStr"/>
      <c r="H3134" s="125" t="n">
        <v>46149</v>
      </c>
      <c r="I3134" t="inlineStr"/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N3134" t="inlineStr"/>
      <c r="O3134" t="inlineStr">
        <is>
          <t>20542</t>
        </is>
      </c>
      <c r="P3134" t="inlineStr">
        <is>
          <t>CORPORATE TRAVELER</t>
        </is>
      </c>
      <c r="Q3134" s="112" t="n">
        <v>0</v>
      </c>
      <c r="R3134" s="112" t="n">
        <v>20</v>
      </c>
      <c r="S3134" s="112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D3135" t="inlineStr"/>
      <c r="E3135" t="inlineStr">
        <is>
          <t>OC</t>
        </is>
      </c>
      <c r="F3135" t="inlineStr"/>
      <c r="G3135" s="126" t="inlineStr"/>
      <c r="H3135" s="125" t="n">
        <v>46149</v>
      </c>
      <c r="I3135" t="inlineStr"/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N3135" t="inlineStr"/>
      <c r="O3135" t="inlineStr">
        <is>
          <t>20542</t>
        </is>
      </c>
      <c r="P3135" t="inlineStr">
        <is>
          <t>CORPORATE TRAVELER</t>
        </is>
      </c>
      <c r="Q3135" s="112" t="n">
        <v>0</v>
      </c>
      <c r="R3135" s="112" t="n">
        <v>20</v>
      </c>
      <c r="S3135" s="112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D3136" t="inlineStr"/>
      <c r="E3136" t="inlineStr">
        <is>
          <t>OC</t>
        </is>
      </c>
      <c r="F3136" t="inlineStr"/>
      <c r="G3136" s="126" t="inlineStr"/>
      <c r="H3136" s="125" t="n">
        <v>46149</v>
      </c>
      <c r="I3136" t="inlineStr"/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N3136" t="inlineStr"/>
      <c r="O3136" t="inlineStr">
        <is>
          <t>20542</t>
        </is>
      </c>
      <c r="P3136" t="inlineStr">
        <is>
          <t>CORPORATE TRAVELER</t>
        </is>
      </c>
      <c r="Q3136" s="112" t="n">
        <v>0</v>
      </c>
      <c r="R3136" s="112" t="n">
        <v>0.1</v>
      </c>
      <c r="S3136" s="112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D3137" t="inlineStr"/>
      <c r="E3137" t="inlineStr">
        <is>
          <t>OC</t>
        </is>
      </c>
      <c r="F3137" t="inlineStr"/>
      <c r="G3137" s="126" t="inlineStr"/>
      <c r="H3137" s="125" t="n">
        <v>46149</v>
      </c>
      <c r="I3137" t="inlineStr"/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N3137" t="inlineStr"/>
      <c r="O3137" t="inlineStr">
        <is>
          <t>20542</t>
        </is>
      </c>
      <c r="P3137" t="inlineStr">
        <is>
          <t>CORPORATE TRAVELER</t>
        </is>
      </c>
      <c r="Q3137" s="112" t="n">
        <v>0</v>
      </c>
      <c r="R3137" s="112" t="n">
        <v>1.55</v>
      </c>
      <c r="S3137" s="112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D3138" t="inlineStr"/>
      <c r="E3138" t="inlineStr">
        <is>
          <t>OC</t>
        </is>
      </c>
      <c r="F3138" t="inlineStr"/>
      <c r="G3138" s="126" t="inlineStr"/>
      <c r="H3138" s="125" t="n">
        <v>46149</v>
      </c>
      <c r="I3138" t="inlineStr"/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N3138" t="inlineStr"/>
      <c r="O3138" t="inlineStr">
        <is>
          <t>20542</t>
        </is>
      </c>
      <c r="P3138" t="inlineStr">
        <is>
          <t>CORPORATE TRAVELER</t>
        </is>
      </c>
      <c r="Q3138" s="112" t="n">
        <v>0</v>
      </c>
      <c r="R3138" s="112" t="n">
        <v>310.21</v>
      </c>
      <c r="S3138" s="112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D3139" t="inlineStr"/>
      <c r="E3139" t="inlineStr">
        <is>
          <t>OC</t>
        </is>
      </c>
      <c r="F3139" t="inlineStr"/>
      <c r="G3139" s="126" t="inlineStr"/>
      <c r="H3139" s="125" t="n">
        <v>46149</v>
      </c>
      <c r="I3139" t="inlineStr"/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N3139" t="inlineStr"/>
      <c r="O3139" t="inlineStr">
        <is>
          <t>20542</t>
        </is>
      </c>
      <c r="P3139" t="inlineStr">
        <is>
          <t>CORPORATE TRAVELER</t>
        </is>
      </c>
      <c r="Q3139" s="112" t="n">
        <v>0</v>
      </c>
      <c r="R3139" s="112" t="n">
        <v>20</v>
      </c>
      <c r="S3139" s="112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D3140" t="inlineStr"/>
      <c r="E3140" t="inlineStr">
        <is>
          <t>OC</t>
        </is>
      </c>
      <c r="F3140" t="inlineStr"/>
      <c r="G3140" s="126" t="inlineStr"/>
      <c r="H3140" s="125" t="n">
        <v>46156</v>
      </c>
      <c r="I3140" t="inlineStr"/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N3140" t="inlineStr"/>
      <c r="O3140" t="inlineStr">
        <is>
          <t>21107</t>
        </is>
      </c>
      <c r="P3140" t="inlineStr">
        <is>
          <t>WARE, PHILLIP R.</t>
        </is>
      </c>
      <c r="Q3140" s="112" t="n">
        <v>0</v>
      </c>
      <c r="R3140" s="112" t="n">
        <v>168.87</v>
      </c>
      <c r="S3140" s="112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D3141" t="inlineStr"/>
      <c r="E3141" t="inlineStr">
        <is>
          <t>OC</t>
        </is>
      </c>
      <c r="F3141" t="inlineStr"/>
      <c r="G3141" s="126" t="inlineStr"/>
      <c r="H3141" s="125" t="n">
        <v>46156</v>
      </c>
      <c r="I3141" t="inlineStr"/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N3141" t="inlineStr"/>
      <c r="O3141" t="inlineStr">
        <is>
          <t>21107</t>
        </is>
      </c>
      <c r="P3141" t="inlineStr">
        <is>
          <t>WARE, PHILLIP R.</t>
        </is>
      </c>
      <c r="Q3141" s="112" t="n">
        <v>0</v>
      </c>
      <c r="R3141" s="112" t="n">
        <v>214.38</v>
      </c>
      <c r="S3141" s="112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D3142" t="inlineStr"/>
      <c r="E3142" t="inlineStr">
        <is>
          <t>OC</t>
        </is>
      </c>
      <c r="F3142" t="inlineStr"/>
      <c r="G3142" s="126" t="inlineStr"/>
      <c r="H3142" s="125" t="n">
        <v>46156</v>
      </c>
      <c r="I3142" t="inlineStr"/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N3142" t="inlineStr"/>
      <c r="O3142" t="inlineStr">
        <is>
          <t>20542</t>
        </is>
      </c>
      <c r="P3142" t="inlineStr">
        <is>
          <t>CORPORATE TRAVELER</t>
        </is>
      </c>
      <c r="Q3142" s="112" t="n">
        <v>0</v>
      </c>
      <c r="R3142" s="112" t="n">
        <v>5.77</v>
      </c>
      <c r="S3142" s="112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D3143" t="inlineStr"/>
      <c r="E3143" t="inlineStr">
        <is>
          <t>OC</t>
        </is>
      </c>
      <c r="F3143" t="inlineStr"/>
      <c r="G3143" s="126" t="inlineStr"/>
      <c r="H3143" s="125" t="n">
        <v>46156</v>
      </c>
      <c r="I3143" t="inlineStr"/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N3143" t="inlineStr"/>
      <c r="O3143" t="inlineStr">
        <is>
          <t>20542</t>
        </is>
      </c>
      <c r="P3143" t="inlineStr">
        <is>
          <t>CORPORATE TRAVELER</t>
        </is>
      </c>
      <c r="Q3143" s="112" t="n">
        <v>0</v>
      </c>
      <c r="R3143" s="112" t="n">
        <v>20</v>
      </c>
      <c r="S3143" s="112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D3144" t="inlineStr"/>
      <c r="E3144" t="inlineStr">
        <is>
          <t>OC</t>
        </is>
      </c>
      <c r="F3144" t="inlineStr"/>
      <c r="G3144" s="126" t="inlineStr"/>
      <c r="H3144" s="125" t="n">
        <v>46156</v>
      </c>
      <c r="I3144" t="inlineStr"/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N3144" t="inlineStr"/>
      <c r="O3144" t="inlineStr">
        <is>
          <t>20542</t>
        </is>
      </c>
      <c r="P3144" t="inlineStr">
        <is>
          <t>CORPORATE TRAVELER</t>
        </is>
      </c>
      <c r="Q3144" s="112" t="n">
        <v>0</v>
      </c>
      <c r="R3144" s="112" t="n">
        <v>362.43</v>
      </c>
      <c r="S3144" s="112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D3145" t="inlineStr"/>
      <c r="E3145" t="inlineStr">
        <is>
          <t>OC</t>
        </is>
      </c>
      <c r="F3145" t="inlineStr"/>
      <c r="G3145" s="126" t="inlineStr"/>
      <c r="H3145" s="125" t="n">
        <v>46161</v>
      </c>
      <c r="I3145" t="inlineStr"/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N3145" t="inlineStr"/>
      <c r="O3145" t="inlineStr">
        <is>
          <t>20542</t>
        </is>
      </c>
      <c r="P3145" t="inlineStr">
        <is>
          <t>CORPORATE TRAVELER</t>
        </is>
      </c>
      <c r="Q3145" s="112" t="n">
        <v>0</v>
      </c>
      <c r="R3145" s="112" t="n">
        <v>427.46</v>
      </c>
      <c r="S3145" s="112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D3146" t="inlineStr"/>
      <c r="E3146" t="inlineStr">
        <is>
          <t>OC</t>
        </is>
      </c>
      <c r="F3146" t="inlineStr"/>
      <c r="G3146" s="126" t="inlineStr"/>
      <c r="H3146" s="125" t="n">
        <v>46161</v>
      </c>
      <c r="I3146" t="inlineStr"/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N3146" t="inlineStr"/>
      <c r="O3146" t="inlineStr">
        <is>
          <t>20542</t>
        </is>
      </c>
      <c r="P3146" t="inlineStr">
        <is>
          <t>CORPORATE TRAVELER</t>
        </is>
      </c>
      <c r="Q3146" s="112" t="n">
        <v>0</v>
      </c>
      <c r="R3146" s="112" t="n">
        <v>1.97</v>
      </c>
      <c r="S3146" s="112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D3147" t="inlineStr"/>
      <c r="E3147" t="inlineStr">
        <is>
          <t>OC</t>
        </is>
      </c>
      <c r="F3147" t="inlineStr"/>
      <c r="G3147" s="126" t="inlineStr"/>
      <c r="H3147" s="125" t="n">
        <v>46161</v>
      </c>
      <c r="I3147" t="inlineStr"/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N3147" t="inlineStr"/>
      <c r="O3147" t="inlineStr">
        <is>
          <t>20542</t>
        </is>
      </c>
      <c r="P3147" t="inlineStr">
        <is>
          <t>CORPORATE TRAVELER</t>
        </is>
      </c>
      <c r="Q3147" s="112" t="n">
        <v>0</v>
      </c>
      <c r="R3147" s="112" t="n">
        <v>393.18</v>
      </c>
      <c r="S3147" s="112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D3148" t="inlineStr"/>
      <c r="E3148" t="inlineStr">
        <is>
          <t>OC</t>
        </is>
      </c>
      <c r="F3148" t="inlineStr"/>
      <c r="G3148" s="126" t="inlineStr"/>
      <c r="H3148" s="125" t="n">
        <v>46161</v>
      </c>
      <c r="I3148" t="inlineStr"/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N3148" t="inlineStr"/>
      <c r="O3148" t="inlineStr">
        <is>
          <t>20542</t>
        </is>
      </c>
      <c r="P3148" t="inlineStr">
        <is>
          <t>CORPORATE TRAVELER</t>
        </is>
      </c>
      <c r="Q3148" s="112" t="n">
        <v>0</v>
      </c>
      <c r="R3148" s="112" t="n">
        <v>2.07</v>
      </c>
      <c r="S3148" s="112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D3149" t="inlineStr"/>
      <c r="E3149" t="inlineStr">
        <is>
          <t>OC</t>
        </is>
      </c>
      <c r="F3149" t="inlineStr"/>
      <c r="G3149" s="126" t="inlineStr"/>
      <c r="H3149" s="125" t="n">
        <v>46161</v>
      </c>
      <c r="I3149" t="inlineStr"/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N3149" t="inlineStr"/>
      <c r="O3149" t="inlineStr">
        <is>
          <t>20542</t>
        </is>
      </c>
      <c r="P3149" t="inlineStr">
        <is>
          <t>CORPORATE TRAVELER</t>
        </is>
      </c>
      <c r="Q3149" s="112" t="n">
        <v>0</v>
      </c>
      <c r="R3149" s="112" t="n">
        <v>414.68</v>
      </c>
      <c r="S3149" s="112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D3150" t="inlineStr"/>
      <c r="E3150" t="inlineStr">
        <is>
          <t>OC</t>
        </is>
      </c>
      <c r="F3150" t="inlineStr"/>
      <c r="G3150" s="126" t="inlineStr"/>
      <c r="H3150" s="125" t="n">
        <v>46161</v>
      </c>
      <c r="I3150" t="inlineStr"/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N3150" t="inlineStr"/>
      <c r="O3150" t="inlineStr">
        <is>
          <t>20542</t>
        </is>
      </c>
      <c r="P3150" t="inlineStr">
        <is>
          <t>CORPORATE TRAVELER</t>
        </is>
      </c>
      <c r="Q3150" s="112" t="n">
        <v>0</v>
      </c>
      <c r="R3150" s="112" t="n">
        <v>2.35</v>
      </c>
      <c r="S3150" s="112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D3151" t="inlineStr"/>
      <c r="E3151" t="inlineStr">
        <is>
          <t>OC</t>
        </is>
      </c>
      <c r="F3151" t="inlineStr"/>
      <c r="G3151" s="126" t="inlineStr"/>
      <c r="H3151" s="125" t="n">
        <v>46161</v>
      </c>
      <c r="I3151" t="inlineStr"/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N3151" t="inlineStr"/>
      <c r="O3151" t="inlineStr">
        <is>
          <t>20542</t>
        </is>
      </c>
      <c r="P3151" t="inlineStr">
        <is>
          <t>CORPORATE TRAVELER</t>
        </is>
      </c>
      <c r="Q3151" s="112" t="n">
        <v>0</v>
      </c>
      <c r="R3151" s="112" t="n">
        <v>470.56</v>
      </c>
      <c r="S3151" s="112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D3152" t="inlineStr"/>
      <c r="E3152" t="inlineStr">
        <is>
          <t>OC</t>
        </is>
      </c>
      <c r="F3152" t="inlineStr"/>
      <c r="G3152" s="126" t="inlineStr"/>
      <c r="H3152" s="125" t="n">
        <v>46161</v>
      </c>
      <c r="I3152" t="inlineStr"/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N3152" t="inlineStr"/>
      <c r="O3152" t="inlineStr">
        <is>
          <t>20542</t>
        </is>
      </c>
      <c r="P3152" t="inlineStr">
        <is>
          <t>CORPORATE TRAVELER</t>
        </is>
      </c>
      <c r="Q3152" s="112" t="n">
        <v>0</v>
      </c>
      <c r="R3152" s="112" t="n">
        <v>2.81</v>
      </c>
      <c r="S3152" s="112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D3153" t="inlineStr"/>
      <c r="E3153" t="inlineStr">
        <is>
          <t>OC</t>
        </is>
      </c>
      <c r="F3153" t="inlineStr"/>
      <c r="G3153" s="126" t="inlineStr"/>
      <c r="H3153" s="125" t="n">
        <v>46161</v>
      </c>
      <c r="I3153" t="inlineStr"/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N3153" t="inlineStr"/>
      <c r="O3153" t="inlineStr">
        <is>
          <t>20542</t>
        </is>
      </c>
      <c r="P3153" t="inlineStr">
        <is>
          <t>CORPORATE TRAVELER</t>
        </is>
      </c>
      <c r="Q3153" s="112" t="n">
        <v>0</v>
      </c>
      <c r="R3153" s="112" t="n">
        <v>562.12</v>
      </c>
      <c r="S3153" s="112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D3154" t="inlineStr"/>
      <c r="E3154" t="inlineStr">
        <is>
          <t>OC</t>
        </is>
      </c>
      <c r="F3154" t="inlineStr"/>
      <c r="G3154" s="126" t="inlineStr"/>
      <c r="H3154" s="125" t="n">
        <v>46161</v>
      </c>
      <c r="I3154" t="inlineStr"/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N3154" t="inlineStr"/>
      <c r="O3154" t="inlineStr">
        <is>
          <t>20542</t>
        </is>
      </c>
      <c r="P3154" t="inlineStr">
        <is>
          <t>CORPORATE TRAVELER</t>
        </is>
      </c>
      <c r="Q3154" s="112" t="n">
        <v>0</v>
      </c>
      <c r="R3154" s="112" t="n">
        <v>1.8</v>
      </c>
      <c r="S3154" s="112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D3155" t="inlineStr"/>
      <c r="E3155" t="inlineStr">
        <is>
          <t>OC</t>
        </is>
      </c>
      <c r="F3155" t="inlineStr"/>
      <c r="G3155" s="126" t="inlineStr"/>
      <c r="H3155" s="125" t="n">
        <v>46161</v>
      </c>
      <c r="I3155" t="inlineStr"/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N3155" t="inlineStr"/>
      <c r="O3155" t="inlineStr">
        <is>
          <t>20542</t>
        </is>
      </c>
      <c r="P3155" t="inlineStr">
        <is>
          <t>CORPORATE TRAVELER</t>
        </is>
      </c>
      <c r="Q3155" s="112" t="n">
        <v>0</v>
      </c>
      <c r="R3155" s="112" t="n">
        <v>125.48</v>
      </c>
      <c r="S3155" s="112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D3156" t="inlineStr"/>
      <c r="E3156" t="inlineStr">
        <is>
          <t>OC</t>
        </is>
      </c>
      <c r="F3156" t="inlineStr"/>
      <c r="G3156" s="126" t="inlineStr"/>
      <c r="H3156" s="125" t="n">
        <v>46161</v>
      </c>
      <c r="I3156" t="inlineStr"/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N3156" t="inlineStr"/>
      <c r="O3156" t="inlineStr">
        <is>
          <t>20542</t>
        </is>
      </c>
      <c r="P3156" t="inlineStr">
        <is>
          <t>CORPORATE TRAVELER</t>
        </is>
      </c>
      <c r="Q3156" s="112" t="n">
        <v>0</v>
      </c>
      <c r="R3156" s="112" t="n">
        <v>2.51</v>
      </c>
      <c r="S3156" s="112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D3157" t="inlineStr"/>
      <c r="E3157" t="inlineStr">
        <is>
          <t>OC</t>
        </is>
      </c>
      <c r="F3157" t="inlineStr"/>
      <c r="G3157" s="126" t="inlineStr"/>
      <c r="H3157" s="125" t="n">
        <v>46161</v>
      </c>
      <c r="I3157" t="inlineStr"/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N3157" t="inlineStr"/>
      <c r="O3157" t="inlineStr">
        <is>
          <t>20542</t>
        </is>
      </c>
      <c r="P3157" t="inlineStr">
        <is>
          <t>CORPORATE TRAVELER</t>
        </is>
      </c>
      <c r="Q3157" s="112" t="n">
        <v>0</v>
      </c>
      <c r="R3157" s="112" t="n">
        <v>501.27</v>
      </c>
      <c r="S3157" s="112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D3158" t="inlineStr"/>
      <c r="E3158" t="inlineStr">
        <is>
          <t>OC</t>
        </is>
      </c>
      <c r="F3158" t="inlineStr"/>
      <c r="G3158" s="126" t="inlineStr"/>
      <c r="H3158" s="125" t="n">
        <v>46161</v>
      </c>
      <c r="I3158" t="inlineStr"/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N3158" t="inlineStr"/>
      <c r="O3158" t="inlineStr">
        <is>
          <t>20542</t>
        </is>
      </c>
      <c r="P3158" t="inlineStr">
        <is>
          <t>CORPORATE TRAVELER</t>
        </is>
      </c>
      <c r="Q3158" s="112" t="n">
        <v>0</v>
      </c>
      <c r="R3158" s="112" t="n">
        <v>2.44</v>
      </c>
      <c r="S3158" s="112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D3159" t="inlineStr"/>
      <c r="E3159" t="inlineStr">
        <is>
          <t>OC</t>
        </is>
      </c>
      <c r="F3159" t="inlineStr"/>
      <c r="G3159" s="126" t="inlineStr"/>
      <c r="H3159" s="125" t="n">
        <v>46161</v>
      </c>
      <c r="I3159" t="inlineStr"/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N3159" t="inlineStr"/>
      <c r="O3159" t="inlineStr">
        <is>
          <t>20542</t>
        </is>
      </c>
      <c r="P3159" t="inlineStr">
        <is>
          <t>CORPORATE TRAVELER</t>
        </is>
      </c>
      <c r="Q3159" s="112" t="n">
        <v>0</v>
      </c>
      <c r="R3159" s="112" t="n">
        <v>488.16</v>
      </c>
      <c r="S3159" s="112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D3160" t="inlineStr"/>
      <c r="E3160" t="inlineStr">
        <is>
          <t>OC</t>
        </is>
      </c>
      <c r="F3160" t="inlineStr"/>
      <c r="G3160" s="126" t="inlineStr"/>
      <c r="H3160" s="125" t="n">
        <v>46161</v>
      </c>
      <c r="I3160" t="inlineStr"/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N3160" t="inlineStr"/>
      <c r="O3160" t="inlineStr">
        <is>
          <t>20542</t>
        </is>
      </c>
      <c r="P3160" t="inlineStr">
        <is>
          <t>CORPORATE TRAVELER</t>
        </is>
      </c>
      <c r="Q3160" s="112" t="n">
        <v>0</v>
      </c>
      <c r="R3160" s="112" t="n">
        <v>0.18</v>
      </c>
      <c r="S3160" s="112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D3161" t="inlineStr"/>
      <c r="E3161" t="inlineStr">
        <is>
          <t>OC</t>
        </is>
      </c>
      <c r="F3161" t="inlineStr"/>
      <c r="G3161" s="126" t="inlineStr"/>
      <c r="H3161" s="125" t="n">
        <v>46161</v>
      </c>
      <c r="I3161" t="inlineStr"/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N3161" t="inlineStr"/>
      <c r="O3161" t="inlineStr">
        <is>
          <t>20542</t>
        </is>
      </c>
      <c r="P3161" t="inlineStr">
        <is>
          <t>CORPORATE TRAVELER</t>
        </is>
      </c>
      <c r="Q3161" s="112" t="n">
        <v>0</v>
      </c>
      <c r="R3161" s="112" t="n">
        <v>35</v>
      </c>
      <c r="S3161" s="112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D3162" t="inlineStr"/>
      <c r="E3162" t="inlineStr">
        <is>
          <t>OC</t>
        </is>
      </c>
      <c r="F3162" t="inlineStr"/>
      <c r="G3162" s="126" t="inlineStr"/>
      <c r="H3162" s="125" t="n">
        <v>46161</v>
      </c>
      <c r="I3162" t="inlineStr"/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N3162" t="inlineStr"/>
      <c r="O3162" t="inlineStr">
        <is>
          <t>20542</t>
        </is>
      </c>
      <c r="P3162" t="inlineStr">
        <is>
          <t>CORPORATE TRAVELER</t>
        </is>
      </c>
      <c r="Q3162" s="112" t="n">
        <v>0</v>
      </c>
      <c r="R3162" s="112" t="n">
        <v>0.1</v>
      </c>
      <c r="S3162" s="112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D3163" t="inlineStr"/>
      <c r="E3163" t="inlineStr">
        <is>
          <t>OC</t>
        </is>
      </c>
      <c r="F3163" t="inlineStr"/>
      <c r="G3163" s="126" t="inlineStr"/>
      <c r="H3163" s="125" t="n">
        <v>46161</v>
      </c>
      <c r="I3163" t="inlineStr"/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N3163" t="inlineStr"/>
      <c r="O3163" t="inlineStr">
        <is>
          <t>20542</t>
        </is>
      </c>
      <c r="P3163" t="inlineStr">
        <is>
          <t>CORPORATE TRAVELER</t>
        </is>
      </c>
      <c r="Q3163" s="112" t="n">
        <v>0</v>
      </c>
      <c r="R3163" s="112" t="n">
        <v>20</v>
      </c>
      <c r="S3163" s="112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D3164" t="inlineStr"/>
      <c r="E3164" t="inlineStr">
        <is>
          <t>OC</t>
        </is>
      </c>
      <c r="F3164" t="inlineStr"/>
      <c r="G3164" s="126" t="inlineStr"/>
      <c r="H3164" s="125" t="n">
        <v>46161</v>
      </c>
      <c r="I3164" t="inlineStr"/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N3164" t="inlineStr"/>
      <c r="O3164" t="inlineStr">
        <is>
          <t>20542</t>
        </is>
      </c>
      <c r="P3164" t="inlineStr">
        <is>
          <t>CORPORATE TRAVELER</t>
        </is>
      </c>
      <c r="Q3164" s="112" t="n">
        <v>0</v>
      </c>
      <c r="R3164" s="112" t="n">
        <v>3.97</v>
      </c>
      <c r="S3164" s="112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D3165" t="inlineStr"/>
      <c r="E3165" t="inlineStr">
        <is>
          <t>OC</t>
        </is>
      </c>
      <c r="F3165" t="inlineStr"/>
      <c r="G3165" s="126" t="inlineStr"/>
      <c r="H3165" s="125" t="n">
        <v>46161</v>
      </c>
      <c r="I3165" t="inlineStr"/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N3165" t="inlineStr"/>
      <c r="O3165" t="inlineStr">
        <is>
          <t>19449</t>
        </is>
      </c>
      <c r="P3165" t="inlineStr">
        <is>
          <t>BARTLES, JAMES E.</t>
        </is>
      </c>
      <c r="Q3165" s="112" t="n">
        <v>0</v>
      </c>
      <c r="R3165" s="112" t="n">
        <v>227.2</v>
      </c>
      <c r="S3165" s="112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D3166" t="inlineStr"/>
      <c r="E3166" t="inlineStr">
        <is>
          <t>OC</t>
        </is>
      </c>
      <c r="F3166" t="inlineStr"/>
      <c r="G3166" s="126" t="inlineStr"/>
      <c r="H3166" s="125" t="n">
        <v>46161</v>
      </c>
      <c r="I3166" t="inlineStr"/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N3166" t="inlineStr"/>
      <c r="O3166" t="inlineStr">
        <is>
          <t>21421</t>
        </is>
      </c>
      <c r="P3166" t="inlineStr">
        <is>
          <t>GONZALEZ, ALEXIS P.</t>
        </is>
      </c>
      <c r="Q3166" s="112" t="n">
        <v>0</v>
      </c>
      <c r="R3166" s="112" t="n">
        <v>217.66</v>
      </c>
      <c r="S3166" s="112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D3167" t="inlineStr"/>
      <c r="E3167" t="inlineStr">
        <is>
          <t>LA</t>
        </is>
      </c>
      <c r="F3167" t="inlineStr"/>
      <c r="G3167" s="126" t="inlineStr"/>
      <c r="H3167" s="125" t="n">
        <v>46069</v>
      </c>
      <c r="I3167" t="inlineStr"/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N3167" t="inlineStr"/>
      <c r="O3167" t="inlineStr"/>
      <c r="P3167" t="inlineStr"/>
      <c r="Q3167" s="112" t="n">
        <v>0</v>
      </c>
      <c r="R3167" s="112" t="n">
        <v>555.17</v>
      </c>
      <c r="S3167" s="112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D3168" t="inlineStr"/>
      <c r="E3168" t="inlineStr">
        <is>
          <t>LA</t>
        </is>
      </c>
      <c r="F3168" t="inlineStr"/>
      <c r="G3168" s="126" t="inlineStr"/>
      <c r="H3168" s="125" t="n">
        <v>46069</v>
      </c>
      <c r="I3168" t="inlineStr"/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N3168" t="inlineStr"/>
      <c r="O3168" t="inlineStr"/>
      <c r="P3168" t="inlineStr"/>
      <c r="Q3168" s="112" t="n">
        <v>0</v>
      </c>
      <c r="R3168" s="112" t="n">
        <v>555.17</v>
      </c>
      <c r="S3168" s="112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D3169" t="inlineStr"/>
      <c r="E3169" t="inlineStr">
        <is>
          <t>LA</t>
        </is>
      </c>
      <c r="F3169" t="inlineStr"/>
      <c r="G3169" s="126" t="inlineStr"/>
      <c r="H3169" s="125" t="n">
        <v>46069</v>
      </c>
      <c r="I3169" t="inlineStr"/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N3169" t="inlineStr"/>
      <c r="O3169" t="inlineStr"/>
      <c r="P3169" t="inlineStr"/>
      <c r="Q3169" s="112" t="n">
        <v>0</v>
      </c>
      <c r="R3169" s="112" t="n">
        <v>111.03</v>
      </c>
      <c r="S3169" s="112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D3170" t="inlineStr"/>
      <c r="E3170" t="inlineStr">
        <is>
          <t>LA</t>
        </is>
      </c>
      <c r="F3170" t="inlineStr"/>
      <c r="G3170" s="126" t="inlineStr"/>
      <c r="H3170" s="125" t="n">
        <v>46069</v>
      </c>
      <c r="I3170" t="inlineStr"/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N3170" t="inlineStr"/>
      <c r="O3170" t="inlineStr"/>
      <c r="P3170" t="inlineStr"/>
      <c r="Q3170" s="112" t="n">
        <v>0</v>
      </c>
      <c r="R3170" s="112" t="n">
        <v>888.27</v>
      </c>
      <c r="S3170" s="112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D3171" t="inlineStr"/>
      <c r="E3171" t="inlineStr">
        <is>
          <t>LA</t>
        </is>
      </c>
      <c r="F3171" t="inlineStr"/>
      <c r="G3171" s="126" t="inlineStr"/>
      <c r="H3171" s="125" t="n">
        <v>46069</v>
      </c>
      <c r="I3171" t="inlineStr"/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N3171" t="inlineStr"/>
      <c r="O3171" t="inlineStr"/>
      <c r="P3171" t="inlineStr"/>
      <c r="Q3171" s="112" t="n">
        <v>0</v>
      </c>
      <c r="R3171" s="112" t="n">
        <v>555.22</v>
      </c>
      <c r="S3171" s="112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D3172" t="inlineStr"/>
      <c r="E3172" t="inlineStr">
        <is>
          <t>LA</t>
        </is>
      </c>
      <c r="F3172" t="inlineStr"/>
      <c r="G3172" s="126" t="inlineStr"/>
      <c r="H3172" s="125" t="n">
        <v>46069</v>
      </c>
      <c r="I3172" t="inlineStr"/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N3172" t="inlineStr"/>
      <c r="O3172" t="inlineStr"/>
      <c r="P3172" t="inlineStr"/>
      <c r="Q3172" s="112" t="n">
        <v>0</v>
      </c>
      <c r="R3172" s="112" t="n">
        <v>555.17</v>
      </c>
      <c r="S3172" s="112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D3173" t="inlineStr"/>
      <c r="E3173" t="inlineStr">
        <is>
          <t>LA</t>
        </is>
      </c>
      <c r="F3173" t="inlineStr"/>
      <c r="G3173" s="126" t="inlineStr"/>
      <c r="H3173" s="125" t="n">
        <v>46069</v>
      </c>
      <c r="I3173" t="inlineStr"/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N3173" t="inlineStr"/>
      <c r="O3173" t="inlineStr"/>
      <c r="P3173" t="inlineStr"/>
      <c r="Q3173" s="112" t="n">
        <v>0</v>
      </c>
      <c r="R3173" s="112" t="n">
        <v>555.17</v>
      </c>
      <c r="S3173" s="112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D3174" t="inlineStr"/>
      <c r="E3174" t="inlineStr">
        <is>
          <t>LA</t>
        </is>
      </c>
      <c r="F3174" t="inlineStr"/>
      <c r="G3174" s="126" t="inlineStr"/>
      <c r="H3174" s="125" t="n">
        <v>46055</v>
      </c>
      <c r="I3174" t="inlineStr"/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N3174" t="inlineStr"/>
      <c r="O3174" t="inlineStr"/>
      <c r="P3174" t="inlineStr"/>
      <c r="Q3174" s="112" t="n">
        <v>0</v>
      </c>
      <c r="R3174" s="112" t="n">
        <v>209.46</v>
      </c>
      <c r="S3174" s="112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D3175" t="inlineStr"/>
      <c r="E3175" t="inlineStr">
        <is>
          <t>LA</t>
        </is>
      </c>
      <c r="F3175" t="inlineStr"/>
      <c r="G3175" s="126" t="inlineStr"/>
      <c r="H3175" s="125" t="n">
        <v>46055</v>
      </c>
      <c r="I3175" t="inlineStr"/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N3175" t="inlineStr"/>
      <c r="O3175" t="inlineStr"/>
      <c r="P3175" t="inlineStr"/>
      <c r="Q3175" s="112" t="n">
        <v>0</v>
      </c>
      <c r="R3175" s="112" t="n">
        <v>523.67</v>
      </c>
      <c r="S3175" s="112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D3176" t="inlineStr"/>
      <c r="E3176" t="inlineStr">
        <is>
          <t>LA</t>
        </is>
      </c>
      <c r="F3176" t="inlineStr"/>
      <c r="G3176" s="126" t="inlineStr"/>
      <c r="H3176" s="125" t="n">
        <v>46055</v>
      </c>
      <c r="I3176" t="inlineStr"/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N3176" t="inlineStr"/>
      <c r="O3176" t="inlineStr"/>
      <c r="P3176" t="inlineStr"/>
      <c r="Q3176" s="112" t="n">
        <v>0</v>
      </c>
      <c r="R3176" s="112" t="n">
        <v>418.93</v>
      </c>
      <c r="S3176" s="112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D3177" t="inlineStr"/>
      <c r="E3177" t="inlineStr">
        <is>
          <t>LA</t>
        </is>
      </c>
      <c r="F3177" t="inlineStr"/>
      <c r="G3177" s="126" t="inlineStr"/>
      <c r="H3177" s="125" t="n">
        <v>46083</v>
      </c>
      <c r="I3177" t="inlineStr"/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N3177" t="inlineStr"/>
      <c r="O3177" t="inlineStr"/>
      <c r="P3177" t="inlineStr"/>
      <c r="Q3177" s="112" t="n">
        <v>0</v>
      </c>
      <c r="R3177" s="112" t="n">
        <v>96.79000000000001</v>
      </c>
      <c r="S3177" s="112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D3178" t="inlineStr"/>
      <c r="E3178" t="inlineStr">
        <is>
          <t>LA</t>
        </is>
      </c>
      <c r="F3178" t="inlineStr"/>
      <c r="G3178" s="126" t="inlineStr"/>
      <c r="H3178" s="125" t="n">
        <v>46083</v>
      </c>
      <c r="I3178" t="inlineStr"/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N3178" t="inlineStr"/>
      <c r="O3178" t="inlineStr"/>
      <c r="P3178" t="inlineStr"/>
      <c r="Q3178" s="112" t="n">
        <v>0</v>
      </c>
      <c r="R3178" s="112" t="n">
        <v>96.79000000000001</v>
      </c>
      <c r="S3178" s="112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D3179" t="inlineStr"/>
      <c r="E3179" t="inlineStr">
        <is>
          <t>LA</t>
        </is>
      </c>
      <c r="F3179" t="inlineStr"/>
      <c r="G3179" s="126" t="inlineStr"/>
      <c r="H3179" s="125" t="n">
        <v>46083</v>
      </c>
      <c r="I3179" t="inlineStr"/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N3179" t="inlineStr"/>
      <c r="O3179" t="inlineStr"/>
      <c r="P3179" t="inlineStr"/>
      <c r="Q3179" s="112" t="n">
        <v>0</v>
      </c>
      <c r="R3179" s="112" t="n">
        <v>387.11</v>
      </c>
      <c r="S3179" s="112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D3180" t="inlineStr"/>
      <c r="E3180" t="inlineStr">
        <is>
          <t>LA</t>
        </is>
      </c>
      <c r="F3180" t="inlineStr"/>
      <c r="G3180" s="126" t="inlineStr"/>
      <c r="H3180" s="125" t="n">
        <v>46083</v>
      </c>
      <c r="I3180" t="inlineStr"/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N3180" t="inlineStr"/>
      <c r="O3180" t="inlineStr"/>
      <c r="P3180" t="inlineStr"/>
      <c r="Q3180" s="112" t="n">
        <v>0</v>
      </c>
      <c r="R3180" s="112" t="n">
        <v>96.79000000000001</v>
      </c>
      <c r="S3180" s="112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D3181" t="inlineStr"/>
      <c r="E3181" t="inlineStr">
        <is>
          <t>LA</t>
        </is>
      </c>
      <c r="F3181" t="inlineStr"/>
      <c r="G3181" s="126" t="inlineStr"/>
      <c r="H3181" s="125" t="n">
        <v>46083</v>
      </c>
      <c r="I3181" t="inlineStr"/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N3181" t="inlineStr"/>
      <c r="O3181" t="inlineStr"/>
      <c r="P3181" t="inlineStr"/>
      <c r="Q3181" s="112" t="n">
        <v>0</v>
      </c>
      <c r="R3181" s="112" t="n">
        <v>483.9</v>
      </c>
      <c r="S3181" s="112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D3182" t="inlineStr"/>
      <c r="E3182" t="inlineStr">
        <is>
          <t>LA</t>
        </is>
      </c>
      <c r="F3182" t="inlineStr"/>
      <c r="G3182" s="126" t="inlineStr"/>
      <c r="H3182" s="125" t="n">
        <v>46083</v>
      </c>
      <c r="I3182" t="inlineStr"/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N3182" t="inlineStr"/>
      <c r="O3182" t="inlineStr"/>
      <c r="P3182" t="inlineStr"/>
      <c r="Q3182" s="112" t="n">
        <v>0</v>
      </c>
      <c r="R3182" s="112" t="n">
        <v>483.9</v>
      </c>
      <c r="S3182" s="112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D3183" t="inlineStr"/>
      <c r="E3183" t="inlineStr">
        <is>
          <t>LA</t>
        </is>
      </c>
      <c r="F3183" t="inlineStr"/>
      <c r="G3183" s="126" t="inlineStr"/>
      <c r="H3183" s="125" t="n">
        <v>46083</v>
      </c>
      <c r="I3183" t="inlineStr"/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N3183" t="inlineStr"/>
      <c r="O3183" t="inlineStr"/>
      <c r="P3183" t="inlineStr"/>
      <c r="Q3183" s="112" t="n">
        <v>0</v>
      </c>
      <c r="R3183" s="112" t="n">
        <v>193.55</v>
      </c>
      <c r="S3183" s="112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D3184" t="inlineStr"/>
      <c r="E3184" t="inlineStr">
        <is>
          <t>LA</t>
        </is>
      </c>
      <c r="F3184" t="inlineStr"/>
      <c r="G3184" s="126" t="inlineStr"/>
      <c r="H3184" s="125" t="n">
        <v>46083</v>
      </c>
      <c r="I3184" t="inlineStr"/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N3184" t="inlineStr"/>
      <c r="O3184" t="inlineStr"/>
      <c r="P3184" t="inlineStr"/>
      <c r="Q3184" s="112" t="n">
        <v>0</v>
      </c>
      <c r="R3184" s="112" t="n">
        <v>193.55</v>
      </c>
      <c r="S3184" s="112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D3185" t="inlineStr"/>
      <c r="E3185" t="inlineStr">
        <is>
          <t>LA</t>
        </is>
      </c>
      <c r="F3185" t="inlineStr"/>
      <c r="G3185" s="126" t="inlineStr"/>
      <c r="H3185" s="125" t="n">
        <v>46097</v>
      </c>
      <c r="I3185" t="inlineStr"/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N3185" t="inlineStr"/>
      <c r="O3185" t="inlineStr"/>
      <c r="P3185" t="inlineStr"/>
      <c r="Q3185" s="112" t="n">
        <v>0</v>
      </c>
      <c r="R3185" s="112" t="n">
        <v>381.26</v>
      </c>
      <c r="S3185" s="112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D3186" t="inlineStr"/>
      <c r="E3186" t="inlineStr">
        <is>
          <t>LA</t>
        </is>
      </c>
      <c r="F3186" t="inlineStr"/>
      <c r="G3186" s="126" t="inlineStr"/>
      <c r="H3186" s="125" t="n">
        <v>46097</v>
      </c>
      <c r="I3186" t="inlineStr"/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N3186" t="inlineStr"/>
      <c r="O3186" t="inlineStr"/>
      <c r="P3186" t="inlineStr"/>
      <c r="Q3186" s="112" t="n">
        <v>0</v>
      </c>
      <c r="R3186" s="112" t="n">
        <v>190.63</v>
      </c>
      <c r="S3186" s="112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D3187" t="inlineStr"/>
      <c r="E3187" t="inlineStr">
        <is>
          <t>LA</t>
        </is>
      </c>
      <c r="F3187" t="inlineStr"/>
      <c r="G3187" s="126" t="inlineStr"/>
      <c r="H3187" s="125" t="n">
        <v>46097</v>
      </c>
      <c r="I3187" t="inlineStr"/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N3187" t="inlineStr"/>
      <c r="O3187" t="inlineStr"/>
      <c r="P3187" t="inlineStr"/>
      <c r="Q3187" s="112" t="n">
        <v>0</v>
      </c>
      <c r="R3187" s="112" t="n">
        <v>381.26</v>
      </c>
      <c r="S3187" s="112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D3188" t="inlineStr"/>
      <c r="E3188" t="inlineStr">
        <is>
          <t>LA</t>
        </is>
      </c>
      <c r="F3188" t="inlineStr"/>
      <c r="G3188" s="126" t="inlineStr"/>
      <c r="H3188" s="125" t="n">
        <v>46097</v>
      </c>
      <c r="I3188" t="inlineStr"/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N3188" t="inlineStr"/>
      <c r="O3188" t="inlineStr"/>
      <c r="P3188" t="inlineStr"/>
      <c r="Q3188" s="112" t="n">
        <v>0</v>
      </c>
      <c r="R3188" s="112" t="n">
        <v>95.31999999999999</v>
      </c>
      <c r="S3188" s="112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D3189" t="inlineStr"/>
      <c r="E3189" t="inlineStr">
        <is>
          <t>LA</t>
        </is>
      </c>
      <c r="F3189" t="inlineStr"/>
      <c r="G3189" s="126" t="inlineStr"/>
      <c r="H3189" s="125" t="n">
        <v>46097</v>
      </c>
      <c r="I3189" t="inlineStr"/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N3189" t="inlineStr"/>
      <c r="O3189" t="inlineStr"/>
      <c r="P3189" t="inlineStr"/>
      <c r="Q3189" s="112" t="n">
        <v>0</v>
      </c>
      <c r="R3189" s="112" t="n">
        <v>95.31999999999999</v>
      </c>
      <c r="S3189" s="112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D3190" t="inlineStr"/>
      <c r="E3190" t="inlineStr">
        <is>
          <t>LA</t>
        </is>
      </c>
      <c r="F3190" t="inlineStr"/>
      <c r="G3190" s="126" t="inlineStr"/>
      <c r="H3190" s="125" t="n">
        <v>46097</v>
      </c>
      <c r="I3190" t="inlineStr"/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N3190" t="inlineStr"/>
      <c r="O3190" t="inlineStr"/>
      <c r="P3190" t="inlineStr"/>
      <c r="Q3190" s="112" t="n">
        <v>0</v>
      </c>
      <c r="R3190" s="112" t="n">
        <v>95.31999999999999</v>
      </c>
      <c r="S3190" s="112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D3191" t="inlineStr"/>
      <c r="E3191" t="inlineStr">
        <is>
          <t>LA</t>
        </is>
      </c>
      <c r="F3191" t="inlineStr"/>
      <c r="G3191" s="126" t="inlineStr"/>
      <c r="H3191" s="125" t="n">
        <v>46111</v>
      </c>
      <c r="I3191" t="inlineStr"/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N3191" t="inlineStr"/>
      <c r="O3191" t="inlineStr"/>
      <c r="P3191" t="inlineStr"/>
      <c r="Q3191" s="112" t="n">
        <v>0</v>
      </c>
      <c r="R3191" s="112" t="n">
        <v>203.47</v>
      </c>
      <c r="S3191" s="112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D3192" t="inlineStr"/>
      <c r="E3192" t="inlineStr">
        <is>
          <t>LA</t>
        </is>
      </c>
      <c r="F3192" t="inlineStr"/>
      <c r="G3192" s="126" t="inlineStr"/>
      <c r="H3192" s="125" t="n">
        <v>46111</v>
      </c>
      <c r="I3192" t="inlineStr"/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N3192" t="inlineStr"/>
      <c r="O3192" t="inlineStr"/>
      <c r="P3192" t="inlineStr"/>
      <c r="Q3192" s="112" t="n">
        <v>0</v>
      </c>
      <c r="R3192" s="112" t="n">
        <v>406.91</v>
      </c>
      <c r="S3192" s="112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D3193" t="inlineStr"/>
      <c r="E3193" t="inlineStr">
        <is>
          <t>LA</t>
        </is>
      </c>
      <c r="F3193" t="inlineStr"/>
      <c r="G3193" s="126" t="inlineStr"/>
      <c r="H3193" s="125" t="n">
        <v>46111</v>
      </c>
      <c r="I3193" t="inlineStr"/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N3193" t="inlineStr"/>
      <c r="O3193" t="inlineStr"/>
      <c r="P3193" t="inlineStr"/>
      <c r="Q3193" s="112" t="n">
        <v>0</v>
      </c>
      <c r="R3193" s="112" t="n">
        <v>305.18</v>
      </c>
      <c r="S3193" s="112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D3194" t="inlineStr"/>
      <c r="E3194" t="inlineStr">
        <is>
          <t>LA</t>
        </is>
      </c>
      <c r="F3194" t="inlineStr"/>
      <c r="G3194" s="126" t="inlineStr"/>
      <c r="H3194" s="125" t="n">
        <v>46111</v>
      </c>
      <c r="I3194" t="inlineStr"/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N3194" t="inlineStr"/>
      <c r="O3194" t="inlineStr"/>
      <c r="P3194" t="inlineStr"/>
      <c r="Q3194" s="112" t="n">
        <v>0</v>
      </c>
      <c r="R3194" s="112" t="n">
        <v>203.47</v>
      </c>
      <c r="S3194" s="112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D3195" t="inlineStr"/>
      <c r="E3195" t="inlineStr">
        <is>
          <t>LA</t>
        </is>
      </c>
      <c r="F3195" t="inlineStr"/>
      <c r="G3195" s="126" t="inlineStr"/>
      <c r="H3195" s="125" t="n">
        <v>46111</v>
      </c>
      <c r="I3195" t="inlineStr"/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N3195" t="inlineStr"/>
      <c r="O3195" t="inlineStr"/>
      <c r="P3195" t="inlineStr"/>
      <c r="Q3195" s="112" t="n">
        <v>0</v>
      </c>
      <c r="R3195" s="112" t="n">
        <v>508.66</v>
      </c>
      <c r="S3195" s="112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D3196" t="inlineStr"/>
      <c r="E3196" t="inlineStr">
        <is>
          <t>LA</t>
        </is>
      </c>
      <c r="F3196" t="inlineStr"/>
      <c r="G3196" s="126" t="inlineStr"/>
      <c r="H3196" s="125" t="n">
        <v>46111</v>
      </c>
      <c r="I3196" t="inlineStr"/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N3196" t="inlineStr"/>
      <c r="O3196" t="inlineStr"/>
      <c r="P3196" t="inlineStr"/>
      <c r="Q3196" s="112" t="n">
        <v>0</v>
      </c>
      <c r="R3196" s="112" t="n">
        <v>305.16</v>
      </c>
      <c r="S3196" s="112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D3197" t="inlineStr"/>
      <c r="E3197" t="inlineStr">
        <is>
          <t>LA</t>
        </is>
      </c>
      <c r="F3197" t="inlineStr"/>
      <c r="G3197" s="126" t="inlineStr"/>
      <c r="H3197" s="125" t="n">
        <v>46111</v>
      </c>
      <c r="I3197" t="inlineStr"/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N3197" t="inlineStr"/>
      <c r="O3197" t="inlineStr"/>
      <c r="P3197" t="inlineStr"/>
      <c r="Q3197" s="112" t="n">
        <v>0</v>
      </c>
      <c r="R3197" s="112" t="n">
        <v>305.18</v>
      </c>
      <c r="S3197" s="112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D3198" t="inlineStr"/>
      <c r="E3198" t="inlineStr">
        <is>
          <t>LA</t>
        </is>
      </c>
      <c r="F3198" t="inlineStr"/>
      <c r="G3198" s="126" t="inlineStr"/>
      <c r="H3198" s="125" t="n">
        <v>46111</v>
      </c>
      <c r="I3198" t="inlineStr"/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N3198" t="inlineStr"/>
      <c r="O3198" t="inlineStr"/>
      <c r="P3198" t="inlineStr"/>
      <c r="Q3198" s="112" t="n">
        <v>0</v>
      </c>
      <c r="R3198" s="112" t="n">
        <v>203.47</v>
      </c>
      <c r="S3198" s="112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D3199" t="inlineStr"/>
      <c r="E3199" t="inlineStr">
        <is>
          <t>LA</t>
        </is>
      </c>
      <c r="F3199" t="inlineStr"/>
      <c r="G3199" s="126" t="inlineStr"/>
      <c r="H3199" s="125" t="n">
        <v>46111</v>
      </c>
      <c r="I3199" t="inlineStr"/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N3199" t="inlineStr"/>
      <c r="O3199" t="inlineStr"/>
      <c r="P3199" t="inlineStr"/>
      <c r="Q3199" s="112" t="n">
        <v>0</v>
      </c>
      <c r="R3199" s="112" t="n">
        <v>101.73</v>
      </c>
      <c r="S3199" s="112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D3200" t="inlineStr"/>
      <c r="E3200" t="inlineStr">
        <is>
          <t>LA</t>
        </is>
      </c>
      <c r="F3200" t="inlineStr"/>
      <c r="G3200" s="126" t="inlineStr"/>
      <c r="H3200" s="125" t="n">
        <v>46111</v>
      </c>
      <c r="I3200" t="inlineStr"/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N3200" t="inlineStr"/>
      <c r="O3200" t="inlineStr"/>
      <c r="P3200" t="inlineStr"/>
      <c r="Q3200" s="112" t="n">
        <v>0</v>
      </c>
      <c r="R3200" s="112" t="n">
        <v>406.91</v>
      </c>
      <c r="S3200" s="112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D3201" t="inlineStr"/>
      <c r="E3201" t="inlineStr">
        <is>
          <t>LA</t>
        </is>
      </c>
      <c r="F3201" t="inlineStr"/>
      <c r="G3201" s="126" t="inlineStr"/>
      <c r="H3201" s="125" t="n">
        <v>46126</v>
      </c>
      <c r="I3201" t="inlineStr"/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N3201" t="inlineStr"/>
      <c r="O3201" t="inlineStr"/>
      <c r="P3201" t="inlineStr"/>
      <c r="Q3201" s="112" t="n">
        <v>0</v>
      </c>
      <c r="R3201" s="112" t="n">
        <v>388.62</v>
      </c>
      <c r="S3201" s="112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D3202" t="inlineStr"/>
      <c r="E3202" t="inlineStr">
        <is>
          <t>LA</t>
        </is>
      </c>
      <c r="F3202" t="inlineStr"/>
      <c r="G3202" s="126" t="inlineStr"/>
      <c r="H3202" s="125" t="n">
        <v>46126</v>
      </c>
      <c r="I3202" t="inlineStr"/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N3202" t="inlineStr"/>
      <c r="O3202" t="inlineStr"/>
      <c r="P3202" t="inlineStr"/>
      <c r="Q3202" s="112" t="n">
        <v>0</v>
      </c>
      <c r="R3202" s="112" t="n">
        <v>194.31</v>
      </c>
      <c r="S3202" s="112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D3203" t="inlineStr"/>
      <c r="E3203" t="inlineStr">
        <is>
          <t>LA</t>
        </is>
      </c>
      <c r="F3203" t="inlineStr"/>
      <c r="G3203" s="126" t="inlineStr"/>
      <c r="H3203" s="125" t="n">
        <v>46126</v>
      </c>
      <c r="I3203" t="inlineStr"/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N3203" t="inlineStr"/>
      <c r="O3203" t="inlineStr"/>
      <c r="P3203" t="inlineStr"/>
      <c r="Q3203" s="112" t="n">
        <v>0</v>
      </c>
      <c r="R3203" s="112" t="n">
        <v>194.31</v>
      </c>
      <c r="S3203" s="112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D3204" t="inlineStr"/>
      <c r="E3204" t="inlineStr">
        <is>
          <t>LA</t>
        </is>
      </c>
      <c r="F3204" t="inlineStr"/>
      <c r="G3204" s="126" t="inlineStr"/>
      <c r="H3204" s="125" t="n">
        <v>46126</v>
      </c>
      <c r="I3204" t="inlineStr"/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N3204" t="inlineStr"/>
      <c r="O3204" t="inlineStr"/>
      <c r="P3204" t="inlineStr"/>
      <c r="Q3204" s="112" t="n">
        <v>0</v>
      </c>
      <c r="R3204" s="112" t="n">
        <v>485.79</v>
      </c>
      <c r="S3204" s="112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D3205" t="inlineStr"/>
      <c r="E3205" t="inlineStr">
        <is>
          <t>LA</t>
        </is>
      </c>
      <c r="F3205" t="inlineStr"/>
      <c r="G3205" s="126" t="inlineStr"/>
      <c r="H3205" s="125" t="n">
        <v>46126</v>
      </c>
      <c r="I3205" t="inlineStr"/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N3205" t="inlineStr"/>
      <c r="O3205" t="inlineStr"/>
      <c r="P3205" t="inlineStr"/>
      <c r="Q3205" s="112" t="n">
        <v>0</v>
      </c>
      <c r="R3205" s="112" t="n">
        <v>485.79</v>
      </c>
      <c r="S3205" s="112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D3206" t="inlineStr"/>
      <c r="E3206" t="inlineStr">
        <is>
          <t>LA</t>
        </is>
      </c>
      <c r="F3206" t="inlineStr"/>
      <c r="G3206" s="126" t="inlineStr"/>
      <c r="H3206" s="125" t="n">
        <v>46126</v>
      </c>
      <c r="I3206" t="inlineStr"/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N3206" t="inlineStr"/>
      <c r="O3206" t="inlineStr"/>
      <c r="P3206" t="inlineStr"/>
      <c r="Q3206" s="112" t="n">
        <v>0</v>
      </c>
      <c r="R3206" s="112" t="n">
        <v>194.31</v>
      </c>
      <c r="S3206" s="112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D3207" t="inlineStr"/>
      <c r="E3207" t="inlineStr">
        <is>
          <t>LA</t>
        </is>
      </c>
      <c r="F3207" t="inlineStr"/>
      <c r="G3207" s="126" t="inlineStr"/>
      <c r="H3207" s="125" t="n">
        <v>46139</v>
      </c>
      <c r="I3207" t="inlineStr"/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N3207" t="inlineStr"/>
      <c r="O3207" t="inlineStr"/>
      <c r="P3207" t="inlineStr"/>
      <c r="Q3207" s="112" t="n">
        <v>0</v>
      </c>
      <c r="R3207" s="112" t="n">
        <v>193.06</v>
      </c>
      <c r="S3207" s="112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D3208" t="inlineStr"/>
      <c r="E3208" t="inlineStr">
        <is>
          <t>LA</t>
        </is>
      </c>
      <c r="F3208" t="inlineStr"/>
      <c r="G3208" s="126" t="inlineStr"/>
      <c r="H3208" s="125" t="n">
        <v>46139</v>
      </c>
      <c r="I3208" t="inlineStr"/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N3208" t="inlineStr"/>
      <c r="O3208" t="inlineStr"/>
      <c r="P3208" t="inlineStr"/>
      <c r="Q3208" s="112" t="n">
        <v>0</v>
      </c>
      <c r="R3208" s="112" t="n">
        <v>193.07</v>
      </c>
      <c r="S3208" s="112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D3209" t="inlineStr"/>
      <c r="E3209" t="inlineStr">
        <is>
          <t>LA</t>
        </is>
      </c>
      <c r="F3209" t="inlineStr"/>
      <c r="G3209" s="126" t="inlineStr"/>
      <c r="H3209" s="125" t="n">
        <v>46139</v>
      </c>
      <c r="I3209" t="inlineStr"/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N3209" t="inlineStr"/>
      <c r="O3209" t="inlineStr"/>
      <c r="P3209" t="inlineStr"/>
      <c r="Q3209" s="112" t="n">
        <v>0</v>
      </c>
      <c r="R3209" s="112" t="n">
        <v>193.06</v>
      </c>
      <c r="S3209" s="112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D3210" t="inlineStr"/>
      <c r="E3210" t="inlineStr">
        <is>
          <t>LA</t>
        </is>
      </c>
      <c r="F3210" t="inlineStr"/>
      <c r="G3210" s="126" t="inlineStr"/>
      <c r="H3210" s="125" t="n">
        <v>46139</v>
      </c>
      <c r="I3210" t="inlineStr"/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N3210" t="inlineStr"/>
      <c r="O3210" t="inlineStr"/>
      <c r="P3210" t="inlineStr"/>
      <c r="Q3210" s="112" t="n">
        <v>0</v>
      </c>
      <c r="R3210" s="112" t="n">
        <v>193.06</v>
      </c>
      <c r="S3210" s="112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D3211" t="inlineStr"/>
      <c r="E3211" t="inlineStr">
        <is>
          <t>LA</t>
        </is>
      </c>
      <c r="F3211" t="inlineStr"/>
      <c r="G3211" s="126" t="inlineStr"/>
      <c r="H3211" s="125" t="n">
        <v>46139</v>
      </c>
      <c r="I3211" t="inlineStr"/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N3211" t="inlineStr"/>
      <c r="O3211" t="inlineStr"/>
      <c r="P3211" t="inlineStr"/>
      <c r="Q3211" s="112" t="n">
        <v>0</v>
      </c>
      <c r="R3211" s="112" t="n">
        <v>96.52</v>
      </c>
      <c r="S3211" s="112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D3212" t="inlineStr"/>
      <c r="E3212" t="inlineStr">
        <is>
          <t>LA</t>
        </is>
      </c>
      <c r="F3212" t="inlineStr"/>
      <c r="G3212" s="126" t="inlineStr"/>
      <c r="H3212" s="125" t="n">
        <v>46139</v>
      </c>
      <c r="I3212" t="inlineStr"/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N3212" t="inlineStr"/>
      <c r="O3212" t="inlineStr"/>
      <c r="P3212" t="inlineStr"/>
      <c r="Q3212" s="112" t="n">
        <v>0</v>
      </c>
      <c r="R3212" s="112" t="n">
        <v>193.06</v>
      </c>
      <c r="S3212" s="112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D3213" t="inlineStr"/>
      <c r="E3213" t="inlineStr">
        <is>
          <t>LA</t>
        </is>
      </c>
      <c r="F3213" t="inlineStr"/>
      <c r="G3213" s="126" t="inlineStr"/>
      <c r="H3213" s="125" t="n">
        <v>46150</v>
      </c>
      <c r="I3213" t="inlineStr"/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N3213" t="inlineStr"/>
      <c r="O3213" t="inlineStr"/>
      <c r="P3213" t="inlineStr"/>
      <c r="Q3213" s="112" t="n">
        <v>0</v>
      </c>
      <c r="R3213" s="112" t="n">
        <v>-13092.02</v>
      </c>
      <c r="S3213" s="112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D3214" t="inlineStr"/>
      <c r="E3214" t="inlineStr">
        <is>
          <t>LA</t>
        </is>
      </c>
      <c r="F3214" t="inlineStr"/>
      <c r="G3214" s="126" t="inlineStr"/>
      <c r="H3214" s="125" t="n">
        <v>46154</v>
      </c>
      <c r="I3214" t="inlineStr"/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N3214" t="inlineStr"/>
      <c r="O3214" t="inlineStr"/>
      <c r="P3214" t="inlineStr"/>
      <c r="Q3214" s="112" t="n">
        <v>0</v>
      </c>
      <c r="R3214" s="112" t="n">
        <v>194.8</v>
      </c>
      <c r="S3214" s="112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D3215" t="inlineStr"/>
      <c r="E3215" t="inlineStr">
        <is>
          <t>LA</t>
        </is>
      </c>
      <c r="F3215" t="inlineStr"/>
      <c r="G3215" s="126" t="inlineStr"/>
      <c r="H3215" s="125" t="n">
        <v>46154</v>
      </c>
      <c r="I3215" t="inlineStr"/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N3215" t="inlineStr"/>
      <c r="O3215" t="inlineStr"/>
      <c r="P3215" t="inlineStr"/>
      <c r="Q3215" s="112" t="n">
        <v>0</v>
      </c>
      <c r="R3215" s="112" t="n">
        <v>97.40000000000001</v>
      </c>
      <c r="S3215" s="112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D3216" t="inlineStr"/>
      <c r="E3216" t="inlineStr">
        <is>
          <t>LA</t>
        </is>
      </c>
      <c r="F3216" t="inlineStr"/>
      <c r="G3216" s="126" t="inlineStr"/>
      <c r="H3216" s="125" t="n">
        <v>46154</v>
      </c>
      <c r="I3216" t="inlineStr"/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N3216" t="inlineStr"/>
      <c r="O3216" t="inlineStr"/>
      <c r="P3216" t="inlineStr"/>
      <c r="Q3216" s="112" t="n">
        <v>0</v>
      </c>
      <c r="R3216" s="112" t="n">
        <v>97.41</v>
      </c>
      <c r="S3216" s="112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D3217" t="inlineStr"/>
      <c r="E3217" t="inlineStr">
        <is>
          <t>LA</t>
        </is>
      </c>
      <c r="F3217" t="inlineStr"/>
      <c r="G3217" s="126" t="inlineStr"/>
      <c r="H3217" s="125" t="n">
        <v>46154</v>
      </c>
      <c r="I3217" t="inlineStr"/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N3217" t="inlineStr"/>
      <c r="O3217" t="inlineStr"/>
      <c r="P3217" t="inlineStr"/>
      <c r="Q3217" s="112" t="n">
        <v>0</v>
      </c>
      <c r="R3217" s="112" t="n">
        <v>97.40000000000001</v>
      </c>
      <c r="S3217" s="112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D3218" t="inlineStr"/>
      <c r="E3218" t="inlineStr">
        <is>
          <t>LA</t>
        </is>
      </c>
      <c r="F3218" t="inlineStr"/>
      <c r="G3218" s="126" t="inlineStr"/>
      <c r="H3218" s="125" t="n">
        <v>46154</v>
      </c>
      <c r="I3218" t="inlineStr"/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N3218" t="inlineStr"/>
      <c r="O3218" t="inlineStr"/>
      <c r="P3218" t="inlineStr"/>
      <c r="Q3218" s="112" t="n">
        <v>0</v>
      </c>
      <c r="R3218" s="112" t="n">
        <v>97.41</v>
      </c>
      <c r="S3218" s="112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D3219" t="inlineStr"/>
      <c r="E3219" t="inlineStr">
        <is>
          <t>LA</t>
        </is>
      </c>
      <c r="F3219" t="inlineStr"/>
      <c r="G3219" s="126" t="inlineStr"/>
      <c r="H3219" s="125" t="n">
        <v>46154</v>
      </c>
      <c r="I3219" t="inlineStr"/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N3219" t="inlineStr"/>
      <c r="O3219" t="inlineStr"/>
      <c r="P3219" t="inlineStr"/>
      <c r="Q3219" s="112" t="n">
        <v>0</v>
      </c>
      <c r="R3219" s="112" t="n">
        <v>194.8</v>
      </c>
      <c r="S3219" s="112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D3220" t="inlineStr"/>
      <c r="E3220" t="inlineStr">
        <is>
          <t>LA</t>
        </is>
      </c>
      <c r="F3220" t="inlineStr"/>
      <c r="G3220" s="126" t="inlineStr"/>
      <c r="H3220" s="125" t="n">
        <v>46154</v>
      </c>
      <c r="I3220" t="inlineStr"/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N3220" t="inlineStr"/>
      <c r="O3220" t="inlineStr"/>
      <c r="P3220" t="inlineStr"/>
      <c r="Q3220" s="112" t="n">
        <v>0</v>
      </c>
      <c r="R3220" s="112" t="n">
        <v>194.8</v>
      </c>
      <c r="S3220" s="112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26" t="n">
        <v>46031</v>
      </c>
      <c r="H3221" s="125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12" t="n">
        <v>0</v>
      </c>
      <c r="R3221" s="112" t="n">
        <v>0</v>
      </c>
      <c r="S3221" s="112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26" t="n">
        <v>46031</v>
      </c>
      <c r="H3222" s="125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12" t="n">
        <v>0</v>
      </c>
      <c r="R3222" s="112" t="n">
        <v>0</v>
      </c>
      <c r="S3222" s="112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26" t="n">
        <v>46031</v>
      </c>
      <c r="H3223" s="125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12" t="n">
        <v>0</v>
      </c>
      <c r="R3223" s="112" t="n">
        <v>0</v>
      </c>
      <c r="S3223" s="112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26" t="n">
        <v>46031</v>
      </c>
      <c r="H3224" s="125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12" t="n">
        <v>0</v>
      </c>
      <c r="R3224" s="112" t="n">
        <v>0</v>
      </c>
      <c r="S3224" s="112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26" t="n">
        <v>46031</v>
      </c>
      <c r="H3225" s="125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12" t="n">
        <v>0</v>
      </c>
      <c r="R3225" s="112" t="n">
        <v>0</v>
      </c>
      <c r="S3225" s="112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26" t="n">
        <v>46031</v>
      </c>
      <c r="H3226" s="125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12" t="n">
        <v>0</v>
      </c>
      <c r="R3226" s="112" t="n">
        <v>0</v>
      </c>
      <c r="S3226" s="112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26" t="n">
        <v>46053</v>
      </c>
      <c r="H3227" s="125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12" t="n">
        <v>0</v>
      </c>
      <c r="R3227" s="112" t="n">
        <v>0</v>
      </c>
      <c r="S3227" s="112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26" t="n">
        <v>46053</v>
      </c>
      <c r="H3228" s="125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12" t="n">
        <v>0</v>
      </c>
      <c r="R3228" s="112" t="n">
        <v>0</v>
      </c>
      <c r="S3228" s="112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26" t="n">
        <v>46053</v>
      </c>
      <c r="H3229" s="125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12" t="n">
        <v>0</v>
      </c>
      <c r="R3229" s="112" t="n">
        <v>0</v>
      </c>
      <c r="S3229" s="112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26" t="n">
        <v>46053</v>
      </c>
      <c r="H3230" s="125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12" t="n">
        <v>0</v>
      </c>
      <c r="R3230" s="112" t="n">
        <v>0</v>
      </c>
      <c r="S3230" s="112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26" t="n">
        <v>46053</v>
      </c>
      <c r="H3231" s="125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12" t="n">
        <v>0</v>
      </c>
      <c r="R3231" s="112" t="n">
        <v>0</v>
      </c>
      <c r="S3231" s="112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26" t="n">
        <v>46053</v>
      </c>
      <c r="H3232" s="125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12" t="n">
        <v>0</v>
      </c>
      <c r="R3232" s="112" t="n">
        <v>0</v>
      </c>
      <c r="S3232" s="112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26" t="n">
        <v>46053</v>
      </c>
      <c r="H3233" s="125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12" t="n">
        <v>0</v>
      </c>
      <c r="R3233" s="112" t="n">
        <v>0</v>
      </c>
      <c r="S3233" s="112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26" t="n">
        <v>46053</v>
      </c>
      <c r="H3234" s="125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12" t="n">
        <v>0</v>
      </c>
      <c r="R3234" s="112" t="n">
        <v>0</v>
      </c>
      <c r="S3234" s="112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26" t="n">
        <v>46053</v>
      </c>
      <c r="H3235" s="125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12" t="n">
        <v>0</v>
      </c>
      <c r="R3235" s="112" t="n">
        <v>0</v>
      </c>
      <c r="S3235" s="112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26" t="n">
        <v>46053</v>
      </c>
      <c r="H3236" s="125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12" t="n">
        <v>0</v>
      </c>
      <c r="R3236" s="112" t="n">
        <v>0</v>
      </c>
      <c r="S3236" s="112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26" t="n">
        <v>46053</v>
      </c>
      <c r="H3237" s="125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12" t="n">
        <v>0</v>
      </c>
      <c r="R3237" s="112" t="n">
        <v>0</v>
      </c>
      <c r="S3237" s="112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26" t="n">
        <v>46053</v>
      </c>
      <c r="H3238" s="125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12" t="n">
        <v>0</v>
      </c>
      <c r="R3238" s="112" t="n">
        <v>0</v>
      </c>
      <c r="S3238" s="112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26" t="n">
        <v>46053</v>
      </c>
      <c r="H3239" s="125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12" t="n">
        <v>0</v>
      </c>
      <c r="R3239" s="112" t="n">
        <v>0</v>
      </c>
      <c r="S3239" s="112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26" t="n">
        <v>46053</v>
      </c>
      <c r="H3240" s="125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12" t="n">
        <v>0</v>
      </c>
      <c r="R3240" s="112" t="n">
        <v>0</v>
      </c>
      <c r="S3240" s="112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26" t="n">
        <v>46053</v>
      </c>
      <c r="H3241" s="125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12" t="n">
        <v>0</v>
      </c>
      <c r="R3241" s="112" t="n">
        <v>0</v>
      </c>
      <c r="S3241" s="112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26" t="n">
        <v>46053</v>
      </c>
      <c r="H3242" s="125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12" t="n">
        <v>0</v>
      </c>
      <c r="R3242" s="112" t="n">
        <v>0</v>
      </c>
      <c r="S3242" s="112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26" t="n">
        <v>46053</v>
      </c>
      <c r="H3243" s="125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12" t="n">
        <v>0</v>
      </c>
      <c r="R3243" s="112" t="n">
        <v>0</v>
      </c>
      <c r="S3243" s="112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26" t="n">
        <v>46053</v>
      </c>
      <c r="H3244" s="125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12" t="n">
        <v>0</v>
      </c>
      <c r="R3244" s="112" t="n">
        <v>0</v>
      </c>
      <c r="S3244" s="112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26" t="n">
        <v>46053</v>
      </c>
      <c r="H3245" s="125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12" t="n">
        <v>0</v>
      </c>
      <c r="R3245" s="112" t="n">
        <v>0</v>
      </c>
      <c r="S3245" s="112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26" t="n">
        <v>46053</v>
      </c>
      <c r="H3246" s="125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12" t="n">
        <v>0</v>
      </c>
      <c r="R3246" s="112" t="n">
        <v>0</v>
      </c>
      <c r="S3246" s="112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26" t="n">
        <v>46053</v>
      </c>
      <c r="H3247" s="125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12" t="n">
        <v>0</v>
      </c>
      <c r="R3247" s="112" t="n">
        <v>0</v>
      </c>
      <c r="S3247" s="112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26" t="n">
        <v>46053</v>
      </c>
      <c r="H3248" s="125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12" t="n">
        <v>0</v>
      </c>
      <c r="R3248" s="112" t="n">
        <v>0</v>
      </c>
      <c r="S3248" s="112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26" t="n">
        <v>46053</v>
      </c>
      <c r="H3249" s="125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12" t="n">
        <v>0</v>
      </c>
      <c r="R3249" s="112" t="n">
        <v>0</v>
      </c>
      <c r="S3249" s="112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26" t="n">
        <v>46053</v>
      </c>
      <c r="H3250" s="125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12" t="n">
        <v>0</v>
      </c>
      <c r="R3250" s="112" t="n">
        <v>0</v>
      </c>
      <c r="S3250" s="112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26" t="n">
        <v>46053</v>
      </c>
      <c r="H3251" s="125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12" t="n">
        <v>0</v>
      </c>
      <c r="R3251" s="112" t="n">
        <v>0</v>
      </c>
      <c r="S3251" s="112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26" t="n">
        <v>46053</v>
      </c>
      <c r="H3252" s="125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12" t="n">
        <v>0</v>
      </c>
      <c r="R3252" s="112" t="n">
        <v>0</v>
      </c>
      <c r="S3252" s="112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26" t="n">
        <v>46053</v>
      </c>
      <c r="H3253" s="125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12" t="n">
        <v>0</v>
      </c>
      <c r="R3253" s="112" t="n">
        <v>0</v>
      </c>
      <c r="S3253" s="112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26" t="n">
        <v>46053</v>
      </c>
      <c r="H3254" s="125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12" t="n">
        <v>0</v>
      </c>
      <c r="R3254" s="112" t="n">
        <v>0</v>
      </c>
      <c r="S3254" s="112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26" t="n">
        <v>46053</v>
      </c>
      <c r="H3255" s="125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12" t="n">
        <v>0</v>
      </c>
      <c r="R3255" s="112" t="n">
        <v>0</v>
      </c>
      <c r="S3255" s="112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26" t="n">
        <v>46053</v>
      </c>
      <c r="H3256" s="125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12" t="n">
        <v>0</v>
      </c>
      <c r="R3256" s="112" t="n">
        <v>0</v>
      </c>
      <c r="S3256" s="112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26" t="n">
        <v>46053</v>
      </c>
      <c r="H3257" s="125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12" t="n">
        <v>0</v>
      </c>
      <c r="R3257" s="112" t="n">
        <v>0</v>
      </c>
      <c r="S3257" s="112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26" t="n">
        <v>46053</v>
      </c>
      <c r="H3258" s="125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12" t="n">
        <v>0</v>
      </c>
      <c r="R3258" s="112" t="n">
        <v>0</v>
      </c>
      <c r="S3258" s="112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26" t="n">
        <v>46053</v>
      </c>
      <c r="H3259" s="125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12" t="n">
        <v>0</v>
      </c>
      <c r="R3259" s="112" t="n">
        <v>0</v>
      </c>
      <c r="S3259" s="112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26" t="n">
        <v>46053</v>
      </c>
      <c r="H3260" s="125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12" t="n">
        <v>0</v>
      </c>
      <c r="R3260" s="112" t="n">
        <v>0</v>
      </c>
      <c r="S3260" s="112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26" t="n">
        <v>46053</v>
      </c>
      <c r="H3261" s="125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12" t="n">
        <v>0</v>
      </c>
      <c r="R3261" s="112" t="n">
        <v>0</v>
      </c>
      <c r="S3261" s="112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26" t="n">
        <v>46053</v>
      </c>
      <c r="H3262" s="125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12" t="n">
        <v>0</v>
      </c>
      <c r="R3262" s="112" t="n">
        <v>0</v>
      </c>
      <c r="S3262" s="112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26" t="n">
        <v>46053</v>
      </c>
      <c r="H3263" s="125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12" t="n">
        <v>0</v>
      </c>
      <c r="R3263" s="112" t="n">
        <v>0</v>
      </c>
      <c r="S3263" s="112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26" t="n">
        <v>46053</v>
      </c>
      <c r="H3264" s="125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12" t="n">
        <v>0</v>
      </c>
      <c r="R3264" s="112" t="n">
        <v>0</v>
      </c>
      <c r="S3264" s="112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26" t="n">
        <v>46053</v>
      </c>
      <c r="H3265" s="125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12" t="n">
        <v>0</v>
      </c>
      <c r="R3265" s="112" t="n">
        <v>0</v>
      </c>
      <c r="S3265" s="112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26" t="n">
        <v>46053</v>
      </c>
      <c r="H3266" s="125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12" t="n">
        <v>0</v>
      </c>
      <c r="R3266" s="112" t="n">
        <v>0</v>
      </c>
      <c r="S3266" s="112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26" t="n">
        <v>46053</v>
      </c>
      <c r="H3267" s="125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12" t="n">
        <v>0</v>
      </c>
      <c r="R3267" s="112" t="n">
        <v>0</v>
      </c>
      <c r="S3267" s="112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26" t="n">
        <v>46053</v>
      </c>
      <c r="H3268" s="125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12" t="n">
        <v>0</v>
      </c>
      <c r="R3268" s="112" t="n">
        <v>0</v>
      </c>
      <c r="S3268" s="112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26" t="n">
        <v>46053</v>
      </c>
      <c r="H3269" s="125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12" t="n">
        <v>0</v>
      </c>
      <c r="R3269" s="112" t="n">
        <v>0</v>
      </c>
      <c r="S3269" s="112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26" t="n">
        <v>46053</v>
      </c>
      <c r="H3270" s="125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12" t="n">
        <v>0</v>
      </c>
      <c r="R3270" s="112" t="n">
        <v>0</v>
      </c>
      <c r="S3270" s="112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26" t="n">
        <v>46053</v>
      </c>
      <c r="H3271" s="125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12" t="n">
        <v>0</v>
      </c>
      <c r="R3271" s="112" t="n">
        <v>0</v>
      </c>
      <c r="S3271" s="112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26" t="n">
        <v>46053</v>
      </c>
      <c r="H3272" s="125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12" t="n">
        <v>0</v>
      </c>
      <c r="R3272" s="112" t="n">
        <v>0</v>
      </c>
      <c r="S3272" s="112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26" t="n">
        <v>46053</v>
      </c>
      <c r="H3273" s="125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12" t="n">
        <v>0</v>
      </c>
      <c r="R3273" s="112" t="n">
        <v>0</v>
      </c>
      <c r="S3273" s="112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26" t="n">
        <v>46053</v>
      </c>
      <c r="H3274" s="125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12" t="n">
        <v>0</v>
      </c>
      <c r="R3274" s="112" t="n">
        <v>0</v>
      </c>
      <c r="S3274" s="112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26" t="n">
        <v>46053</v>
      </c>
      <c r="H3275" s="125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12" t="n">
        <v>0</v>
      </c>
      <c r="R3275" s="112" t="n">
        <v>0</v>
      </c>
      <c r="S3275" s="112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26" t="n">
        <v>46053</v>
      </c>
      <c r="H3276" s="125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12" t="n">
        <v>0</v>
      </c>
      <c r="R3276" s="112" t="n">
        <v>0</v>
      </c>
      <c r="S3276" s="112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26" t="n">
        <v>46053</v>
      </c>
      <c r="H3277" s="125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12" t="n">
        <v>0</v>
      </c>
      <c r="R3277" s="112" t="n">
        <v>0</v>
      </c>
      <c r="S3277" s="112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26" t="n">
        <v>46053</v>
      </c>
      <c r="H3278" s="125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12" t="n">
        <v>0</v>
      </c>
      <c r="R3278" s="112" t="n">
        <v>0</v>
      </c>
      <c r="S3278" s="112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26" t="n">
        <v>46053</v>
      </c>
      <c r="H3279" s="125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12" t="n">
        <v>0</v>
      </c>
      <c r="R3279" s="112" t="n">
        <v>0</v>
      </c>
      <c r="S3279" s="112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26" t="n">
        <v>46053</v>
      </c>
      <c r="H3280" s="125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12" t="n">
        <v>0</v>
      </c>
      <c r="R3280" s="112" t="n">
        <v>0</v>
      </c>
      <c r="S3280" s="112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26" t="n">
        <v>46053</v>
      </c>
      <c r="H3281" s="125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12" t="n">
        <v>0</v>
      </c>
      <c r="R3281" s="112" t="n">
        <v>0</v>
      </c>
      <c r="S3281" s="112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26" t="n">
        <v>46053</v>
      </c>
      <c r="H3282" s="125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12" t="n">
        <v>0</v>
      </c>
      <c r="R3282" s="112" t="n">
        <v>0</v>
      </c>
      <c r="S3282" s="112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26" t="n">
        <v>46053</v>
      </c>
      <c r="H3283" s="125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12" t="n">
        <v>0</v>
      </c>
      <c r="R3283" s="112" t="n">
        <v>0</v>
      </c>
      <c r="S3283" s="112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26" t="n">
        <v>46053</v>
      </c>
      <c r="H3284" s="125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12" t="n">
        <v>0</v>
      </c>
      <c r="R3284" s="112" t="n">
        <v>0</v>
      </c>
      <c r="S3284" s="112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26" t="n">
        <v>46053</v>
      </c>
      <c r="H3285" s="125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12" t="n">
        <v>0</v>
      </c>
      <c r="R3285" s="112" t="n">
        <v>0</v>
      </c>
      <c r="S3285" s="112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26" t="n">
        <v>46053</v>
      </c>
      <c r="H3286" s="125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12" t="n">
        <v>0</v>
      </c>
      <c r="R3286" s="112" t="n">
        <v>0</v>
      </c>
      <c r="S3286" s="112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26" t="n">
        <v>46053</v>
      </c>
      <c r="H3287" s="125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12" t="n">
        <v>0</v>
      </c>
      <c r="R3287" s="112" t="n">
        <v>0</v>
      </c>
      <c r="S3287" s="112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26" t="n">
        <v>46053</v>
      </c>
      <c r="H3288" s="125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12" t="n">
        <v>0</v>
      </c>
      <c r="R3288" s="112" t="n">
        <v>0</v>
      </c>
      <c r="S3288" s="112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26" t="n">
        <v>46053</v>
      </c>
      <c r="H3289" s="125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12" t="n">
        <v>0</v>
      </c>
      <c r="R3289" s="112" t="n">
        <v>0</v>
      </c>
      <c r="S3289" s="112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26" t="n">
        <v>46053</v>
      </c>
      <c r="H3290" s="125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12" t="n">
        <v>0</v>
      </c>
      <c r="R3290" s="112" t="n">
        <v>0</v>
      </c>
      <c r="S3290" s="112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26" t="n">
        <v>46053</v>
      </c>
      <c r="H3291" s="125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12" t="n">
        <v>0</v>
      </c>
      <c r="R3291" s="112" t="n">
        <v>0</v>
      </c>
      <c r="S3291" s="112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26" t="n">
        <v>46053</v>
      </c>
      <c r="H3292" s="125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12" t="n">
        <v>0</v>
      </c>
      <c r="R3292" s="112" t="n">
        <v>0</v>
      </c>
      <c r="S3292" s="112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26" t="n">
        <v>46053</v>
      </c>
      <c r="H3293" s="125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12" t="n">
        <v>0</v>
      </c>
      <c r="R3293" s="112" t="n">
        <v>0</v>
      </c>
      <c r="S3293" s="112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26" t="n">
        <v>46053</v>
      </c>
      <c r="H3294" s="125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12" t="n">
        <v>0</v>
      </c>
      <c r="R3294" s="112" t="n">
        <v>0</v>
      </c>
      <c r="S3294" s="112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26" t="n">
        <v>46053</v>
      </c>
      <c r="H3295" s="125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12" t="n">
        <v>0</v>
      </c>
      <c r="R3295" s="112" t="n">
        <v>0</v>
      </c>
      <c r="S3295" s="112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26" t="n">
        <v>46055</v>
      </c>
      <c r="H3296" s="125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12" t="n">
        <v>0</v>
      </c>
      <c r="R3296" s="112" t="n">
        <v>0</v>
      </c>
      <c r="S3296" s="112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26" t="n">
        <v>46055</v>
      </c>
      <c r="H3297" s="125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12" t="n">
        <v>0</v>
      </c>
      <c r="R3297" s="112" t="n">
        <v>0</v>
      </c>
      <c r="S3297" s="112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26" t="n">
        <v>46055</v>
      </c>
      <c r="H3298" s="125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12" t="n">
        <v>0</v>
      </c>
      <c r="R3298" s="112" t="n">
        <v>0</v>
      </c>
      <c r="S3298" s="112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26" t="n">
        <v>46066</v>
      </c>
      <c r="H3299" s="125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12" t="n">
        <v>0</v>
      </c>
      <c r="R3299" s="112" t="n">
        <v>0</v>
      </c>
      <c r="S3299" s="112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26" t="n">
        <v>46066</v>
      </c>
      <c r="H3300" s="125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12" t="n">
        <v>0</v>
      </c>
      <c r="R3300" s="112" t="n">
        <v>0</v>
      </c>
      <c r="S3300" s="112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26" t="n">
        <v>46066</v>
      </c>
      <c r="H3301" s="125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12" t="n">
        <v>0</v>
      </c>
      <c r="R3301" s="112" t="n">
        <v>0</v>
      </c>
      <c r="S3301" s="112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D3302" t="inlineStr"/>
      <c r="E3302" t="inlineStr">
        <is>
          <t>OC</t>
        </is>
      </c>
      <c r="F3302" t="inlineStr"/>
      <c r="G3302" s="126" t="inlineStr"/>
      <c r="H3302" s="125" t="n">
        <v>45937</v>
      </c>
      <c r="I3302" t="inlineStr"/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N3302" t="inlineStr"/>
      <c r="O3302" t="inlineStr"/>
      <c r="P3302" t="inlineStr"/>
      <c r="Q3302" s="112" t="n">
        <v>0</v>
      </c>
      <c r="R3302" s="112" t="n">
        <v>5000</v>
      </c>
      <c r="S3302" s="112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D3303" t="inlineStr"/>
      <c r="E3303" t="inlineStr">
        <is>
          <t>OC</t>
        </is>
      </c>
      <c r="F3303" t="inlineStr"/>
      <c r="G3303" s="126" t="inlineStr"/>
      <c r="H3303" s="125" t="n">
        <v>46034</v>
      </c>
      <c r="I3303" t="inlineStr"/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N3303" t="inlineStr"/>
      <c r="O3303" t="inlineStr">
        <is>
          <t>21272</t>
        </is>
      </c>
      <c r="P3303" t="inlineStr">
        <is>
          <t>SCHEIBE CONSULTING LLC</t>
        </is>
      </c>
      <c r="Q3303" s="112" t="n">
        <v>0</v>
      </c>
      <c r="R3303" s="112" t="n">
        <v>17000</v>
      </c>
      <c r="S3303" s="112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D3304" t="inlineStr"/>
      <c r="E3304" t="inlineStr">
        <is>
          <t>OC</t>
        </is>
      </c>
      <c r="F3304" t="inlineStr"/>
      <c r="G3304" s="126" t="inlineStr"/>
      <c r="H3304" s="125" t="n">
        <v>46034</v>
      </c>
      <c r="I3304" t="inlineStr"/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N3304" t="inlineStr"/>
      <c r="O3304" t="inlineStr">
        <is>
          <t>21272</t>
        </is>
      </c>
      <c r="P3304" t="inlineStr">
        <is>
          <t>SCHEIBE CONSULTING LLC</t>
        </is>
      </c>
      <c r="Q3304" s="112" t="n">
        <v>0</v>
      </c>
      <c r="R3304" s="112" t="n">
        <v>3550</v>
      </c>
      <c r="S3304" s="112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D3305" t="inlineStr"/>
      <c r="E3305" t="inlineStr">
        <is>
          <t>OC</t>
        </is>
      </c>
      <c r="F3305" t="inlineStr"/>
      <c r="G3305" s="126" t="inlineStr"/>
      <c r="H3305" s="125" t="n">
        <v>46041</v>
      </c>
      <c r="I3305" t="inlineStr"/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N3305" t="inlineStr"/>
      <c r="O3305" t="inlineStr">
        <is>
          <t>11293</t>
        </is>
      </c>
      <c r="P3305" t="inlineStr">
        <is>
          <t>CENTERPOINT ENERGY</t>
        </is>
      </c>
      <c r="Q3305" s="112" t="n">
        <v>0</v>
      </c>
      <c r="R3305" s="112" t="n">
        <v>100</v>
      </c>
      <c r="S3305" s="112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D3306" t="inlineStr"/>
      <c r="E3306" t="inlineStr">
        <is>
          <t>OC</t>
        </is>
      </c>
      <c r="F3306" t="inlineStr"/>
      <c r="G3306" s="126" t="inlineStr"/>
      <c r="H3306" s="125" t="n">
        <v>46065</v>
      </c>
      <c r="I3306" t="inlineStr"/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N3306" t="inlineStr"/>
      <c r="O3306" t="inlineStr">
        <is>
          <t>13089</t>
        </is>
      </c>
      <c r="P3306" t="inlineStr">
        <is>
          <t>PSS INDUSTRIAL GROUP</t>
        </is>
      </c>
      <c r="Q3306" s="112" t="n">
        <v>0</v>
      </c>
      <c r="R3306" s="112" t="n">
        <v>47.76</v>
      </c>
      <c r="S3306" s="112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D3307" t="inlineStr"/>
      <c r="E3307" t="inlineStr">
        <is>
          <t>OC</t>
        </is>
      </c>
      <c r="F3307" t="inlineStr"/>
      <c r="G3307" s="126" t="inlineStr"/>
      <c r="H3307" s="125" t="n">
        <v>46065</v>
      </c>
      <c r="I3307" t="inlineStr"/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N3307" t="inlineStr"/>
      <c r="O3307" t="inlineStr">
        <is>
          <t>13089</t>
        </is>
      </c>
      <c r="P3307" t="inlineStr">
        <is>
          <t>PSS INDUSTRIAL GROUP</t>
        </is>
      </c>
      <c r="Q3307" s="112" t="n">
        <v>0</v>
      </c>
      <c r="R3307" s="112" t="n">
        <v>1075.36</v>
      </c>
      <c r="S3307" s="112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D3308" t="inlineStr"/>
      <c r="E3308" t="inlineStr">
        <is>
          <t>OC</t>
        </is>
      </c>
      <c r="F3308" t="inlineStr"/>
      <c r="G3308" s="126" t="inlineStr"/>
      <c r="H3308" s="125" t="n">
        <v>46065</v>
      </c>
      <c r="I3308" t="inlineStr"/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N3308" t="inlineStr"/>
      <c r="O3308" t="inlineStr">
        <is>
          <t>13089</t>
        </is>
      </c>
      <c r="P3308" t="inlineStr">
        <is>
          <t>PSS INDUSTRIAL GROUP</t>
        </is>
      </c>
      <c r="Q3308" s="112" t="n">
        <v>0</v>
      </c>
      <c r="R3308" s="112" t="n">
        <v>105.11</v>
      </c>
      <c r="S3308" s="112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D3309" t="inlineStr"/>
      <c r="E3309" t="inlineStr">
        <is>
          <t>OC</t>
        </is>
      </c>
      <c r="F3309" t="inlineStr"/>
      <c r="G3309" s="126" t="inlineStr"/>
      <c r="H3309" s="125" t="n">
        <v>46105</v>
      </c>
      <c r="I3309" t="inlineStr"/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N3309" t="inlineStr"/>
      <c r="O3309" t="inlineStr"/>
      <c r="P3309" t="inlineStr"/>
      <c r="Q3309" s="112" t="n">
        <v>0</v>
      </c>
      <c r="R3309" s="112" t="n">
        <v>-0.18</v>
      </c>
      <c r="S3309" s="112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D3310" t="inlineStr"/>
      <c r="E3310" t="inlineStr">
        <is>
          <t>OC</t>
        </is>
      </c>
      <c r="F3310" t="inlineStr"/>
      <c r="G3310" s="126" t="inlineStr"/>
      <c r="H3310" s="125" t="n">
        <v>46112</v>
      </c>
      <c r="I3310" t="inlineStr"/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N3310" t="inlineStr"/>
      <c r="O3310" t="inlineStr">
        <is>
          <t>19943</t>
        </is>
      </c>
      <c r="P3310" t="inlineStr">
        <is>
          <t>HIGH NOON CONSULTING INC.</t>
        </is>
      </c>
      <c r="Q3310" s="112" t="n">
        <v>0</v>
      </c>
      <c r="R3310" s="112" t="n">
        <v>1462.5</v>
      </c>
      <c r="S3310" s="112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26" t="n">
        <v>45936</v>
      </c>
      <c r="H3311" s="125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12" t="n">
        <v>0</v>
      </c>
      <c r="R3311" s="112" t="n">
        <v>0</v>
      </c>
      <c r="S3311" s="112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26" t="n">
        <v>46059</v>
      </c>
      <c r="H3312" s="125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12" t="n">
        <v>0</v>
      </c>
      <c r="R3312" s="112" t="n">
        <v>0</v>
      </c>
      <c r="S3312" s="112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26" t="n">
        <v>46059</v>
      </c>
      <c r="H3313" s="125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12" t="n">
        <v>0</v>
      </c>
      <c r="R3313" s="112" t="n">
        <v>0</v>
      </c>
      <c r="S3313" s="112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26" t="n">
        <v>46059</v>
      </c>
      <c r="H3314" s="125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12" t="n">
        <v>0</v>
      </c>
      <c r="R3314" s="112" t="n">
        <v>0</v>
      </c>
      <c r="S3314" s="112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26" t="n">
        <v>46059</v>
      </c>
      <c r="H3315" s="125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12" t="n">
        <v>0</v>
      </c>
      <c r="R3315" s="112" t="n">
        <v>0</v>
      </c>
      <c r="S3315" s="112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26" t="n">
        <v>45936</v>
      </c>
      <c r="H3316" s="125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12" t="n">
        <v>0</v>
      </c>
      <c r="R3316" s="112" t="n">
        <v>0</v>
      </c>
      <c r="S3316" s="112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26" t="n">
        <v>46085</v>
      </c>
      <c r="H3317" s="125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12" t="n">
        <v>0</v>
      </c>
      <c r="R3317" s="112" t="n">
        <v>0</v>
      </c>
      <c r="S3317" s="112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26" t="n">
        <v>45939</v>
      </c>
      <c r="H3318" s="125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12" t="n">
        <v>0</v>
      </c>
      <c r="R3318" s="112" t="n">
        <v>0</v>
      </c>
      <c r="S3318" s="112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26" t="n">
        <v>45939</v>
      </c>
      <c r="H3319" s="125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12" t="n">
        <v>0</v>
      </c>
      <c r="R3319" s="112" t="n">
        <v>0</v>
      </c>
      <c r="S3319" s="112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26" t="n">
        <v>45939</v>
      </c>
      <c r="H3320" s="125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12" t="n">
        <v>0</v>
      </c>
      <c r="R3320" s="112" t="n">
        <v>0</v>
      </c>
      <c r="S3320" s="112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26" t="n">
        <v>45939</v>
      </c>
      <c r="H3321" s="125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12" t="n">
        <v>0</v>
      </c>
      <c r="R3321" s="112" t="n">
        <v>0</v>
      </c>
      <c r="S3321" s="112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26" t="n">
        <v>46125</v>
      </c>
      <c r="H3322" s="125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12" t="n">
        <v>0</v>
      </c>
      <c r="R3322" s="112" t="n">
        <v>0</v>
      </c>
      <c r="S3322" s="112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D3323" t="inlineStr"/>
      <c r="E3323" t="inlineStr">
        <is>
          <t>SU</t>
        </is>
      </c>
      <c r="F3323" t="inlineStr"/>
      <c r="G3323" s="126" t="inlineStr"/>
      <c r="H3323" s="125" t="n">
        <v>46007</v>
      </c>
      <c r="I3323" t="inlineStr"/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N3323" t="inlineStr"/>
      <c r="O3323" t="inlineStr">
        <is>
          <t>19065</t>
        </is>
      </c>
      <c r="P3323" t="inlineStr">
        <is>
          <t>KIMLEY-HORN AND ASSOCIATES, INC.</t>
        </is>
      </c>
      <c r="Q3323" s="112" t="n">
        <v>0</v>
      </c>
      <c r="R3323" s="112" t="n">
        <v>12000</v>
      </c>
      <c r="S3323" s="112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D3324" t="inlineStr"/>
      <c r="E3324" t="inlineStr">
        <is>
          <t>SU</t>
        </is>
      </c>
      <c r="F3324" t="inlineStr"/>
      <c r="G3324" s="126" t="inlineStr"/>
      <c r="H3324" s="125" t="n">
        <v>46043</v>
      </c>
      <c r="I3324" t="inlineStr"/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N3324" t="inlineStr"/>
      <c r="O3324" t="inlineStr">
        <is>
          <t>13296</t>
        </is>
      </c>
      <c r="P3324" t="inlineStr">
        <is>
          <t>TERRACON CONSULTANTS, INC</t>
        </is>
      </c>
      <c r="Q3324" s="112" t="n">
        <v>0</v>
      </c>
      <c r="R3324" s="112" t="n">
        <v>50590</v>
      </c>
      <c r="S3324" s="112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D3325" t="inlineStr"/>
      <c r="E3325" t="inlineStr">
        <is>
          <t>SU</t>
        </is>
      </c>
      <c r="F3325" t="inlineStr"/>
      <c r="G3325" s="126" t="inlineStr"/>
      <c r="H3325" s="125" t="n">
        <v>46077</v>
      </c>
      <c r="I3325" t="inlineStr"/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N3325" t="inlineStr"/>
      <c r="O3325" t="inlineStr">
        <is>
          <t>13296</t>
        </is>
      </c>
      <c r="P3325" t="inlineStr">
        <is>
          <t>TERRACON CONSULTANTS, INC</t>
        </is>
      </c>
      <c r="Q3325" s="112" t="n">
        <v>0</v>
      </c>
      <c r="R3325" s="112" t="n">
        <v>49350</v>
      </c>
      <c r="S3325" s="112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D3326" t="inlineStr"/>
      <c r="E3326" t="inlineStr">
        <is>
          <t>SU</t>
        </is>
      </c>
      <c r="F3326" t="inlineStr"/>
      <c r="G3326" s="126" t="inlineStr"/>
      <c r="H3326" s="125" t="n">
        <v>46086</v>
      </c>
      <c r="I3326" t="inlineStr"/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N3326" t="inlineStr"/>
      <c r="O3326" t="inlineStr">
        <is>
          <t>19065</t>
        </is>
      </c>
      <c r="P3326" t="inlineStr">
        <is>
          <t>KIMLEY-HORN AND ASSOCIATES, INC.</t>
        </is>
      </c>
      <c r="Q3326" s="112" t="n">
        <v>0</v>
      </c>
      <c r="R3326" s="112" t="n">
        <v>681023.04</v>
      </c>
      <c r="S3326" s="112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D3327" t="inlineStr"/>
      <c r="E3327" t="inlineStr">
        <is>
          <t>SU</t>
        </is>
      </c>
      <c r="F3327" t="inlineStr"/>
      <c r="G3327" s="126" t="inlineStr"/>
      <c r="H3327" s="125" t="n">
        <v>46098</v>
      </c>
      <c r="I3327" t="inlineStr"/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N3327" t="inlineStr"/>
      <c r="O3327" t="inlineStr">
        <is>
          <t>19065</t>
        </is>
      </c>
      <c r="P3327" t="inlineStr">
        <is>
          <t>KIMLEY-HORN AND ASSOCIATES, INC.</t>
        </is>
      </c>
      <c r="Q3327" s="112" t="n">
        <v>0</v>
      </c>
      <c r="R3327" s="112" t="n">
        <v>217050</v>
      </c>
      <c r="S3327" s="112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D3328" t="inlineStr"/>
      <c r="E3328" t="inlineStr">
        <is>
          <t>SU</t>
        </is>
      </c>
      <c r="F3328" t="inlineStr"/>
      <c r="G3328" s="126" t="inlineStr"/>
      <c r="H3328" s="125" t="n">
        <v>46146</v>
      </c>
      <c r="I3328" t="inlineStr"/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N3328" t="inlineStr"/>
      <c r="O3328" t="inlineStr">
        <is>
          <t>13296</t>
        </is>
      </c>
      <c r="P3328" t="inlineStr">
        <is>
          <t>TERRACON CONSULTANTS, INC</t>
        </is>
      </c>
      <c r="Q3328" s="112" t="n">
        <v>0</v>
      </c>
      <c r="R3328" s="112" t="n">
        <v>13102</v>
      </c>
      <c r="S3328" s="112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D3329" t="inlineStr"/>
      <c r="E3329" t="inlineStr">
        <is>
          <t>SU</t>
        </is>
      </c>
      <c r="F3329" t="inlineStr"/>
      <c r="G3329" s="126" t="inlineStr"/>
      <c r="H3329" s="125" t="n">
        <v>46157</v>
      </c>
      <c r="I3329" t="inlineStr"/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N3329" t="inlineStr"/>
      <c r="O3329" t="inlineStr">
        <is>
          <t>19065</t>
        </is>
      </c>
      <c r="P3329" t="inlineStr">
        <is>
          <t>KIMLEY-HORN AND ASSOCIATES, INC.</t>
        </is>
      </c>
      <c r="Q3329" s="112" t="n">
        <v>0</v>
      </c>
      <c r="R3329" s="112" t="n">
        <v>105850</v>
      </c>
      <c r="S3329" s="112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D3330" t="inlineStr"/>
      <c r="E3330" t="inlineStr">
        <is>
          <t>LA</t>
        </is>
      </c>
      <c r="F3330" t="inlineStr"/>
      <c r="G3330" s="126" t="inlineStr"/>
      <c r="H3330" s="125" t="n">
        <v>45981</v>
      </c>
      <c r="I3330" t="inlineStr"/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N3330" t="inlineStr"/>
      <c r="O3330" t="inlineStr"/>
      <c r="P3330" t="inlineStr"/>
      <c r="Q3330" s="112" t="n">
        <v>0</v>
      </c>
      <c r="R3330" s="112" t="n">
        <v>1818.43</v>
      </c>
      <c r="S3330" s="112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D3331" t="inlineStr"/>
      <c r="E3331" t="inlineStr">
        <is>
          <t>LA</t>
        </is>
      </c>
      <c r="F3331" t="inlineStr"/>
      <c r="G3331" s="126" t="inlineStr"/>
      <c r="H3331" s="125" t="n">
        <v>46054</v>
      </c>
      <c r="I3331" t="inlineStr"/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N3331" t="inlineStr"/>
      <c r="O3331" t="inlineStr"/>
      <c r="P3331" t="inlineStr"/>
      <c r="Q3331" s="112" t="n">
        <v>0</v>
      </c>
      <c r="R3331" s="112" t="n">
        <v>2110</v>
      </c>
      <c r="S3331" s="112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D3332" t="inlineStr"/>
      <c r="E3332" t="inlineStr">
        <is>
          <t>LA</t>
        </is>
      </c>
      <c r="F3332" t="inlineStr"/>
      <c r="G3332" s="126" t="inlineStr"/>
      <c r="H3332" s="125" t="n">
        <v>46150</v>
      </c>
      <c r="I3332" t="inlineStr"/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N3332" t="inlineStr"/>
      <c r="O3332" t="inlineStr"/>
      <c r="P3332" t="inlineStr"/>
      <c r="Q3332" s="112" t="n">
        <v>0</v>
      </c>
      <c r="R3332" s="112" t="n">
        <v>-3928.43</v>
      </c>
      <c r="S3332" s="112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26" t="n">
        <v>45951</v>
      </c>
      <c r="H3333" s="125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12" t="n">
        <v>0</v>
      </c>
      <c r="R3333" s="112" t="n">
        <v>0</v>
      </c>
      <c r="S3333" s="112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26" t="n">
        <v>45951</v>
      </c>
      <c r="H3334" s="125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12" t="n">
        <v>0</v>
      </c>
      <c r="R3334" s="112" t="n">
        <v>0</v>
      </c>
      <c r="S3334" s="112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26" t="n">
        <v>45951</v>
      </c>
      <c r="H3335" s="125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12" t="n">
        <v>0</v>
      </c>
      <c r="R3335" s="112" t="n">
        <v>0</v>
      </c>
      <c r="S3335" s="112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26" t="n">
        <v>45951</v>
      </c>
      <c r="H3336" s="125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12" t="n">
        <v>0</v>
      </c>
      <c r="R3336" s="112" t="n">
        <v>0</v>
      </c>
      <c r="S3336" s="112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26" t="n">
        <v>45951</v>
      </c>
      <c r="H3337" s="125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12" t="n">
        <v>0</v>
      </c>
      <c r="R3337" s="112" t="n">
        <v>0</v>
      </c>
      <c r="S3337" s="112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26" t="n">
        <v>45951</v>
      </c>
      <c r="H3338" s="125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12" t="n">
        <v>0</v>
      </c>
      <c r="R3338" s="112" t="n">
        <v>0</v>
      </c>
      <c r="S3338" s="112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26" t="n">
        <v>45951</v>
      </c>
      <c r="H3339" s="125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12" t="n">
        <v>0</v>
      </c>
      <c r="R3339" s="112" t="n">
        <v>0</v>
      </c>
      <c r="S3339" s="112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26" t="n">
        <v>45951</v>
      </c>
      <c r="H3340" s="125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12" t="n">
        <v>0</v>
      </c>
      <c r="R3340" s="112" t="n">
        <v>0</v>
      </c>
      <c r="S3340" s="112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26" t="n">
        <v>45951</v>
      </c>
      <c r="H3341" s="125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12" t="n">
        <v>0</v>
      </c>
      <c r="R3341" s="112" t="n">
        <v>0</v>
      </c>
      <c r="S3341" s="112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26" t="n">
        <v>45951</v>
      </c>
      <c r="H3342" s="125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12" t="n">
        <v>0</v>
      </c>
      <c r="R3342" s="112" t="n">
        <v>0</v>
      </c>
      <c r="S3342" s="112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26" t="n">
        <v>45951</v>
      </c>
      <c r="H3343" s="125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12" t="n">
        <v>0</v>
      </c>
      <c r="R3343" s="112" t="n">
        <v>0</v>
      </c>
      <c r="S3343" s="112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26" t="n">
        <v>45951</v>
      </c>
      <c r="H3344" s="125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12" t="n">
        <v>0</v>
      </c>
      <c r="R3344" s="112" t="n">
        <v>0</v>
      </c>
      <c r="S3344" s="112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26" t="n">
        <v>45951</v>
      </c>
      <c r="H3345" s="125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12" t="n">
        <v>0</v>
      </c>
      <c r="R3345" s="112" t="n">
        <v>0</v>
      </c>
      <c r="S3345" s="112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26" t="n">
        <v>45951</v>
      </c>
      <c r="H3346" s="125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12" t="n">
        <v>0</v>
      </c>
      <c r="R3346" s="112" t="n">
        <v>0</v>
      </c>
      <c r="S3346" s="112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26" t="n">
        <v>45951</v>
      </c>
      <c r="H3347" s="125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12" t="n">
        <v>0</v>
      </c>
      <c r="R3347" s="112" t="n">
        <v>0</v>
      </c>
      <c r="S3347" s="112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26" t="n">
        <v>45951</v>
      </c>
      <c r="H3348" s="125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12" t="n">
        <v>0</v>
      </c>
      <c r="R3348" s="112" t="n">
        <v>0</v>
      </c>
      <c r="S3348" s="112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26" t="n">
        <v>45951</v>
      </c>
      <c r="H3349" s="125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12" t="n">
        <v>0</v>
      </c>
      <c r="R3349" s="112" t="n">
        <v>0</v>
      </c>
      <c r="S3349" s="112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26" t="n">
        <v>45951</v>
      </c>
      <c r="H3350" s="125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12" t="n">
        <v>0</v>
      </c>
      <c r="R3350" s="112" t="n">
        <v>0</v>
      </c>
      <c r="S3350" s="112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26" t="n">
        <v>45951</v>
      </c>
      <c r="H3351" s="125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12" t="n">
        <v>0</v>
      </c>
      <c r="R3351" s="112" t="n">
        <v>0</v>
      </c>
      <c r="S3351" s="112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26" t="n">
        <v>45951</v>
      </c>
      <c r="H3352" s="125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12" t="n">
        <v>0</v>
      </c>
      <c r="R3352" s="112" t="n">
        <v>0</v>
      </c>
      <c r="S3352" s="112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26" t="n">
        <v>45951</v>
      </c>
      <c r="H3353" s="125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12" t="n">
        <v>0</v>
      </c>
      <c r="R3353" s="112" t="n">
        <v>0</v>
      </c>
      <c r="S3353" s="112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26" t="n">
        <v>45951</v>
      </c>
      <c r="H3354" s="125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12" t="n">
        <v>0</v>
      </c>
      <c r="R3354" s="112" t="n">
        <v>0</v>
      </c>
      <c r="S3354" s="112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26" t="n">
        <v>45951</v>
      </c>
      <c r="H3355" s="125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12" t="n">
        <v>0</v>
      </c>
      <c r="R3355" s="112" t="n">
        <v>0</v>
      </c>
      <c r="S3355" s="112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26" t="n">
        <v>45951</v>
      </c>
      <c r="H3356" s="125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12" t="n">
        <v>0</v>
      </c>
      <c r="R3356" s="112" t="n">
        <v>0</v>
      </c>
      <c r="S3356" s="112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26" t="n">
        <v>45951</v>
      </c>
      <c r="H3357" s="125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12" t="n">
        <v>0</v>
      </c>
      <c r="R3357" s="112" t="n">
        <v>0</v>
      </c>
      <c r="S3357" s="112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26" t="n">
        <v>45951</v>
      </c>
      <c r="H3358" s="125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12" t="n">
        <v>0</v>
      </c>
      <c r="R3358" s="112" t="n">
        <v>0</v>
      </c>
      <c r="S3358" s="112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26" t="n">
        <v>45951</v>
      </c>
      <c r="H3359" s="125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12" t="n">
        <v>0</v>
      </c>
      <c r="R3359" s="112" t="n">
        <v>0</v>
      </c>
      <c r="S3359" s="112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26" t="n">
        <v>45951</v>
      </c>
      <c r="H3360" s="125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12" t="n">
        <v>0</v>
      </c>
      <c r="R3360" s="112" t="n">
        <v>0</v>
      </c>
      <c r="S3360" s="112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26" t="n">
        <v>45951</v>
      </c>
      <c r="H3361" s="125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12" t="n">
        <v>0</v>
      </c>
      <c r="R3361" s="112" t="n">
        <v>0</v>
      </c>
      <c r="S3361" s="112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26" t="n">
        <v>45951</v>
      </c>
      <c r="H3362" s="125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12" t="n">
        <v>0</v>
      </c>
      <c r="R3362" s="112" t="n">
        <v>0</v>
      </c>
      <c r="S3362" s="112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26" t="n">
        <v>45951</v>
      </c>
      <c r="H3363" s="125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12" t="n">
        <v>0</v>
      </c>
      <c r="R3363" s="112" t="n">
        <v>0</v>
      </c>
      <c r="S3363" s="112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26" t="n">
        <v>45951</v>
      </c>
      <c r="H3364" s="125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12" t="n">
        <v>0</v>
      </c>
      <c r="R3364" s="112" t="n">
        <v>0</v>
      </c>
      <c r="S3364" s="112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26" t="n">
        <v>45951</v>
      </c>
      <c r="H3365" s="125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12" t="n">
        <v>0</v>
      </c>
      <c r="R3365" s="112" t="n">
        <v>0</v>
      </c>
      <c r="S3365" s="112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26" t="n">
        <v>45972</v>
      </c>
      <c r="H3366" s="125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12" t="n">
        <v>0</v>
      </c>
      <c r="R3366" s="112" t="n">
        <v>0</v>
      </c>
      <c r="S3366" s="112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26" t="n">
        <v>45972</v>
      </c>
      <c r="H3367" s="125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12" t="n">
        <v>0</v>
      </c>
      <c r="R3367" s="112" t="n">
        <v>0</v>
      </c>
      <c r="S3367" s="112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26" t="n">
        <v>45972</v>
      </c>
      <c r="H3368" s="125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12" t="n">
        <v>0</v>
      </c>
      <c r="R3368" s="112" t="n">
        <v>0</v>
      </c>
      <c r="S3368" s="112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26" t="n">
        <v>45974</v>
      </c>
      <c r="H3369" s="125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12" t="n">
        <v>0</v>
      </c>
      <c r="R3369" s="112" t="n">
        <v>0</v>
      </c>
      <c r="S3369" s="112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26" t="n">
        <v>45974</v>
      </c>
      <c r="H3370" s="125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12" t="n">
        <v>0</v>
      </c>
      <c r="R3370" s="112" t="n">
        <v>0</v>
      </c>
      <c r="S3370" s="112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26" t="n">
        <v>45974</v>
      </c>
      <c r="H3371" s="125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12" t="n">
        <v>0</v>
      </c>
      <c r="R3371" s="112" t="n">
        <v>0</v>
      </c>
      <c r="S3371" s="112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26" t="n">
        <v>45974</v>
      </c>
      <c r="H3372" s="125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12" t="n">
        <v>0</v>
      </c>
      <c r="R3372" s="112" t="n">
        <v>0</v>
      </c>
      <c r="S3372" s="112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26" t="n">
        <v>45974</v>
      </c>
      <c r="H3373" s="125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12" t="n">
        <v>0</v>
      </c>
      <c r="R3373" s="112" t="n">
        <v>0</v>
      </c>
      <c r="S3373" s="112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26" t="n">
        <v>45974</v>
      </c>
      <c r="H3374" s="125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12" t="n">
        <v>0</v>
      </c>
      <c r="R3374" s="112" t="n">
        <v>0</v>
      </c>
      <c r="S3374" s="112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26" t="n">
        <v>45974</v>
      </c>
      <c r="H3375" s="125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12" t="n">
        <v>0</v>
      </c>
      <c r="R3375" s="112" t="n">
        <v>0</v>
      </c>
      <c r="S3375" s="112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26" t="n">
        <v>45974</v>
      </c>
      <c r="H3376" s="125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12" t="n">
        <v>0</v>
      </c>
      <c r="R3376" s="112" t="n">
        <v>0</v>
      </c>
      <c r="S3376" s="112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26" t="n">
        <v>45974</v>
      </c>
      <c r="H3377" s="125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12" t="n">
        <v>0</v>
      </c>
      <c r="R3377" s="112" t="n">
        <v>0</v>
      </c>
      <c r="S3377" s="112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D3378" t="inlineStr"/>
      <c r="E3378" t="inlineStr">
        <is>
          <t>MA</t>
        </is>
      </c>
      <c r="F3378" t="inlineStr"/>
      <c r="G3378" s="126" t="inlineStr"/>
      <c r="H3378" s="125" t="n">
        <v>45970</v>
      </c>
      <c r="I3378" t="inlineStr"/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N3378" t="inlineStr"/>
      <c r="O3378" t="inlineStr">
        <is>
          <t>20642</t>
        </is>
      </c>
      <c r="P3378" t="inlineStr">
        <is>
          <t>GRIDPOWER SOLUTIONS, LLC</t>
        </is>
      </c>
      <c r="Q3378" s="112" t="n">
        <v>0</v>
      </c>
      <c r="R3378" s="112" t="n">
        <v>275.38</v>
      </c>
      <c r="S3378" s="112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D3379" t="inlineStr"/>
      <c r="E3379" t="inlineStr">
        <is>
          <t>MA</t>
        </is>
      </c>
      <c r="F3379" t="inlineStr"/>
      <c r="G3379" s="126" t="inlineStr"/>
      <c r="H3379" s="125" t="n">
        <v>45984</v>
      </c>
      <c r="I3379" t="inlineStr"/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N3379" t="inlineStr"/>
      <c r="O3379" t="inlineStr">
        <is>
          <t>20642</t>
        </is>
      </c>
      <c r="P3379" t="inlineStr">
        <is>
          <t>GRIDPOWER SOLUTIONS, LLC</t>
        </is>
      </c>
      <c r="Q3379" s="112" t="n">
        <v>0</v>
      </c>
      <c r="R3379" s="112" t="n">
        <v>40.87</v>
      </c>
      <c r="S3379" s="112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D3380" t="inlineStr"/>
      <c r="E3380" t="inlineStr">
        <is>
          <t>MA</t>
        </is>
      </c>
      <c r="F3380" t="inlineStr"/>
      <c r="G3380" s="126" t="inlineStr"/>
      <c r="H3380" s="125" t="n">
        <v>45984</v>
      </c>
      <c r="I3380" t="inlineStr"/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N3380" t="inlineStr"/>
      <c r="O3380" t="inlineStr">
        <is>
          <t>20642</t>
        </is>
      </c>
      <c r="P3380" t="inlineStr">
        <is>
          <t>GRIDPOWER SOLUTIONS, LLC</t>
        </is>
      </c>
      <c r="Q3380" s="112" t="n">
        <v>0</v>
      </c>
      <c r="R3380" s="112" t="n">
        <v>46.26</v>
      </c>
      <c r="S3380" s="112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D3381" t="inlineStr"/>
      <c r="E3381" t="inlineStr">
        <is>
          <t>MA</t>
        </is>
      </c>
      <c r="F3381" t="inlineStr"/>
      <c r="G3381" s="126" t="inlineStr"/>
      <c r="H3381" s="125" t="n">
        <v>45985</v>
      </c>
      <c r="I3381" t="inlineStr"/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N3381" t="inlineStr"/>
      <c r="O3381" t="inlineStr">
        <is>
          <t>20642</t>
        </is>
      </c>
      <c r="P3381" t="inlineStr">
        <is>
          <t>GRIDPOWER SOLUTIONS, LLC</t>
        </is>
      </c>
      <c r="Q3381" s="112" t="n">
        <v>0</v>
      </c>
      <c r="R3381" s="112" t="n">
        <v>240.55</v>
      </c>
      <c r="S3381" s="112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D3382" t="inlineStr"/>
      <c r="E3382" t="inlineStr">
        <is>
          <t>MA</t>
        </is>
      </c>
      <c r="F3382" t="inlineStr"/>
      <c r="G3382" s="126" t="inlineStr"/>
      <c r="H3382" s="125" t="n">
        <v>45986</v>
      </c>
      <c r="I3382" t="inlineStr"/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N3382" t="inlineStr"/>
      <c r="O3382" t="inlineStr">
        <is>
          <t>20642</t>
        </is>
      </c>
      <c r="P3382" t="inlineStr">
        <is>
          <t>GRIDPOWER SOLUTIONS, LLC</t>
        </is>
      </c>
      <c r="Q3382" s="112" t="n">
        <v>0</v>
      </c>
      <c r="R3382" s="112" t="n">
        <v>743.6799999999999</v>
      </c>
      <c r="S3382" s="112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D3383" t="inlineStr"/>
      <c r="E3383" t="inlineStr">
        <is>
          <t>MA</t>
        </is>
      </c>
      <c r="F3383" t="inlineStr"/>
      <c r="G3383" s="126" t="inlineStr"/>
      <c r="H3383" s="125" t="n">
        <v>45992</v>
      </c>
      <c r="I3383" t="inlineStr"/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N3383" t="inlineStr"/>
      <c r="O3383" t="inlineStr">
        <is>
          <t>12747</t>
        </is>
      </c>
      <c r="P3383" t="inlineStr">
        <is>
          <t>GRAINGER, INC.</t>
        </is>
      </c>
      <c r="Q3383" s="112" t="n">
        <v>0</v>
      </c>
      <c r="R3383" s="112" t="n">
        <v>1868.09</v>
      </c>
      <c r="S3383" s="112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D3384" t="inlineStr"/>
      <c r="E3384" t="inlineStr">
        <is>
          <t>MA</t>
        </is>
      </c>
      <c r="F3384" t="inlineStr"/>
      <c r="G3384" s="126" t="inlineStr"/>
      <c r="H3384" s="125" t="n">
        <v>46014</v>
      </c>
      <c r="I3384" t="inlineStr"/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N3384" t="inlineStr"/>
      <c r="O3384" t="inlineStr">
        <is>
          <t>12561</t>
        </is>
      </c>
      <c r="P3384" t="inlineStr">
        <is>
          <t>CROSS COUNTRY INFRASTRUCTURE SERVICES INC.</t>
        </is>
      </c>
      <c r="Q3384" s="112" t="n">
        <v>0</v>
      </c>
      <c r="R3384" s="112" t="n">
        <v>905.37</v>
      </c>
      <c r="S3384" s="112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D3385" t="inlineStr"/>
      <c r="E3385" t="inlineStr">
        <is>
          <t>MA</t>
        </is>
      </c>
      <c r="F3385" t="inlineStr"/>
      <c r="G3385" s="126" t="inlineStr"/>
      <c r="H3385" s="125" t="n">
        <v>46014</v>
      </c>
      <c r="I3385" t="inlineStr"/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N3385" t="inlineStr"/>
      <c r="O3385" t="inlineStr">
        <is>
          <t>20642</t>
        </is>
      </c>
      <c r="P3385" t="inlineStr">
        <is>
          <t>GRIDPOWER SOLUTIONS, LLC</t>
        </is>
      </c>
      <c r="Q3385" s="112" t="n">
        <v>0</v>
      </c>
      <c r="R3385" s="112" t="n">
        <v>1319.69</v>
      </c>
      <c r="S3385" s="112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D3386" t="inlineStr"/>
      <c r="E3386" t="inlineStr">
        <is>
          <t>MA</t>
        </is>
      </c>
      <c r="F3386" t="inlineStr"/>
      <c r="G3386" s="126" t="inlineStr"/>
      <c r="H3386" s="125" t="n">
        <v>46030</v>
      </c>
      <c r="I3386" t="inlineStr"/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N3386" t="inlineStr"/>
      <c r="O3386" t="inlineStr">
        <is>
          <t>20642</t>
        </is>
      </c>
      <c r="P3386" t="inlineStr">
        <is>
          <t>GRIDPOWER SOLUTIONS, LLC</t>
        </is>
      </c>
      <c r="Q3386" s="112" t="n">
        <v>0</v>
      </c>
      <c r="R3386" s="112" t="n">
        <v>305.65</v>
      </c>
      <c r="S3386" s="112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26" t="n">
        <v>45951</v>
      </c>
      <c r="H3387" s="125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12" t="n">
        <v>0</v>
      </c>
      <c r="R3387" s="112" t="n">
        <v>0</v>
      </c>
      <c r="S3387" s="112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26" t="n">
        <v>45951</v>
      </c>
      <c r="H3388" s="125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12" t="n">
        <v>0</v>
      </c>
      <c r="R3388" s="112" t="n">
        <v>0</v>
      </c>
      <c r="S3388" s="112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26" t="n">
        <v>45951</v>
      </c>
      <c r="H3389" s="125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12" t="n">
        <v>0</v>
      </c>
      <c r="R3389" s="112" t="n">
        <v>0</v>
      </c>
      <c r="S3389" s="112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26" t="n">
        <v>45974</v>
      </c>
      <c r="H3390" s="125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12" t="n">
        <v>0</v>
      </c>
      <c r="R3390" s="112" t="n">
        <v>0</v>
      </c>
      <c r="S3390" s="112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26" t="n">
        <v>45974</v>
      </c>
      <c r="H3391" s="125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12" t="n">
        <v>0</v>
      </c>
      <c r="R3391" s="112" t="n">
        <v>0</v>
      </c>
      <c r="S3391" s="112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26" t="n">
        <v>45974</v>
      </c>
      <c r="H3392" s="125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12" t="n">
        <v>0</v>
      </c>
      <c r="R3392" s="112" t="n">
        <v>0</v>
      </c>
      <c r="S3392" s="112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D3393" t="inlineStr"/>
      <c r="E3393" t="inlineStr">
        <is>
          <t>OC</t>
        </is>
      </c>
      <c r="F3393" t="inlineStr"/>
      <c r="G3393" s="126" t="inlineStr"/>
      <c r="H3393" s="125" t="n">
        <v>46011</v>
      </c>
      <c r="I3393" t="inlineStr"/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N3393" t="inlineStr"/>
      <c r="O3393" t="inlineStr">
        <is>
          <t>2208</t>
        </is>
      </c>
      <c r="P3393" t="inlineStr"/>
      <c r="Q3393" s="112" t="n">
        <v>0</v>
      </c>
      <c r="R3393" s="112" t="n">
        <v>184.89</v>
      </c>
      <c r="S3393" s="112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D3394" t="inlineStr"/>
      <c r="E3394" t="inlineStr">
        <is>
          <t>OC</t>
        </is>
      </c>
      <c r="F3394" t="inlineStr"/>
      <c r="G3394" s="126" t="inlineStr"/>
      <c r="H3394" s="125" t="n">
        <v>46011</v>
      </c>
      <c r="I3394" t="inlineStr"/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N3394" t="inlineStr"/>
      <c r="O3394" t="inlineStr">
        <is>
          <t>2208</t>
        </is>
      </c>
      <c r="P3394" t="inlineStr"/>
      <c r="Q3394" s="112" t="n">
        <v>0</v>
      </c>
      <c r="R3394" s="112" t="n">
        <v>141.41</v>
      </c>
      <c r="S3394" s="112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D3395" t="inlineStr"/>
      <c r="E3395" t="inlineStr">
        <is>
          <t>OC</t>
        </is>
      </c>
      <c r="F3395" t="inlineStr"/>
      <c r="G3395" s="126" t="inlineStr"/>
      <c r="H3395" s="125" t="n">
        <v>46014</v>
      </c>
      <c r="I3395" t="inlineStr"/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N3395" t="inlineStr"/>
      <c r="O3395" t="inlineStr">
        <is>
          <t>12561</t>
        </is>
      </c>
      <c r="P3395" t="inlineStr">
        <is>
          <t>CROSS COUNTRY INFRASTRUCTURE SERVICES INC.</t>
        </is>
      </c>
      <c r="Q3395" s="112" t="n">
        <v>0</v>
      </c>
      <c r="R3395" s="112" t="n">
        <v>541.25</v>
      </c>
      <c r="S3395" s="112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D3396" t="inlineStr"/>
      <c r="E3396" t="inlineStr">
        <is>
          <t>OC</t>
        </is>
      </c>
      <c r="F3396" t="inlineStr"/>
      <c r="G3396" s="126" t="inlineStr"/>
      <c r="H3396" s="125" t="n">
        <v>46014</v>
      </c>
      <c r="I3396" t="inlineStr"/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N3396" t="inlineStr"/>
      <c r="O3396" t="inlineStr">
        <is>
          <t>12561</t>
        </is>
      </c>
      <c r="P3396" t="inlineStr">
        <is>
          <t>CROSS COUNTRY INFRASTRUCTURE SERVICES INC.</t>
        </is>
      </c>
      <c r="Q3396" s="112" t="n">
        <v>0</v>
      </c>
      <c r="R3396" s="112" t="n">
        <v>595.38</v>
      </c>
      <c r="S3396" s="112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D3397" t="inlineStr"/>
      <c r="E3397" t="inlineStr">
        <is>
          <t>OC</t>
        </is>
      </c>
      <c r="F3397" t="inlineStr"/>
      <c r="G3397" s="126" t="inlineStr"/>
      <c r="H3397" s="125" t="n">
        <v>46014</v>
      </c>
      <c r="I3397" t="inlineStr"/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N3397" t="inlineStr"/>
      <c r="O3397" t="inlineStr">
        <is>
          <t>20642</t>
        </is>
      </c>
      <c r="P3397" t="inlineStr">
        <is>
          <t>GRIDPOWER SOLUTIONS, LLC</t>
        </is>
      </c>
      <c r="Q3397" s="112" t="n">
        <v>0</v>
      </c>
      <c r="R3397" s="112" t="n">
        <v>811.89</v>
      </c>
      <c r="S3397" s="112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D3398" t="inlineStr"/>
      <c r="E3398" t="inlineStr">
        <is>
          <t>EQ</t>
        </is>
      </c>
      <c r="F3398" t="inlineStr"/>
      <c r="G3398" s="126" t="inlineStr"/>
      <c r="H3398" s="125" t="n">
        <v>46096</v>
      </c>
      <c r="I3398" t="inlineStr"/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N3398" t="inlineStr"/>
      <c r="O3398" t="inlineStr">
        <is>
          <t>RT1423</t>
        </is>
      </c>
      <c r="P3398" t="inlineStr"/>
      <c r="Q3398" s="112" t="n">
        <v>0</v>
      </c>
      <c r="R3398" s="112" t="n">
        <v>79.14</v>
      </c>
      <c r="S3398" s="112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D3399" t="inlineStr"/>
      <c r="E3399" t="inlineStr">
        <is>
          <t>LA</t>
        </is>
      </c>
      <c r="F3399" t="inlineStr"/>
      <c r="G3399" s="126" t="inlineStr"/>
      <c r="H3399" s="125" t="n">
        <v>46121</v>
      </c>
      <c r="I3399" t="inlineStr"/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N3399" t="inlineStr"/>
      <c r="O3399" t="inlineStr"/>
      <c r="P3399" t="inlineStr"/>
      <c r="Q3399" s="112" t="n">
        <v>0</v>
      </c>
      <c r="R3399" s="112" t="n">
        <v>3247.59</v>
      </c>
      <c r="S3399" s="112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D3400" t="inlineStr"/>
      <c r="E3400" t="inlineStr">
        <is>
          <t>LA</t>
        </is>
      </c>
      <c r="F3400" t="inlineStr"/>
      <c r="G3400" s="126" t="inlineStr"/>
      <c r="H3400" s="125" t="n">
        <v>46121</v>
      </c>
      <c r="I3400" t="inlineStr"/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N3400" t="inlineStr"/>
      <c r="O3400" t="inlineStr"/>
      <c r="P3400" t="inlineStr"/>
      <c r="Q3400" s="112" t="n">
        <v>0</v>
      </c>
      <c r="R3400" s="112" t="n">
        <v>2440.62</v>
      </c>
      <c r="S3400" s="112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D3401" t="inlineStr"/>
      <c r="E3401" t="inlineStr">
        <is>
          <t>LA</t>
        </is>
      </c>
      <c r="F3401" t="inlineStr"/>
      <c r="G3401" s="126" t="inlineStr"/>
      <c r="H3401" s="125" t="n">
        <v>46128</v>
      </c>
      <c r="I3401" t="inlineStr"/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N3401" t="inlineStr"/>
      <c r="O3401" t="inlineStr"/>
      <c r="P3401" t="inlineStr"/>
      <c r="Q3401" s="112" t="n">
        <v>0</v>
      </c>
      <c r="R3401" s="112" t="n">
        <v>289.27</v>
      </c>
      <c r="S3401" s="112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D3402" t="inlineStr"/>
      <c r="E3402" t="inlineStr">
        <is>
          <t>LA</t>
        </is>
      </c>
      <c r="F3402" t="inlineStr"/>
      <c r="G3402" s="126" t="inlineStr"/>
      <c r="H3402" s="125" t="n">
        <v>46135</v>
      </c>
      <c r="I3402" t="inlineStr"/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N3402" t="inlineStr"/>
      <c r="O3402" t="inlineStr"/>
      <c r="P3402" t="inlineStr"/>
      <c r="Q3402" s="112" t="n">
        <v>0</v>
      </c>
      <c r="R3402" s="112" t="n">
        <v>900.64</v>
      </c>
      <c r="S3402" s="112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D3403" t="inlineStr"/>
      <c r="E3403" t="inlineStr">
        <is>
          <t>LA</t>
        </is>
      </c>
      <c r="F3403" t="inlineStr"/>
      <c r="G3403" s="126" t="inlineStr"/>
      <c r="H3403" s="125" t="n">
        <v>46142</v>
      </c>
      <c r="I3403" t="inlineStr"/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N3403" t="inlineStr"/>
      <c r="O3403" t="inlineStr"/>
      <c r="P3403" t="inlineStr"/>
      <c r="Q3403" s="112" t="n">
        <v>0</v>
      </c>
      <c r="R3403" s="112" t="n">
        <v>2319.2</v>
      </c>
      <c r="S3403" s="112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D3404" t="inlineStr"/>
      <c r="E3404" t="inlineStr">
        <is>
          <t>LA</t>
        </is>
      </c>
      <c r="F3404" t="inlineStr"/>
      <c r="G3404" s="126" t="inlineStr"/>
      <c r="H3404" s="125" t="n">
        <v>46149</v>
      </c>
      <c r="I3404" t="inlineStr"/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N3404" t="inlineStr"/>
      <c r="O3404" t="inlineStr"/>
      <c r="P3404" t="inlineStr"/>
      <c r="Q3404" s="112" t="n">
        <v>0</v>
      </c>
      <c r="R3404" s="112" t="n">
        <v>367.4</v>
      </c>
      <c r="S3404" s="112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D3405" t="inlineStr"/>
      <c r="E3405" t="inlineStr">
        <is>
          <t>LA</t>
        </is>
      </c>
      <c r="F3405" t="inlineStr"/>
      <c r="G3405" s="126" t="inlineStr"/>
      <c r="H3405" s="125" t="n">
        <v>46149</v>
      </c>
      <c r="I3405" t="inlineStr"/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N3405" t="inlineStr"/>
      <c r="O3405" t="inlineStr"/>
      <c r="P3405" t="inlineStr"/>
      <c r="Q3405" s="112" t="n">
        <v>0</v>
      </c>
      <c r="R3405" s="112" t="n">
        <v>960.39</v>
      </c>
      <c r="S3405" s="112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D3406" t="inlineStr"/>
      <c r="E3406" t="inlineStr">
        <is>
          <t>LA</t>
        </is>
      </c>
      <c r="F3406" t="inlineStr"/>
      <c r="G3406" s="126" t="inlineStr"/>
      <c r="H3406" s="125" t="n">
        <v>46163</v>
      </c>
      <c r="I3406" t="inlineStr"/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N3406" t="inlineStr"/>
      <c r="O3406" t="inlineStr"/>
      <c r="P3406" t="inlineStr"/>
      <c r="Q3406" s="112" t="n">
        <v>0</v>
      </c>
      <c r="R3406" s="112" t="n">
        <v>2470.92</v>
      </c>
      <c r="S3406" s="112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D3407" t="inlineStr"/>
      <c r="E3407" t="inlineStr">
        <is>
          <t>OC</t>
        </is>
      </c>
      <c r="F3407" t="inlineStr"/>
      <c r="G3407" s="126" t="inlineStr"/>
      <c r="H3407" s="125" t="n">
        <v>46112</v>
      </c>
      <c r="I3407" t="inlineStr"/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N3407" t="inlineStr"/>
      <c r="O3407" t="inlineStr">
        <is>
          <t>2264</t>
        </is>
      </c>
      <c r="P3407" t="inlineStr"/>
      <c r="Q3407" s="112" t="n">
        <v>0</v>
      </c>
      <c r="R3407" s="112" t="n">
        <v>630</v>
      </c>
      <c r="S3407" s="112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D3408" t="inlineStr"/>
      <c r="E3408" t="inlineStr">
        <is>
          <t>OC</t>
        </is>
      </c>
      <c r="F3408" t="inlineStr"/>
      <c r="G3408" s="126" t="inlineStr"/>
      <c r="H3408" s="125" t="n">
        <v>46149</v>
      </c>
      <c r="I3408" t="inlineStr"/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N3408" t="inlineStr"/>
      <c r="O3408" t="inlineStr">
        <is>
          <t>10630</t>
        </is>
      </c>
      <c r="P3408" t="inlineStr">
        <is>
          <t>DISA GLOBAL SOLUTIONS INC</t>
        </is>
      </c>
      <c r="Q3408" s="112" t="n">
        <v>0</v>
      </c>
      <c r="R3408" s="112" t="n">
        <v>150.75</v>
      </c>
      <c r="S3408" s="112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D3409" t="inlineStr"/>
      <c r="E3409" t="inlineStr">
        <is>
          <t>OC</t>
        </is>
      </c>
      <c r="F3409" t="inlineStr"/>
      <c r="G3409" s="126" t="inlineStr"/>
      <c r="H3409" s="125" t="n">
        <v>46161</v>
      </c>
      <c r="I3409" t="inlineStr"/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N3409" t="inlineStr"/>
      <c r="O3409" t="inlineStr">
        <is>
          <t>20710</t>
        </is>
      </c>
      <c r="P3409" t="inlineStr">
        <is>
          <t>NATIONAL ENERGY CONTROL SERVICES, INC.</t>
        </is>
      </c>
      <c r="Q3409" s="112" t="n">
        <v>0</v>
      </c>
      <c r="R3409" s="112" t="n">
        <v>450</v>
      </c>
      <c r="S3409" s="112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D3410" t="inlineStr"/>
      <c r="E3410" t="inlineStr">
        <is>
          <t>OC</t>
        </is>
      </c>
      <c r="F3410" t="inlineStr"/>
      <c r="G3410" s="126" t="inlineStr"/>
      <c r="H3410" s="125" t="n">
        <v>46162</v>
      </c>
      <c r="I3410" t="inlineStr"/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N3410" t="inlineStr"/>
      <c r="O3410" t="inlineStr">
        <is>
          <t>10630</t>
        </is>
      </c>
      <c r="P3410" t="inlineStr">
        <is>
          <t>DISA GLOBAL SOLUTIONS INC</t>
        </is>
      </c>
      <c r="Q3410" s="112" t="n">
        <v>0</v>
      </c>
      <c r="R3410" s="112" t="n">
        <v>318.75</v>
      </c>
      <c r="S3410" s="112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D3411" t="inlineStr"/>
      <c r="E3411" t="inlineStr">
        <is>
          <t>EQ</t>
        </is>
      </c>
      <c r="F3411" t="inlineStr"/>
      <c r="G3411" s="126" t="inlineStr"/>
      <c r="H3411" s="125" t="n">
        <v>46124</v>
      </c>
      <c r="I3411" t="inlineStr"/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N3411" t="inlineStr"/>
      <c r="O3411" t="inlineStr">
        <is>
          <t>FE017</t>
        </is>
      </c>
      <c r="P3411" t="inlineStr"/>
      <c r="Q3411" s="112" t="n">
        <v>0</v>
      </c>
      <c r="R3411" s="112" t="n">
        <v>0</v>
      </c>
      <c r="S3411" s="112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D3412" t="inlineStr"/>
      <c r="E3412" t="inlineStr">
        <is>
          <t>EQ</t>
        </is>
      </c>
      <c r="F3412" t="inlineStr"/>
      <c r="G3412" s="126" t="inlineStr"/>
      <c r="H3412" s="125" t="n">
        <v>46124</v>
      </c>
      <c r="I3412" t="inlineStr"/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N3412" t="inlineStr"/>
      <c r="O3412" t="inlineStr">
        <is>
          <t>FT011</t>
        </is>
      </c>
      <c r="P3412" t="inlineStr"/>
      <c r="Q3412" s="112" t="n">
        <v>0</v>
      </c>
      <c r="R3412" s="112" t="n">
        <v>291.67</v>
      </c>
      <c r="S3412" s="112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D3413" t="inlineStr"/>
      <c r="E3413" t="inlineStr">
        <is>
          <t>EQ</t>
        </is>
      </c>
      <c r="F3413" t="inlineStr"/>
      <c r="G3413" s="126" t="inlineStr"/>
      <c r="H3413" s="125" t="n">
        <v>46124</v>
      </c>
      <c r="I3413" t="inlineStr"/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N3413" t="inlineStr"/>
      <c r="O3413" t="inlineStr">
        <is>
          <t>WLD146</t>
        </is>
      </c>
      <c r="P3413" t="inlineStr"/>
      <c r="Q3413" s="112" t="n">
        <v>0</v>
      </c>
      <c r="R3413" s="112" t="n">
        <v>50</v>
      </c>
      <c r="S3413" s="112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D3414" t="inlineStr"/>
      <c r="E3414" t="inlineStr">
        <is>
          <t>EQ</t>
        </is>
      </c>
      <c r="F3414" t="inlineStr"/>
      <c r="G3414" s="126" t="inlineStr"/>
      <c r="H3414" s="125" t="n">
        <v>46124</v>
      </c>
      <c r="I3414" t="inlineStr"/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N3414" t="inlineStr"/>
      <c r="O3414" t="inlineStr">
        <is>
          <t>RT1385</t>
        </is>
      </c>
      <c r="P3414" t="inlineStr"/>
      <c r="Q3414" s="112" t="n">
        <v>0</v>
      </c>
      <c r="R3414" s="112" t="n">
        <v>79.14</v>
      </c>
      <c r="S3414" s="112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D3415" t="inlineStr"/>
      <c r="E3415" t="inlineStr">
        <is>
          <t>EQ</t>
        </is>
      </c>
      <c r="F3415" t="inlineStr"/>
      <c r="G3415" s="126" t="inlineStr"/>
      <c r="H3415" s="125" t="n">
        <v>46124</v>
      </c>
      <c r="I3415" t="inlineStr"/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N3415" t="inlineStr"/>
      <c r="O3415" t="inlineStr">
        <is>
          <t>SSAUGKIT1</t>
        </is>
      </c>
      <c r="P3415" t="inlineStr"/>
      <c r="Q3415" s="112" t="n">
        <v>0</v>
      </c>
      <c r="R3415" s="112" t="n">
        <v>35</v>
      </c>
      <c r="S3415" s="112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D3416" t="inlineStr"/>
      <c r="E3416" t="inlineStr">
        <is>
          <t>EQ</t>
        </is>
      </c>
      <c r="F3416" t="inlineStr"/>
      <c r="G3416" s="126" t="inlineStr"/>
      <c r="H3416" s="125" t="n">
        <v>46124</v>
      </c>
      <c r="I3416" t="inlineStr"/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N3416" t="inlineStr"/>
      <c r="O3416" t="inlineStr">
        <is>
          <t>TR425</t>
        </is>
      </c>
      <c r="P3416" t="inlineStr"/>
      <c r="Q3416" s="112" t="n">
        <v>0</v>
      </c>
      <c r="R3416" s="112" t="n">
        <v>65</v>
      </c>
      <c r="S3416" s="112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D3417" t="inlineStr"/>
      <c r="E3417" t="inlineStr">
        <is>
          <t>EQ</t>
        </is>
      </c>
      <c r="F3417" t="inlineStr"/>
      <c r="G3417" s="126" t="inlineStr"/>
      <c r="H3417" s="125" t="n">
        <v>46124</v>
      </c>
      <c r="I3417" t="inlineStr"/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N3417" t="inlineStr"/>
      <c r="O3417" t="inlineStr">
        <is>
          <t>TR428</t>
        </is>
      </c>
      <c r="P3417" t="inlineStr"/>
      <c r="Q3417" s="112" t="n">
        <v>0</v>
      </c>
      <c r="R3417" s="112" t="n">
        <v>15</v>
      </c>
      <c r="S3417" s="112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D3418" t="inlineStr"/>
      <c r="E3418" t="inlineStr">
        <is>
          <t>EQ</t>
        </is>
      </c>
      <c r="F3418" t="inlineStr"/>
      <c r="G3418" s="126" t="inlineStr"/>
      <c r="H3418" s="125" t="n">
        <v>46124</v>
      </c>
      <c r="I3418" t="inlineStr"/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N3418" t="inlineStr"/>
      <c r="O3418" t="inlineStr">
        <is>
          <t>FE017</t>
        </is>
      </c>
      <c r="P3418" t="inlineStr"/>
      <c r="Q3418" s="112" t="n">
        <v>0</v>
      </c>
      <c r="R3418" s="112" t="n">
        <v>0</v>
      </c>
      <c r="S3418" s="112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D3419" t="inlineStr"/>
      <c r="E3419" t="inlineStr">
        <is>
          <t>EQ</t>
        </is>
      </c>
      <c r="F3419" t="inlineStr"/>
      <c r="G3419" s="126" t="inlineStr"/>
      <c r="H3419" s="125" t="n">
        <v>46124</v>
      </c>
      <c r="I3419" t="inlineStr"/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N3419" t="inlineStr"/>
      <c r="O3419" t="inlineStr">
        <is>
          <t>FE017</t>
        </is>
      </c>
      <c r="P3419" t="inlineStr"/>
      <c r="Q3419" s="112" t="n">
        <v>0</v>
      </c>
      <c r="R3419" s="112" t="n">
        <v>0</v>
      </c>
      <c r="S3419" s="112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D3420" t="inlineStr"/>
      <c r="E3420" t="inlineStr">
        <is>
          <t>EQ</t>
        </is>
      </c>
      <c r="F3420" t="inlineStr"/>
      <c r="G3420" s="126" t="inlineStr"/>
      <c r="H3420" s="125" t="n">
        <v>46124</v>
      </c>
      <c r="I3420" t="inlineStr"/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N3420" t="inlineStr"/>
      <c r="O3420" t="inlineStr">
        <is>
          <t>FE017</t>
        </is>
      </c>
      <c r="P3420" t="inlineStr"/>
      <c r="Q3420" s="112" t="n">
        <v>0</v>
      </c>
      <c r="R3420" s="112" t="n">
        <v>0</v>
      </c>
      <c r="S3420" s="112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D3421" t="inlineStr"/>
      <c r="E3421" t="inlineStr">
        <is>
          <t>EQ</t>
        </is>
      </c>
      <c r="F3421" t="inlineStr"/>
      <c r="G3421" s="126" t="inlineStr"/>
      <c r="H3421" s="125" t="n">
        <v>46124</v>
      </c>
      <c r="I3421" t="inlineStr"/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N3421" t="inlineStr"/>
      <c r="O3421" t="inlineStr">
        <is>
          <t>FE017</t>
        </is>
      </c>
      <c r="P3421" t="inlineStr"/>
      <c r="Q3421" s="112" t="n">
        <v>0</v>
      </c>
      <c r="R3421" s="112" t="n">
        <v>0</v>
      </c>
      <c r="S3421" s="112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D3422" t="inlineStr"/>
      <c r="E3422" t="inlineStr">
        <is>
          <t>EQ</t>
        </is>
      </c>
      <c r="F3422" t="inlineStr"/>
      <c r="G3422" s="126" t="inlineStr"/>
      <c r="H3422" s="125" t="n">
        <v>46124</v>
      </c>
      <c r="I3422" t="inlineStr"/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N3422" t="inlineStr"/>
      <c r="O3422" t="inlineStr">
        <is>
          <t>FE017</t>
        </is>
      </c>
      <c r="P3422" t="inlineStr"/>
      <c r="Q3422" s="112" t="n">
        <v>0</v>
      </c>
      <c r="R3422" s="112" t="n">
        <v>0</v>
      </c>
      <c r="S3422" s="112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D3423" t="inlineStr"/>
      <c r="E3423" t="inlineStr">
        <is>
          <t>EQ</t>
        </is>
      </c>
      <c r="F3423" t="inlineStr"/>
      <c r="G3423" s="126" t="inlineStr"/>
      <c r="H3423" s="125" t="n">
        <v>46124</v>
      </c>
      <c r="I3423" t="inlineStr"/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N3423" t="inlineStr"/>
      <c r="O3423" t="inlineStr">
        <is>
          <t>FT011</t>
        </is>
      </c>
      <c r="P3423" t="inlineStr"/>
      <c r="Q3423" s="112" t="n">
        <v>0</v>
      </c>
      <c r="R3423" s="112" t="n">
        <v>291.67</v>
      </c>
      <c r="S3423" s="112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D3424" t="inlineStr"/>
      <c r="E3424" t="inlineStr">
        <is>
          <t>EQ</t>
        </is>
      </c>
      <c r="F3424" t="inlineStr"/>
      <c r="G3424" s="126" t="inlineStr"/>
      <c r="H3424" s="125" t="n">
        <v>46124</v>
      </c>
      <c r="I3424" t="inlineStr"/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N3424" t="inlineStr"/>
      <c r="O3424" t="inlineStr">
        <is>
          <t>FT011</t>
        </is>
      </c>
      <c r="P3424" t="inlineStr"/>
      <c r="Q3424" s="112" t="n">
        <v>0</v>
      </c>
      <c r="R3424" s="112" t="n">
        <v>291.67</v>
      </c>
      <c r="S3424" s="112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D3425" t="inlineStr"/>
      <c r="E3425" t="inlineStr">
        <is>
          <t>EQ</t>
        </is>
      </c>
      <c r="F3425" t="inlineStr"/>
      <c r="G3425" s="126" t="inlineStr"/>
      <c r="H3425" s="125" t="n">
        <v>46124</v>
      </c>
      <c r="I3425" t="inlineStr"/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N3425" t="inlineStr"/>
      <c r="O3425" t="inlineStr">
        <is>
          <t>FT011</t>
        </is>
      </c>
      <c r="P3425" t="inlineStr"/>
      <c r="Q3425" s="112" t="n">
        <v>0</v>
      </c>
      <c r="R3425" s="112" t="n">
        <v>291.67</v>
      </c>
      <c r="S3425" s="112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D3426" t="inlineStr"/>
      <c r="E3426" t="inlineStr">
        <is>
          <t>EQ</t>
        </is>
      </c>
      <c r="F3426" t="inlineStr"/>
      <c r="G3426" s="126" t="inlineStr"/>
      <c r="H3426" s="125" t="n">
        <v>46124</v>
      </c>
      <c r="I3426" t="inlineStr"/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N3426" t="inlineStr"/>
      <c r="O3426" t="inlineStr">
        <is>
          <t>FT011</t>
        </is>
      </c>
      <c r="P3426" t="inlineStr"/>
      <c r="Q3426" s="112" t="n">
        <v>0</v>
      </c>
      <c r="R3426" s="112" t="n">
        <v>291.67</v>
      </c>
      <c r="S3426" s="112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D3427" t="inlineStr"/>
      <c r="E3427" t="inlineStr">
        <is>
          <t>EQ</t>
        </is>
      </c>
      <c r="F3427" t="inlineStr"/>
      <c r="G3427" s="126" t="inlineStr"/>
      <c r="H3427" s="125" t="n">
        <v>46124</v>
      </c>
      <c r="I3427" t="inlineStr"/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N3427" t="inlineStr"/>
      <c r="O3427" t="inlineStr">
        <is>
          <t>FT011</t>
        </is>
      </c>
      <c r="P3427" t="inlineStr"/>
      <c r="Q3427" s="112" t="n">
        <v>0</v>
      </c>
      <c r="R3427" s="112" t="n">
        <v>291.67</v>
      </c>
      <c r="S3427" s="112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D3428" t="inlineStr"/>
      <c r="E3428" t="inlineStr">
        <is>
          <t>EQ</t>
        </is>
      </c>
      <c r="F3428" t="inlineStr"/>
      <c r="G3428" s="126" t="inlineStr"/>
      <c r="H3428" s="125" t="n">
        <v>46124</v>
      </c>
      <c r="I3428" t="inlineStr"/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N3428" t="inlineStr"/>
      <c r="O3428" t="inlineStr">
        <is>
          <t>WLD146</t>
        </is>
      </c>
      <c r="P3428" t="inlineStr"/>
      <c r="Q3428" s="112" t="n">
        <v>0</v>
      </c>
      <c r="R3428" s="112" t="n">
        <v>50</v>
      </c>
      <c r="S3428" s="112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D3429" t="inlineStr"/>
      <c r="E3429" t="inlineStr">
        <is>
          <t>EQ</t>
        </is>
      </c>
      <c r="F3429" t="inlineStr"/>
      <c r="G3429" s="126" t="inlineStr"/>
      <c r="H3429" s="125" t="n">
        <v>46124</v>
      </c>
      <c r="I3429" t="inlineStr"/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N3429" t="inlineStr"/>
      <c r="O3429" t="inlineStr">
        <is>
          <t>WLD146</t>
        </is>
      </c>
      <c r="P3429" t="inlineStr"/>
      <c r="Q3429" s="112" t="n">
        <v>0</v>
      </c>
      <c r="R3429" s="112" t="n">
        <v>50</v>
      </c>
      <c r="S3429" s="112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D3430" t="inlineStr"/>
      <c r="E3430" t="inlineStr">
        <is>
          <t>EQ</t>
        </is>
      </c>
      <c r="F3430" t="inlineStr"/>
      <c r="G3430" s="126" t="inlineStr"/>
      <c r="H3430" s="125" t="n">
        <v>46124</v>
      </c>
      <c r="I3430" t="inlineStr"/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N3430" t="inlineStr"/>
      <c r="O3430" t="inlineStr">
        <is>
          <t>WLD146</t>
        </is>
      </c>
      <c r="P3430" t="inlineStr"/>
      <c r="Q3430" s="112" t="n">
        <v>0</v>
      </c>
      <c r="R3430" s="112" t="n">
        <v>50</v>
      </c>
      <c r="S3430" s="112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D3431" t="inlineStr"/>
      <c r="E3431" t="inlineStr">
        <is>
          <t>EQ</t>
        </is>
      </c>
      <c r="F3431" t="inlineStr"/>
      <c r="G3431" s="126" t="inlineStr"/>
      <c r="H3431" s="125" t="n">
        <v>46124</v>
      </c>
      <c r="I3431" t="inlineStr"/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N3431" t="inlineStr"/>
      <c r="O3431" t="inlineStr">
        <is>
          <t>WLD146</t>
        </is>
      </c>
      <c r="P3431" t="inlineStr"/>
      <c r="Q3431" s="112" t="n">
        <v>0</v>
      </c>
      <c r="R3431" s="112" t="n">
        <v>50</v>
      </c>
      <c r="S3431" s="112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D3432" t="inlineStr"/>
      <c r="E3432" t="inlineStr">
        <is>
          <t>EQ</t>
        </is>
      </c>
      <c r="F3432" t="inlineStr"/>
      <c r="G3432" s="126" t="inlineStr"/>
      <c r="H3432" s="125" t="n">
        <v>46124</v>
      </c>
      <c r="I3432" t="inlineStr"/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N3432" t="inlineStr"/>
      <c r="O3432" t="inlineStr">
        <is>
          <t>WLD146</t>
        </is>
      </c>
      <c r="P3432" t="inlineStr"/>
      <c r="Q3432" s="112" t="n">
        <v>0</v>
      </c>
      <c r="R3432" s="112" t="n">
        <v>50</v>
      </c>
      <c r="S3432" s="112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D3433" t="inlineStr"/>
      <c r="E3433" t="inlineStr">
        <is>
          <t>EQ</t>
        </is>
      </c>
      <c r="F3433" t="inlineStr"/>
      <c r="G3433" s="126" t="inlineStr"/>
      <c r="H3433" s="125" t="n">
        <v>46124</v>
      </c>
      <c r="I3433" t="inlineStr"/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N3433" t="inlineStr"/>
      <c r="O3433" t="inlineStr">
        <is>
          <t>RT1385</t>
        </is>
      </c>
      <c r="P3433" t="inlineStr"/>
      <c r="Q3433" s="112" t="n">
        <v>0</v>
      </c>
      <c r="R3433" s="112" t="n">
        <v>79.14</v>
      </c>
      <c r="S3433" s="112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D3434" t="inlineStr"/>
      <c r="E3434" t="inlineStr">
        <is>
          <t>EQ</t>
        </is>
      </c>
      <c r="F3434" t="inlineStr"/>
      <c r="G3434" s="126" t="inlineStr"/>
      <c r="H3434" s="125" t="n">
        <v>46124</v>
      </c>
      <c r="I3434" t="inlineStr"/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N3434" t="inlineStr"/>
      <c r="O3434" t="inlineStr">
        <is>
          <t>RT1385</t>
        </is>
      </c>
      <c r="P3434" t="inlineStr"/>
      <c r="Q3434" s="112" t="n">
        <v>0</v>
      </c>
      <c r="R3434" s="112" t="n">
        <v>79.14</v>
      </c>
      <c r="S3434" s="112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D3435" t="inlineStr"/>
      <c r="E3435" t="inlineStr">
        <is>
          <t>EQ</t>
        </is>
      </c>
      <c r="F3435" t="inlineStr"/>
      <c r="G3435" s="126" t="inlineStr"/>
      <c r="H3435" s="125" t="n">
        <v>46124</v>
      </c>
      <c r="I3435" t="inlineStr"/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N3435" t="inlineStr"/>
      <c r="O3435" t="inlineStr">
        <is>
          <t>RT1385</t>
        </is>
      </c>
      <c r="P3435" t="inlineStr"/>
      <c r="Q3435" s="112" t="n">
        <v>0</v>
      </c>
      <c r="R3435" s="112" t="n">
        <v>79.14</v>
      </c>
      <c r="S3435" s="112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D3436" t="inlineStr"/>
      <c r="E3436" t="inlineStr">
        <is>
          <t>EQ</t>
        </is>
      </c>
      <c r="F3436" t="inlineStr"/>
      <c r="G3436" s="126" t="inlineStr"/>
      <c r="H3436" s="125" t="n">
        <v>46124</v>
      </c>
      <c r="I3436" t="inlineStr"/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N3436" t="inlineStr"/>
      <c r="O3436" t="inlineStr">
        <is>
          <t>RT1385</t>
        </is>
      </c>
      <c r="P3436" t="inlineStr"/>
      <c r="Q3436" s="112" t="n">
        <v>0</v>
      </c>
      <c r="R3436" s="112" t="n">
        <v>79.14</v>
      </c>
      <c r="S3436" s="112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D3437" t="inlineStr"/>
      <c r="E3437" t="inlineStr">
        <is>
          <t>EQ</t>
        </is>
      </c>
      <c r="F3437" t="inlineStr"/>
      <c r="G3437" s="126" t="inlineStr"/>
      <c r="H3437" s="125" t="n">
        <v>46124</v>
      </c>
      <c r="I3437" t="inlineStr"/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N3437" t="inlineStr"/>
      <c r="O3437" t="inlineStr">
        <is>
          <t>RT1385</t>
        </is>
      </c>
      <c r="P3437" t="inlineStr"/>
      <c r="Q3437" s="112" t="n">
        <v>0</v>
      </c>
      <c r="R3437" s="112" t="n">
        <v>79.14</v>
      </c>
      <c r="S3437" s="112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D3438" t="inlineStr"/>
      <c r="E3438" t="inlineStr">
        <is>
          <t>EQ</t>
        </is>
      </c>
      <c r="F3438" t="inlineStr"/>
      <c r="G3438" s="126" t="inlineStr"/>
      <c r="H3438" s="125" t="n">
        <v>46124</v>
      </c>
      <c r="I3438" t="inlineStr"/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N3438" t="inlineStr"/>
      <c r="O3438" t="inlineStr">
        <is>
          <t>SSAUGKIT1</t>
        </is>
      </c>
      <c r="P3438" t="inlineStr"/>
      <c r="Q3438" s="112" t="n">
        <v>0</v>
      </c>
      <c r="R3438" s="112" t="n">
        <v>35</v>
      </c>
      <c r="S3438" s="112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D3439" t="inlineStr"/>
      <c r="E3439" t="inlineStr">
        <is>
          <t>EQ</t>
        </is>
      </c>
      <c r="F3439" t="inlineStr"/>
      <c r="G3439" s="126" t="inlineStr"/>
      <c r="H3439" s="125" t="n">
        <v>46124</v>
      </c>
      <c r="I3439" t="inlineStr"/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N3439" t="inlineStr"/>
      <c r="O3439" t="inlineStr">
        <is>
          <t>SSAUGKIT1</t>
        </is>
      </c>
      <c r="P3439" t="inlineStr"/>
      <c r="Q3439" s="112" t="n">
        <v>0</v>
      </c>
      <c r="R3439" s="112" t="n">
        <v>35</v>
      </c>
      <c r="S3439" s="112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D3440" t="inlineStr"/>
      <c r="E3440" t="inlineStr">
        <is>
          <t>EQ</t>
        </is>
      </c>
      <c r="F3440" t="inlineStr"/>
      <c r="G3440" s="126" t="inlineStr"/>
      <c r="H3440" s="125" t="n">
        <v>46124</v>
      </c>
      <c r="I3440" t="inlineStr"/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N3440" t="inlineStr"/>
      <c r="O3440" t="inlineStr">
        <is>
          <t>SSAUGKIT1</t>
        </is>
      </c>
      <c r="P3440" t="inlineStr"/>
      <c r="Q3440" s="112" t="n">
        <v>0</v>
      </c>
      <c r="R3440" s="112" t="n">
        <v>35</v>
      </c>
      <c r="S3440" s="112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D3441" t="inlineStr"/>
      <c r="E3441" t="inlineStr">
        <is>
          <t>EQ</t>
        </is>
      </c>
      <c r="F3441" t="inlineStr"/>
      <c r="G3441" s="126" t="inlineStr"/>
      <c r="H3441" s="125" t="n">
        <v>46124</v>
      </c>
      <c r="I3441" t="inlineStr"/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N3441" t="inlineStr"/>
      <c r="O3441" t="inlineStr">
        <is>
          <t>SSAUGKIT1</t>
        </is>
      </c>
      <c r="P3441" t="inlineStr"/>
      <c r="Q3441" s="112" t="n">
        <v>0</v>
      </c>
      <c r="R3441" s="112" t="n">
        <v>35</v>
      </c>
      <c r="S3441" s="112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D3442" t="inlineStr"/>
      <c r="E3442" t="inlineStr">
        <is>
          <t>EQ</t>
        </is>
      </c>
      <c r="F3442" t="inlineStr"/>
      <c r="G3442" s="126" t="inlineStr"/>
      <c r="H3442" s="125" t="n">
        <v>46124</v>
      </c>
      <c r="I3442" t="inlineStr"/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N3442" t="inlineStr"/>
      <c r="O3442" t="inlineStr">
        <is>
          <t>SSAUGKIT1</t>
        </is>
      </c>
      <c r="P3442" t="inlineStr"/>
      <c r="Q3442" s="112" t="n">
        <v>0</v>
      </c>
      <c r="R3442" s="112" t="n">
        <v>35</v>
      </c>
      <c r="S3442" s="112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D3443" t="inlineStr"/>
      <c r="E3443" t="inlineStr">
        <is>
          <t>EQ</t>
        </is>
      </c>
      <c r="F3443" t="inlineStr"/>
      <c r="G3443" s="126" t="inlineStr"/>
      <c r="H3443" s="125" t="n">
        <v>46124</v>
      </c>
      <c r="I3443" t="inlineStr"/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N3443" t="inlineStr"/>
      <c r="O3443" t="inlineStr">
        <is>
          <t>TR425</t>
        </is>
      </c>
      <c r="P3443" t="inlineStr"/>
      <c r="Q3443" s="112" t="n">
        <v>0</v>
      </c>
      <c r="R3443" s="112" t="n">
        <v>65</v>
      </c>
      <c r="S3443" s="112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D3444" t="inlineStr"/>
      <c r="E3444" t="inlineStr">
        <is>
          <t>EQ</t>
        </is>
      </c>
      <c r="F3444" t="inlineStr"/>
      <c r="G3444" s="126" t="inlineStr"/>
      <c r="H3444" s="125" t="n">
        <v>46124</v>
      </c>
      <c r="I3444" t="inlineStr"/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N3444" t="inlineStr"/>
      <c r="O3444" t="inlineStr">
        <is>
          <t>TR425</t>
        </is>
      </c>
      <c r="P3444" t="inlineStr"/>
      <c r="Q3444" s="112" t="n">
        <v>0</v>
      </c>
      <c r="R3444" s="112" t="n">
        <v>65</v>
      </c>
      <c r="S3444" s="112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D3445" t="inlineStr"/>
      <c r="E3445" t="inlineStr">
        <is>
          <t>EQ</t>
        </is>
      </c>
      <c r="F3445" t="inlineStr"/>
      <c r="G3445" s="126" t="inlineStr"/>
      <c r="H3445" s="125" t="n">
        <v>46124</v>
      </c>
      <c r="I3445" t="inlineStr"/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N3445" t="inlineStr"/>
      <c r="O3445" t="inlineStr">
        <is>
          <t>TR425</t>
        </is>
      </c>
      <c r="P3445" t="inlineStr"/>
      <c r="Q3445" s="112" t="n">
        <v>0</v>
      </c>
      <c r="R3445" s="112" t="n">
        <v>65</v>
      </c>
      <c r="S3445" s="112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D3446" t="inlineStr"/>
      <c r="E3446" t="inlineStr">
        <is>
          <t>EQ</t>
        </is>
      </c>
      <c r="F3446" t="inlineStr"/>
      <c r="G3446" s="126" t="inlineStr"/>
      <c r="H3446" s="125" t="n">
        <v>46124</v>
      </c>
      <c r="I3446" t="inlineStr"/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N3446" t="inlineStr"/>
      <c r="O3446" t="inlineStr">
        <is>
          <t>TR425</t>
        </is>
      </c>
      <c r="P3446" t="inlineStr"/>
      <c r="Q3446" s="112" t="n">
        <v>0</v>
      </c>
      <c r="R3446" s="112" t="n">
        <v>65</v>
      </c>
      <c r="S3446" s="112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D3447" t="inlineStr"/>
      <c r="E3447" t="inlineStr">
        <is>
          <t>EQ</t>
        </is>
      </c>
      <c r="F3447" t="inlineStr"/>
      <c r="G3447" s="126" t="inlineStr"/>
      <c r="H3447" s="125" t="n">
        <v>46124</v>
      </c>
      <c r="I3447" t="inlineStr"/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N3447" t="inlineStr"/>
      <c r="O3447" t="inlineStr">
        <is>
          <t>TR425</t>
        </is>
      </c>
      <c r="P3447" t="inlineStr"/>
      <c r="Q3447" s="112" t="n">
        <v>0</v>
      </c>
      <c r="R3447" s="112" t="n">
        <v>65</v>
      </c>
      <c r="S3447" s="112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D3448" t="inlineStr"/>
      <c r="E3448" t="inlineStr">
        <is>
          <t>EQ</t>
        </is>
      </c>
      <c r="F3448" t="inlineStr"/>
      <c r="G3448" s="126" t="inlineStr"/>
      <c r="H3448" s="125" t="n">
        <v>46124</v>
      </c>
      <c r="I3448" t="inlineStr"/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N3448" t="inlineStr"/>
      <c r="O3448" t="inlineStr">
        <is>
          <t>TR428</t>
        </is>
      </c>
      <c r="P3448" t="inlineStr"/>
      <c r="Q3448" s="112" t="n">
        <v>0</v>
      </c>
      <c r="R3448" s="112" t="n">
        <v>15</v>
      </c>
      <c r="S3448" s="112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D3449" t="inlineStr"/>
      <c r="E3449" t="inlineStr">
        <is>
          <t>EQ</t>
        </is>
      </c>
      <c r="F3449" t="inlineStr"/>
      <c r="G3449" s="126" t="inlineStr"/>
      <c r="H3449" s="125" t="n">
        <v>46124</v>
      </c>
      <c r="I3449" t="inlineStr"/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N3449" t="inlineStr"/>
      <c r="O3449" t="inlineStr">
        <is>
          <t>TR428</t>
        </is>
      </c>
      <c r="P3449" t="inlineStr"/>
      <c r="Q3449" s="112" t="n">
        <v>0</v>
      </c>
      <c r="R3449" s="112" t="n">
        <v>15</v>
      </c>
      <c r="S3449" s="112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D3450" t="inlineStr"/>
      <c r="E3450" t="inlineStr">
        <is>
          <t>EQ</t>
        </is>
      </c>
      <c r="F3450" t="inlineStr"/>
      <c r="G3450" s="126" t="inlineStr"/>
      <c r="H3450" s="125" t="n">
        <v>46124</v>
      </c>
      <c r="I3450" t="inlineStr"/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N3450" t="inlineStr"/>
      <c r="O3450" t="inlineStr">
        <is>
          <t>TR428</t>
        </is>
      </c>
      <c r="P3450" t="inlineStr"/>
      <c r="Q3450" s="112" t="n">
        <v>0</v>
      </c>
      <c r="R3450" s="112" t="n">
        <v>15</v>
      </c>
      <c r="S3450" s="112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D3451" t="inlineStr"/>
      <c r="E3451" t="inlineStr">
        <is>
          <t>EQ</t>
        </is>
      </c>
      <c r="F3451" t="inlineStr"/>
      <c r="G3451" s="126" t="inlineStr"/>
      <c r="H3451" s="125" t="n">
        <v>46124</v>
      </c>
      <c r="I3451" t="inlineStr"/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N3451" t="inlineStr"/>
      <c r="O3451" t="inlineStr">
        <is>
          <t>TR428</t>
        </is>
      </c>
      <c r="P3451" t="inlineStr"/>
      <c r="Q3451" s="112" t="n">
        <v>0</v>
      </c>
      <c r="R3451" s="112" t="n">
        <v>15</v>
      </c>
      <c r="S3451" s="112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D3452" t="inlineStr"/>
      <c r="E3452" t="inlineStr">
        <is>
          <t>EQ</t>
        </is>
      </c>
      <c r="F3452" t="inlineStr"/>
      <c r="G3452" s="126" t="inlineStr"/>
      <c r="H3452" s="125" t="n">
        <v>46124</v>
      </c>
      <c r="I3452" t="inlineStr"/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N3452" t="inlineStr"/>
      <c r="O3452" t="inlineStr">
        <is>
          <t>TR428</t>
        </is>
      </c>
      <c r="P3452" t="inlineStr"/>
      <c r="Q3452" s="112" t="n">
        <v>0</v>
      </c>
      <c r="R3452" s="112" t="n">
        <v>15</v>
      </c>
      <c r="S3452" s="112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D3453" t="inlineStr"/>
      <c r="E3453" t="inlineStr">
        <is>
          <t>EQ</t>
        </is>
      </c>
      <c r="F3453" t="inlineStr"/>
      <c r="G3453" s="126" t="inlineStr"/>
      <c r="H3453" s="125" t="n">
        <v>46124</v>
      </c>
      <c r="I3453" t="inlineStr"/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N3453" t="inlineStr"/>
      <c r="O3453" t="inlineStr">
        <is>
          <t>TR145</t>
        </is>
      </c>
      <c r="P3453" t="inlineStr"/>
      <c r="Q3453" s="112" t="n">
        <v>0</v>
      </c>
      <c r="R3453" s="112" t="n">
        <v>65</v>
      </c>
      <c r="S3453" s="112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D3454" t="inlineStr"/>
      <c r="E3454" t="inlineStr">
        <is>
          <t>EQ</t>
        </is>
      </c>
      <c r="F3454" t="inlineStr"/>
      <c r="G3454" s="126" t="inlineStr"/>
      <c r="H3454" s="125" t="n">
        <v>46124</v>
      </c>
      <c r="I3454" t="inlineStr"/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N3454" t="inlineStr"/>
      <c r="O3454" t="inlineStr">
        <is>
          <t>TR145</t>
        </is>
      </c>
      <c r="P3454" t="inlineStr"/>
      <c r="Q3454" s="112" t="n">
        <v>0</v>
      </c>
      <c r="R3454" s="112" t="n">
        <v>65</v>
      </c>
      <c r="S3454" s="112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D3455" t="inlineStr"/>
      <c r="E3455" t="inlineStr">
        <is>
          <t>EQ</t>
        </is>
      </c>
      <c r="F3455" t="inlineStr"/>
      <c r="G3455" s="126" t="inlineStr"/>
      <c r="H3455" s="125" t="n">
        <v>46124</v>
      </c>
      <c r="I3455" t="inlineStr"/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N3455" t="inlineStr"/>
      <c r="O3455" t="inlineStr">
        <is>
          <t>TR145</t>
        </is>
      </c>
      <c r="P3455" t="inlineStr"/>
      <c r="Q3455" s="112" t="n">
        <v>0</v>
      </c>
      <c r="R3455" s="112" t="n">
        <v>65</v>
      </c>
      <c r="S3455" s="112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D3456" t="inlineStr"/>
      <c r="E3456" t="inlineStr">
        <is>
          <t>EQ</t>
        </is>
      </c>
      <c r="F3456" t="inlineStr"/>
      <c r="G3456" s="126" t="inlineStr"/>
      <c r="H3456" s="125" t="n">
        <v>46131</v>
      </c>
      <c r="I3456" t="inlineStr"/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N3456" t="inlineStr"/>
      <c r="O3456" t="inlineStr">
        <is>
          <t>FE017</t>
        </is>
      </c>
      <c r="P3456" t="inlineStr"/>
      <c r="Q3456" s="112" t="n">
        <v>0</v>
      </c>
      <c r="R3456" s="112" t="n">
        <v>0</v>
      </c>
      <c r="S3456" s="112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D3457" t="inlineStr"/>
      <c r="E3457" t="inlineStr">
        <is>
          <t>EQ</t>
        </is>
      </c>
      <c r="F3457" t="inlineStr"/>
      <c r="G3457" s="126" t="inlineStr"/>
      <c r="H3457" s="125" t="n">
        <v>46131</v>
      </c>
      <c r="I3457" t="inlineStr"/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N3457" t="inlineStr"/>
      <c r="O3457" t="inlineStr">
        <is>
          <t>FE017</t>
        </is>
      </c>
      <c r="P3457" t="inlineStr"/>
      <c r="Q3457" s="112" t="n">
        <v>0</v>
      </c>
      <c r="R3457" s="112" t="n">
        <v>0</v>
      </c>
      <c r="S3457" s="112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D3458" t="inlineStr"/>
      <c r="E3458" t="inlineStr">
        <is>
          <t>EQ</t>
        </is>
      </c>
      <c r="F3458" t="inlineStr"/>
      <c r="G3458" s="126" t="inlineStr"/>
      <c r="H3458" s="125" t="n">
        <v>46131</v>
      </c>
      <c r="I3458" t="inlineStr"/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N3458" t="inlineStr"/>
      <c r="O3458" t="inlineStr">
        <is>
          <t>FE017</t>
        </is>
      </c>
      <c r="P3458" t="inlineStr"/>
      <c r="Q3458" s="112" t="n">
        <v>0</v>
      </c>
      <c r="R3458" s="112" t="n">
        <v>0</v>
      </c>
      <c r="S3458" s="112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D3459" t="inlineStr"/>
      <c r="E3459" t="inlineStr">
        <is>
          <t>EQ</t>
        </is>
      </c>
      <c r="F3459" t="inlineStr"/>
      <c r="G3459" s="126" t="inlineStr"/>
      <c r="H3459" s="125" t="n">
        <v>46131</v>
      </c>
      <c r="I3459" t="inlineStr"/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N3459" t="inlineStr"/>
      <c r="O3459" t="inlineStr">
        <is>
          <t>FE017</t>
        </is>
      </c>
      <c r="P3459" t="inlineStr"/>
      <c r="Q3459" s="112" t="n">
        <v>0</v>
      </c>
      <c r="R3459" s="112" t="n">
        <v>0</v>
      </c>
      <c r="S3459" s="112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D3460" t="inlineStr"/>
      <c r="E3460" t="inlineStr">
        <is>
          <t>EQ</t>
        </is>
      </c>
      <c r="F3460" t="inlineStr"/>
      <c r="G3460" s="126" t="inlineStr"/>
      <c r="H3460" s="125" t="n">
        <v>46131</v>
      </c>
      <c r="I3460" t="inlineStr"/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N3460" t="inlineStr"/>
      <c r="O3460" t="inlineStr">
        <is>
          <t>FE017</t>
        </is>
      </c>
      <c r="P3460" t="inlineStr"/>
      <c r="Q3460" s="112" t="n">
        <v>0</v>
      </c>
      <c r="R3460" s="112" t="n">
        <v>0</v>
      </c>
      <c r="S3460" s="112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D3461" t="inlineStr"/>
      <c r="E3461" t="inlineStr">
        <is>
          <t>EQ</t>
        </is>
      </c>
      <c r="F3461" t="inlineStr"/>
      <c r="G3461" s="126" t="inlineStr"/>
      <c r="H3461" s="125" t="n">
        <v>46131</v>
      </c>
      <c r="I3461" t="inlineStr"/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N3461" t="inlineStr"/>
      <c r="O3461" t="inlineStr">
        <is>
          <t>FE017</t>
        </is>
      </c>
      <c r="P3461" t="inlineStr"/>
      <c r="Q3461" s="112" t="n">
        <v>0</v>
      </c>
      <c r="R3461" s="112" t="n">
        <v>0</v>
      </c>
      <c r="S3461" s="112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D3462" t="inlineStr"/>
      <c r="E3462" t="inlineStr">
        <is>
          <t>EQ</t>
        </is>
      </c>
      <c r="F3462" t="inlineStr"/>
      <c r="G3462" s="126" t="inlineStr"/>
      <c r="H3462" s="125" t="n">
        <v>46131</v>
      </c>
      <c r="I3462" t="inlineStr"/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N3462" t="inlineStr"/>
      <c r="O3462" t="inlineStr">
        <is>
          <t>FT011</t>
        </is>
      </c>
      <c r="P3462" t="inlineStr"/>
      <c r="Q3462" s="112" t="n">
        <v>0</v>
      </c>
      <c r="R3462" s="112" t="n">
        <v>291.67</v>
      </c>
      <c r="S3462" s="112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D3463" t="inlineStr"/>
      <c r="E3463" t="inlineStr">
        <is>
          <t>EQ</t>
        </is>
      </c>
      <c r="F3463" t="inlineStr"/>
      <c r="G3463" s="126" t="inlineStr"/>
      <c r="H3463" s="125" t="n">
        <v>46131</v>
      </c>
      <c r="I3463" t="inlineStr"/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N3463" t="inlineStr"/>
      <c r="O3463" t="inlineStr">
        <is>
          <t>FT011</t>
        </is>
      </c>
      <c r="P3463" t="inlineStr"/>
      <c r="Q3463" s="112" t="n">
        <v>0</v>
      </c>
      <c r="R3463" s="112" t="n">
        <v>291.67</v>
      </c>
      <c r="S3463" s="112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D3464" t="inlineStr"/>
      <c r="E3464" t="inlineStr">
        <is>
          <t>EQ</t>
        </is>
      </c>
      <c r="F3464" t="inlineStr"/>
      <c r="G3464" s="126" t="inlineStr"/>
      <c r="H3464" s="125" t="n">
        <v>46131</v>
      </c>
      <c r="I3464" t="inlineStr"/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N3464" t="inlineStr"/>
      <c r="O3464" t="inlineStr">
        <is>
          <t>FT011</t>
        </is>
      </c>
      <c r="P3464" t="inlineStr"/>
      <c r="Q3464" s="112" t="n">
        <v>0</v>
      </c>
      <c r="R3464" s="112" t="n">
        <v>291.67</v>
      </c>
      <c r="S3464" s="112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D3465" t="inlineStr"/>
      <c r="E3465" t="inlineStr">
        <is>
          <t>EQ</t>
        </is>
      </c>
      <c r="F3465" t="inlineStr"/>
      <c r="G3465" s="126" t="inlineStr"/>
      <c r="H3465" s="125" t="n">
        <v>46131</v>
      </c>
      <c r="I3465" t="inlineStr"/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N3465" t="inlineStr"/>
      <c r="O3465" t="inlineStr">
        <is>
          <t>FT011</t>
        </is>
      </c>
      <c r="P3465" t="inlineStr"/>
      <c r="Q3465" s="112" t="n">
        <v>0</v>
      </c>
      <c r="R3465" s="112" t="n">
        <v>291.67</v>
      </c>
      <c r="S3465" s="112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D3466" t="inlineStr"/>
      <c r="E3466" t="inlineStr">
        <is>
          <t>EQ</t>
        </is>
      </c>
      <c r="F3466" t="inlineStr"/>
      <c r="G3466" s="126" t="inlineStr"/>
      <c r="H3466" s="125" t="n">
        <v>46131</v>
      </c>
      <c r="I3466" t="inlineStr"/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N3466" t="inlineStr"/>
      <c r="O3466" t="inlineStr">
        <is>
          <t>FT011</t>
        </is>
      </c>
      <c r="P3466" t="inlineStr"/>
      <c r="Q3466" s="112" t="n">
        <v>0</v>
      </c>
      <c r="R3466" s="112" t="n">
        <v>291.67</v>
      </c>
      <c r="S3466" s="112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D3467" t="inlineStr"/>
      <c r="E3467" t="inlineStr">
        <is>
          <t>EQ</t>
        </is>
      </c>
      <c r="F3467" t="inlineStr"/>
      <c r="G3467" s="126" t="inlineStr"/>
      <c r="H3467" s="125" t="n">
        <v>46131</v>
      </c>
      <c r="I3467" t="inlineStr"/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N3467" t="inlineStr"/>
      <c r="O3467" t="inlineStr">
        <is>
          <t>FT011</t>
        </is>
      </c>
      <c r="P3467" t="inlineStr"/>
      <c r="Q3467" s="112" t="n">
        <v>0</v>
      </c>
      <c r="R3467" s="112" t="n">
        <v>291.67</v>
      </c>
      <c r="S3467" s="112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D3468" t="inlineStr"/>
      <c r="E3468" t="inlineStr">
        <is>
          <t>EQ</t>
        </is>
      </c>
      <c r="F3468" t="inlineStr"/>
      <c r="G3468" s="126" t="inlineStr"/>
      <c r="H3468" s="125" t="n">
        <v>46131</v>
      </c>
      <c r="I3468" t="inlineStr"/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N3468" t="inlineStr"/>
      <c r="O3468" t="inlineStr">
        <is>
          <t>WLD146</t>
        </is>
      </c>
      <c r="P3468" t="inlineStr"/>
      <c r="Q3468" s="112" t="n">
        <v>0</v>
      </c>
      <c r="R3468" s="112" t="n">
        <v>50</v>
      </c>
      <c r="S3468" s="112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D3469" t="inlineStr"/>
      <c r="E3469" t="inlineStr">
        <is>
          <t>EQ</t>
        </is>
      </c>
      <c r="F3469" t="inlineStr"/>
      <c r="G3469" s="126" t="inlineStr"/>
      <c r="H3469" s="125" t="n">
        <v>46131</v>
      </c>
      <c r="I3469" t="inlineStr"/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N3469" t="inlineStr"/>
      <c r="O3469" t="inlineStr">
        <is>
          <t>WLD146</t>
        </is>
      </c>
      <c r="P3469" t="inlineStr"/>
      <c r="Q3469" s="112" t="n">
        <v>0</v>
      </c>
      <c r="R3469" s="112" t="n">
        <v>50</v>
      </c>
      <c r="S3469" s="112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D3470" t="inlineStr"/>
      <c r="E3470" t="inlineStr">
        <is>
          <t>EQ</t>
        </is>
      </c>
      <c r="F3470" t="inlineStr"/>
      <c r="G3470" s="126" t="inlineStr"/>
      <c r="H3470" s="125" t="n">
        <v>46131</v>
      </c>
      <c r="I3470" t="inlineStr"/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N3470" t="inlineStr"/>
      <c r="O3470" t="inlineStr">
        <is>
          <t>WLD146</t>
        </is>
      </c>
      <c r="P3470" t="inlineStr"/>
      <c r="Q3470" s="112" t="n">
        <v>0</v>
      </c>
      <c r="R3470" s="112" t="n">
        <v>50</v>
      </c>
      <c r="S3470" s="112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D3471" t="inlineStr"/>
      <c r="E3471" t="inlineStr">
        <is>
          <t>EQ</t>
        </is>
      </c>
      <c r="F3471" t="inlineStr"/>
      <c r="G3471" s="126" t="inlineStr"/>
      <c r="H3471" s="125" t="n">
        <v>46131</v>
      </c>
      <c r="I3471" t="inlineStr"/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N3471" t="inlineStr"/>
      <c r="O3471" t="inlineStr">
        <is>
          <t>WLD146</t>
        </is>
      </c>
      <c r="P3471" t="inlineStr"/>
      <c r="Q3471" s="112" t="n">
        <v>0</v>
      </c>
      <c r="R3471" s="112" t="n">
        <v>50</v>
      </c>
      <c r="S3471" s="112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D3472" t="inlineStr"/>
      <c r="E3472" t="inlineStr">
        <is>
          <t>EQ</t>
        </is>
      </c>
      <c r="F3472" t="inlineStr"/>
      <c r="G3472" s="126" t="inlineStr"/>
      <c r="H3472" s="125" t="n">
        <v>46131</v>
      </c>
      <c r="I3472" t="inlineStr"/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N3472" t="inlineStr"/>
      <c r="O3472" t="inlineStr">
        <is>
          <t>WLD146</t>
        </is>
      </c>
      <c r="P3472" t="inlineStr"/>
      <c r="Q3472" s="112" t="n">
        <v>0</v>
      </c>
      <c r="R3472" s="112" t="n">
        <v>50</v>
      </c>
      <c r="S3472" s="112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D3473" t="inlineStr"/>
      <c r="E3473" t="inlineStr">
        <is>
          <t>EQ</t>
        </is>
      </c>
      <c r="F3473" t="inlineStr"/>
      <c r="G3473" s="126" t="inlineStr"/>
      <c r="H3473" s="125" t="n">
        <v>46131</v>
      </c>
      <c r="I3473" t="inlineStr"/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N3473" t="inlineStr"/>
      <c r="O3473" t="inlineStr">
        <is>
          <t>WLD146</t>
        </is>
      </c>
      <c r="P3473" t="inlineStr"/>
      <c r="Q3473" s="112" t="n">
        <v>0</v>
      </c>
      <c r="R3473" s="112" t="n">
        <v>50</v>
      </c>
      <c r="S3473" s="112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D3474" t="inlineStr"/>
      <c r="E3474" t="inlineStr">
        <is>
          <t>EQ</t>
        </is>
      </c>
      <c r="F3474" t="inlineStr"/>
      <c r="G3474" s="126" t="inlineStr"/>
      <c r="H3474" s="125" t="n">
        <v>46131</v>
      </c>
      <c r="I3474" t="inlineStr"/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N3474" t="inlineStr"/>
      <c r="O3474" t="inlineStr">
        <is>
          <t>RT1447</t>
        </is>
      </c>
      <c r="P3474" t="inlineStr"/>
      <c r="Q3474" s="112" t="n">
        <v>0</v>
      </c>
      <c r="R3474" s="112" t="n">
        <v>79.14</v>
      </c>
      <c r="S3474" s="112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D3475" t="inlineStr"/>
      <c r="E3475" t="inlineStr">
        <is>
          <t>EQ</t>
        </is>
      </c>
      <c r="F3475" t="inlineStr"/>
      <c r="G3475" s="126" t="inlineStr"/>
      <c r="H3475" s="125" t="n">
        <v>46131</v>
      </c>
      <c r="I3475" t="inlineStr"/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N3475" t="inlineStr"/>
      <c r="O3475" t="inlineStr">
        <is>
          <t>RT1447</t>
        </is>
      </c>
      <c r="P3475" t="inlineStr"/>
      <c r="Q3475" s="112" t="n">
        <v>0</v>
      </c>
      <c r="R3475" s="112" t="n">
        <v>79.14</v>
      </c>
      <c r="S3475" s="112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D3476" t="inlineStr"/>
      <c r="E3476" t="inlineStr">
        <is>
          <t>EQ</t>
        </is>
      </c>
      <c r="F3476" t="inlineStr"/>
      <c r="G3476" s="126" t="inlineStr"/>
      <c r="H3476" s="125" t="n">
        <v>46131</v>
      </c>
      <c r="I3476" t="inlineStr"/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N3476" t="inlineStr"/>
      <c r="O3476" t="inlineStr">
        <is>
          <t>RT1385</t>
        </is>
      </c>
      <c r="P3476" t="inlineStr"/>
      <c r="Q3476" s="112" t="n">
        <v>0</v>
      </c>
      <c r="R3476" s="112" t="n">
        <v>79.14</v>
      </c>
      <c r="S3476" s="112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D3477" t="inlineStr"/>
      <c r="E3477" t="inlineStr">
        <is>
          <t>EQ</t>
        </is>
      </c>
      <c r="F3477" t="inlineStr"/>
      <c r="G3477" s="126" t="inlineStr"/>
      <c r="H3477" s="125" t="n">
        <v>46131</v>
      </c>
      <c r="I3477" t="inlineStr"/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N3477" t="inlineStr"/>
      <c r="O3477" t="inlineStr">
        <is>
          <t>RT1385</t>
        </is>
      </c>
      <c r="P3477" t="inlineStr"/>
      <c r="Q3477" s="112" t="n">
        <v>0</v>
      </c>
      <c r="R3477" s="112" t="n">
        <v>79.14</v>
      </c>
      <c r="S3477" s="112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D3478" t="inlineStr"/>
      <c r="E3478" t="inlineStr">
        <is>
          <t>EQ</t>
        </is>
      </c>
      <c r="F3478" t="inlineStr"/>
      <c r="G3478" s="126" t="inlineStr"/>
      <c r="H3478" s="125" t="n">
        <v>46131</v>
      </c>
      <c r="I3478" t="inlineStr"/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N3478" t="inlineStr"/>
      <c r="O3478" t="inlineStr">
        <is>
          <t>RT1385</t>
        </is>
      </c>
      <c r="P3478" t="inlineStr"/>
      <c r="Q3478" s="112" t="n">
        <v>0</v>
      </c>
      <c r="R3478" s="112" t="n">
        <v>79.14</v>
      </c>
      <c r="S3478" s="112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D3479" t="inlineStr"/>
      <c r="E3479" t="inlineStr">
        <is>
          <t>EQ</t>
        </is>
      </c>
      <c r="F3479" t="inlineStr"/>
      <c r="G3479" s="126" t="inlineStr"/>
      <c r="H3479" s="125" t="n">
        <v>46131</v>
      </c>
      <c r="I3479" t="inlineStr"/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N3479" t="inlineStr"/>
      <c r="O3479" t="inlineStr">
        <is>
          <t>RT1385</t>
        </is>
      </c>
      <c r="P3479" t="inlineStr"/>
      <c r="Q3479" s="112" t="n">
        <v>0</v>
      </c>
      <c r="R3479" s="112" t="n">
        <v>79.14</v>
      </c>
      <c r="S3479" s="112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D3480" t="inlineStr"/>
      <c r="E3480" t="inlineStr">
        <is>
          <t>EQ</t>
        </is>
      </c>
      <c r="F3480" t="inlineStr"/>
      <c r="G3480" s="126" t="inlineStr"/>
      <c r="H3480" s="125" t="n">
        <v>46131</v>
      </c>
      <c r="I3480" t="inlineStr"/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N3480" t="inlineStr"/>
      <c r="O3480" t="inlineStr">
        <is>
          <t>RT1385</t>
        </is>
      </c>
      <c r="P3480" t="inlineStr"/>
      <c r="Q3480" s="112" t="n">
        <v>0</v>
      </c>
      <c r="R3480" s="112" t="n">
        <v>79.14</v>
      </c>
      <c r="S3480" s="112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D3481" t="inlineStr"/>
      <c r="E3481" t="inlineStr">
        <is>
          <t>EQ</t>
        </is>
      </c>
      <c r="F3481" t="inlineStr"/>
      <c r="G3481" s="126" t="inlineStr"/>
      <c r="H3481" s="125" t="n">
        <v>46131</v>
      </c>
      <c r="I3481" t="inlineStr"/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N3481" t="inlineStr"/>
      <c r="O3481" t="inlineStr">
        <is>
          <t>RT1385</t>
        </is>
      </c>
      <c r="P3481" t="inlineStr"/>
      <c r="Q3481" s="112" t="n">
        <v>0</v>
      </c>
      <c r="R3481" s="112" t="n">
        <v>79.14</v>
      </c>
      <c r="S3481" s="112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D3482" t="inlineStr"/>
      <c r="E3482" t="inlineStr">
        <is>
          <t>EQ</t>
        </is>
      </c>
      <c r="F3482" t="inlineStr"/>
      <c r="G3482" s="126" t="inlineStr"/>
      <c r="H3482" s="125" t="n">
        <v>46131</v>
      </c>
      <c r="I3482" t="inlineStr"/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N3482" t="inlineStr"/>
      <c r="O3482" t="inlineStr">
        <is>
          <t>SSAUGKIT1</t>
        </is>
      </c>
      <c r="P3482" t="inlineStr"/>
      <c r="Q3482" s="112" t="n">
        <v>0</v>
      </c>
      <c r="R3482" s="112" t="n">
        <v>35</v>
      </c>
      <c r="S3482" s="112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D3483" t="inlineStr"/>
      <c r="E3483" t="inlineStr">
        <is>
          <t>EQ</t>
        </is>
      </c>
      <c r="F3483" t="inlineStr"/>
      <c r="G3483" s="126" t="inlineStr"/>
      <c r="H3483" s="125" t="n">
        <v>46131</v>
      </c>
      <c r="I3483" t="inlineStr"/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N3483" t="inlineStr"/>
      <c r="O3483" t="inlineStr">
        <is>
          <t>SSAUGKIT1</t>
        </is>
      </c>
      <c r="P3483" t="inlineStr"/>
      <c r="Q3483" s="112" t="n">
        <v>0</v>
      </c>
      <c r="R3483" s="112" t="n">
        <v>35</v>
      </c>
      <c r="S3483" s="112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D3484" t="inlineStr"/>
      <c r="E3484" t="inlineStr">
        <is>
          <t>EQ</t>
        </is>
      </c>
      <c r="F3484" t="inlineStr"/>
      <c r="G3484" s="126" t="inlineStr"/>
      <c r="H3484" s="125" t="n">
        <v>46131</v>
      </c>
      <c r="I3484" t="inlineStr"/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N3484" t="inlineStr"/>
      <c r="O3484" t="inlineStr">
        <is>
          <t>SSAUGKIT1</t>
        </is>
      </c>
      <c r="P3484" t="inlineStr"/>
      <c r="Q3484" s="112" t="n">
        <v>0</v>
      </c>
      <c r="R3484" s="112" t="n">
        <v>35</v>
      </c>
      <c r="S3484" s="112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D3485" t="inlineStr"/>
      <c r="E3485" t="inlineStr">
        <is>
          <t>EQ</t>
        </is>
      </c>
      <c r="F3485" t="inlineStr"/>
      <c r="G3485" s="126" t="inlineStr"/>
      <c r="H3485" s="125" t="n">
        <v>46131</v>
      </c>
      <c r="I3485" t="inlineStr"/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N3485" t="inlineStr"/>
      <c r="O3485" t="inlineStr">
        <is>
          <t>SSAUGKIT1</t>
        </is>
      </c>
      <c r="P3485" t="inlineStr"/>
      <c r="Q3485" s="112" t="n">
        <v>0</v>
      </c>
      <c r="R3485" s="112" t="n">
        <v>35</v>
      </c>
      <c r="S3485" s="112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D3486" t="inlineStr"/>
      <c r="E3486" t="inlineStr">
        <is>
          <t>EQ</t>
        </is>
      </c>
      <c r="F3486" t="inlineStr"/>
      <c r="G3486" s="126" t="inlineStr"/>
      <c r="H3486" s="125" t="n">
        <v>46131</v>
      </c>
      <c r="I3486" t="inlineStr"/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N3486" t="inlineStr"/>
      <c r="O3486" t="inlineStr">
        <is>
          <t>SSAUGKIT1</t>
        </is>
      </c>
      <c r="P3486" t="inlineStr"/>
      <c r="Q3486" s="112" t="n">
        <v>0</v>
      </c>
      <c r="R3486" s="112" t="n">
        <v>35</v>
      </c>
      <c r="S3486" s="112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D3487" t="inlineStr"/>
      <c r="E3487" t="inlineStr">
        <is>
          <t>EQ</t>
        </is>
      </c>
      <c r="F3487" t="inlineStr"/>
      <c r="G3487" s="126" t="inlineStr"/>
      <c r="H3487" s="125" t="n">
        <v>46131</v>
      </c>
      <c r="I3487" t="inlineStr"/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N3487" t="inlineStr"/>
      <c r="O3487" t="inlineStr">
        <is>
          <t>SSAUGKIT1</t>
        </is>
      </c>
      <c r="P3487" t="inlineStr"/>
      <c r="Q3487" s="112" t="n">
        <v>0</v>
      </c>
      <c r="R3487" s="112" t="n">
        <v>35</v>
      </c>
      <c r="S3487" s="112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D3488" t="inlineStr"/>
      <c r="E3488" t="inlineStr">
        <is>
          <t>EQ</t>
        </is>
      </c>
      <c r="F3488" t="inlineStr"/>
      <c r="G3488" s="126" t="inlineStr"/>
      <c r="H3488" s="125" t="n">
        <v>46131</v>
      </c>
      <c r="I3488" t="inlineStr"/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N3488" t="inlineStr"/>
      <c r="O3488" t="inlineStr">
        <is>
          <t>TR425</t>
        </is>
      </c>
      <c r="P3488" t="inlineStr"/>
      <c r="Q3488" s="112" t="n">
        <v>0</v>
      </c>
      <c r="R3488" s="112" t="n">
        <v>65</v>
      </c>
      <c r="S3488" s="112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D3489" t="inlineStr"/>
      <c r="E3489" t="inlineStr">
        <is>
          <t>EQ</t>
        </is>
      </c>
      <c r="F3489" t="inlineStr"/>
      <c r="G3489" s="126" t="inlineStr"/>
      <c r="H3489" s="125" t="n">
        <v>46131</v>
      </c>
      <c r="I3489" t="inlineStr"/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N3489" t="inlineStr"/>
      <c r="O3489" t="inlineStr">
        <is>
          <t>TR425</t>
        </is>
      </c>
      <c r="P3489" t="inlineStr"/>
      <c r="Q3489" s="112" t="n">
        <v>0</v>
      </c>
      <c r="R3489" s="112" t="n">
        <v>65</v>
      </c>
      <c r="S3489" s="112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D3490" t="inlineStr"/>
      <c r="E3490" t="inlineStr">
        <is>
          <t>EQ</t>
        </is>
      </c>
      <c r="F3490" t="inlineStr"/>
      <c r="G3490" s="126" t="inlineStr"/>
      <c r="H3490" s="125" t="n">
        <v>46131</v>
      </c>
      <c r="I3490" t="inlineStr"/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N3490" t="inlineStr"/>
      <c r="O3490" t="inlineStr">
        <is>
          <t>TR425</t>
        </is>
      </c>
      <c r="P3490" t="inlineStr"/>
      <c r="Q3490" s="112" t="n">
        <v>0</v>
      </c>
      <c r="R3490" s="112" t="n">
        <v>65</v>
      </c>
      <c r="S3490" s="112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D3491" t="inlineStr"/>
      <c r="E3491" t="inlineStr">
        <is>
          <t>EQ</t>
        </is>
      </c>
      <c r="F3491" t="inlineStr"/>
      <c r="G3491" s="126" t="inlineStr"/>
      <c r="H3491" s="125" t="n">
        <v>46131</v>
      </c>
      <c r="I3491" t="inlineStr"/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N3491" t="inlineStr"/>
      <c r="O3491" t="inlineStr">
        <is>
          <t>TR425</t>
        </is>
      </c>
      <c r="P3491" t="inlineStr"/>
      <c r="Q3491" s="112" t="n">
        <v>0</v>
      </c>
      <c r="R3491" s="112" t="n">
        <v>65</v>
      </c>
      <c r="S3491" s="112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D3492" t="inlineStr"/>
      <c r="E3492" t="inlineStr">
        <is>
          <t>EQ</t>
        </is>
      </c>
      <c r="F3492" t="inlineStr"/>
      <c r="G3492" s="126" t="inlineStr"/>
      <c r="H3492" s="125" t="n">
        <v>46131</v>
      </c>
      <c r="I3492" t="inlineStr"/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N3492" t="inlineStr"/>
      <c r="O3492" t="inlineStr">
        <is>
          <t>TR425</t>
        </is>
      </c>
      <c r="P3492" t="inlineStr"/>
      <c r="Q3492" s="112" t="n">
        <v>0</v>
      </c>
      <c r="R3492" s="112" t="n">
        <v>65</v>
      </c>
      <c r="S3492" s="112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D3493" t="inlineStr"/>
      <c r="E3493" t="inlineStr">
        <is>
          <t>EQ</t>
        </is>
      </c>
      <c r="F3493" t="inlineStr"/>
      <c r="G3493" s="126" t="inlineStr"/>
      <c r="H3493" s="125" t="n">
        <v>46131</v>
      </c>
      <c r="I3493" t="inlineStr"/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N3493" t="inlineStr"/>
      <c r="O3493" t="inlineStr">
        <is>
          <t>TR425</t>
        </is>
      </c>
      <c r="P3493" t="inlineStr"/>
      <c r="Q3493" s="112" t="n">
        <v>0</v>
      </c>
      <c r="R3493" s="112" t="n">
        <v>65</v>
      </c>
      <c r="S3493" s="112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D3494" t="inlineStr"/>
      <c r="E3494" t="inlineStr">
        <is>
          <t>EQ</t>
        </is>
      </c>
      <c r="F3494" t="inlineStr"/>
      <c r="G3494" s="126" t="inlineStr"/>
      <c r="H3494" s="125" t="n">
        <v>46131</v>
      </c>
      <c r="I3494" t="inlineStr"/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N3494" t="inlineStr"/>
      <c r="O3494" t="inlineStr">
        <is>
          <t>TR428</t>
        </is>
      </c>
      <c r="P3494" t="inlineStr"/>
      <c r="Q3494" s="112" t="n">
        <v>0</v>
      </c>
      <c r="R3494" s="112" t="n">
        <v>15</v>
      </c>
      <c r="S3494" s="112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D3495" t="inlineStr"/>
      <c r="E3495" t="inlineStr">
        <is>
          <t>EQ</t>
        </is>
      </c>
      <c r="F3495" t="inlineStr"/>
      <c r="G3495" s="126" t="inlineStr"/>
      <c r="H3495" s="125" t="n">
        <v>46131</v>
      </c>
      <c r="I3495" t="inlineStr"/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N3495" t="inlineStr"/>
      <c r="O3495" t="inlineStr">
        <is>
          <t>TR428</t>
        </is>
      </c>
      <c r="P3495" t="inlineStr"/>
      <c r="Q3495" s="112" t="n">
        <v>0</v>
      </c>
      <c r="R3495" s="112" t="n">
        <v>15</v>
      </c>
      <c r="S3495" s="112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D3496" t="inlineStr"/>
      <c r="E3496" t="inlineStr">
        <is>
          <t>EQ</t>
        </is>
      </c>
      <c r="F3496" t="inlineStr"/>
      <c r="G3496" s="126" t="inlineStr"/>
      <c r="H3496" s="125" t="n">
        <v>46131</v>
      </c>
      <c r="I3496" t="inlineStr"/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N3496" t="inlineStr"/>
      <c r="O3496" t="inlineStr">
        <is>
          <t>TR428</t>
        </is>
      </c>
      <c r="P3496" t="inlineStr"/>
      <c r="Q3496" s="112" t="n">
        <v>0</v>
      </c>
      <c r="R3496" s="112" t="n">
        <v>15</v>
      </c>
      <c r="S3496" s="112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D3497" t="inlineStr"/>
      <c r="E3497" t="inlineStr">
        <is>
          <t>EQ</t>
        </is>
      </c>
      <c r="F3497" t="inlineStr"/>
      <c r="G3497" s="126" t="inlineStr"/>
      <c r="H3497" s="125" t="n">
        <v>46131</v>
      </c>
      <c r="I3497" t="inlineStr"/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N3497" t="inlineStr"/>
      <c r="O3497" t="inlineStr">
        <is>
          <t>TR428</t>
        </is>
      </c>
      <c r="P3497" t="inlineStr"/>
      <c r="Q3497" s="112" t="n">
        <v>0</v>
      </c>
      <c r="R3497" s="112" t="n">
        <v>15</v>
      </c>
      <c r="S3497" s="112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D3498" t="inlineStr"/>
      <c r="E3498" t="inlineStr">
        <is>
          <t>EQ</t>
        </is>
      </c>
      <c r="F3498" t="inlineStr"/>
      <c r="G3498" s="126" t="inlineStr"/>
      <c r="H3498" s="125" t="n">
        <v>46131</v>
      </c>
      <c r="I3498" t="inlineStr"/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N3498" t="inlineStr"/>
      <c r="O3498" t="inlineStr">
        <is>
          <t>TR428</t>
        </is>
      </c>
      <c r="P3498" t="inlineStr"/>
      <c r="Q3498" s="112" t="n">
        <v>0</v>
      </c>
      <c r="R3498" s="112" t="n">
        <v>15</v>
      </c>
      <c r="S3498" s="112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D3499" t="inlineStr"/>
      <c r="E3499" t="inlineStr">
        <is>
          <t>EQ</t>
        </is>
      </c>
      <c r="F3499" t="inlineStr"/>
      <c r="G3499" s="126" t="inlineStr"/>
      <c r="H3499" s="125" t="n">
        <v>46131</v>
      </c>
      <c r="I3499" t="inlineStr"/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N3499" t="inlineStr"/>
      <c r="O3499" t="inlineStr">
        <is>
          <t>TR428</t>
        </is>
      </c>
      <c r="P3499" t="inlineStr"/>
      <c r="Q3499" s="112" t="n">
        <v>0</v>
      </c>
      <c r="R3499" s="112" t="n">
        <v>15</v>
      </c>
      <c r="S3499" s="112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D3500" t="inlineStr"/>
      <c r="E3500" t="inlineStr">
        <is>
          <t>EQ</t>
        </is>
      </c>
      <c r="F3500" t="inlineStr"/>
      <c r="G3500" s="126" t="inlineStr"/>
      <c r="H3500" s="125" t="n">
        <v>46131</v>
      </c>
      <c r="I3500" t="inlineStr"/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N3500" t="inlineStr"/>
      <c r="O3500" t="inlineStr">
        <is>
          <t>TR145</t>
        </is>
      </c>
      <c r="P3500" t="inlineStr"/>
      <c r="Q3500" s="112" t="n">
        <v>0</v>
      </c>
      <c r="R3500" s="112" t="n">
        <v>65</v>
      </c>
      <c r="S3500" s="112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D3501" t="inlineStr"/>
      <c r="E3501" t="inlineStr">
        <is>
          <t>EQ</t>
        </is>
      </c>
      <c r="F3501" t="inlineStr"/>
      <c r="G3501" s="126" t="inlineStr"/>
      <c r="H3501" s="125" t="n">
        <v>46131</v>
      </c>
      <c r="I3501" t="inlineStr"/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N3501" t="inlineStr"/>
      <c r="O3501" t="inlineStr">
        <is>
          <t>TR145</t>
        </is>
      </c>
      <c r="P3501" t="inlineStr"/>
      <c r="Q3501" s="112" t="n">
        <v>0</v>
      </c>
      <c r="R3501" s="112" t="n">
        <v>65</v>
      </c>
      <c r="S3501" s="112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D3502" t="inlineStr"/>
      <c r="E3502" t="inlineStr">
        <is>
          <t>EQ</t>
        </is>
      </c>
      <c r="F3502" t="inlineStr"/>
      <c r="G3502" s="126" t="inlineStr"/>
      <c r="H3502" s="125" t="n">
        <v>46131</v>
      </c>
      <c r="I3502" t="inlineStr"/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N3502" t="inlineStr"/>
      <c r="O3502" t="inlineStr">
        <is>
          <t>TR145</t>
        </is>
      </c>
      <c r="P3502" t="inlineStr"/>
      <c r="Q3502" s="112" t="n">
        <v>0</v>
      </c>
      <c r="R3502" s="112" t="n">
        <v>65</v>
      </c>
      <c r="S3502" s="112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D3503" t="inlineStr"/>
      <c r="E3503" t="inlineStr">
        <is>
          <t>EQ</t>
        </is>
      </c>
      <c r="F3503" t="inlineStr"/>
      <c r="G3503" s="126" t="inlineStr"/>
      <c r="H3503" s="125" t="n">
        <v>46131</v>
      </c>
      <c r="I3503" t="inlineStr"/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N3503" t="inlineStr"/>
      <c r="O3503" t="inlineStr">
        <is>
          <t>TR145</t>
        </is>
      </c>
      <c r="P3503" t="inlineStr"/>
      <c r="Q3503" s="112" t="n">
        <v>0</v>
      </c>
      <c r="R3503" s="112" t="n">
        <v>65</v>
      </c>
      <c r="S3503" s="112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D3504" t="inlineStr"/>
      <c r="E3504" t="inlineStr">
        <is>
          <t>EQ</t>
        </is>
      </c>
      <c r="F3504" t="inlineStr"/>
      <c r="G3504" s="126" t="inlineStr"/>
      <c r="H3504" s="125" t="n">
        <v>46131</v>
      </c>
      <c r="I3504" t="inlineStr"/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N3504" t="inlineStr"/>
      <c r="O3504" t="inlineStr">
        <is>
          <t>TR145</t>
        </is>
      </c>
      <c r="P3504" t="inlineStr"/>
      <c r="Q3504" s="112" t="n">
        <v>0</v>
      </c>
      <c r="R3504" s="112" t="n">
        <v>65</v>
      </c>
      <c r="S3504" s="112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D3505" t="inlineStr"/>
      <c r="E3505" t="inlineStr">
        <is>
          <t>EQ</t>
        </is>
      </c>
      <c r="F3505" t="inlineStr"/>
      <c r="G3505" s="126" t="inlineStr"/>
      <c r="H3505" s="125" t="n">
        <v>46131</v>
      </c>
      <c r="I3505" t="inlineStr"/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N3505" t="inlineStr"/>
      <c r="O3505" t="inlineStr">
        <is>
          <t>TR145</t>
        </is>
      </c>
      <c r="P3505" t="inlineStr"/>
      <c r="Q3505" s="112" t="n">
        <v>0</v>
      </c>
      <c r="R3505" s="112" t="n">
        <v>65</v>
      </c>
      <c r="S3505" s="112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D3506" t="inlineStr"/>
      <c r="E3506" t="inlineStr">
        <is>
          <t>EQ</t>
        </is>
      </c>
      <c r="F3506" t="inlineStr"/>
      <c r="G3506" s="126" t="inlineStr"/>
      <c r="H3506" s="125" t="n">
        <v>46138</v>
      </c>
      <c r="I3506" t="inlineStr"/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N3506" t="inlineStr"/>
      <c r="O3506" t="inlineStr">
        <is>
          <t>FE017</t>
        </is>
      </c>
      <c r="P3506" t="inlineStr"/>
      <c r="Q3506" s="112" t="n">
        <v>0</v>
      </c>
      <c r="R3506" s="112" t="n">
        <v>0</v>
      </c>
      <c r="S3506" s="112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D3507" t="inlineStr"/>
      <c r="E3507" t="inlineStr">
        <is>
          <t>EQ</t>
        </is>
      </c>
      <c r="F3507" t="inlineStr"/>
      <c r="G3507" s="126" t="inlineStr"/>
      <c r="H3507" s="125" t="n">
        <v>46138</v>
      </c>
      <c r="I3507" t="inlineStr"/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N3507" t="inlineStr"/>
      <c r="O3507" t="inlineStr">
        <is>
          <t>FE017</t>
        </is>
      </c>
      <c r="P3507" t="inlineStr"/>
      <c r="Q3507" s="112" t="n">
        <v>0</v>
      </c>
      <c r="R3507" s="112" t="n">
        <v>0</v>
      </c>
      <c r="S3507" s="112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D3508" t="inlineStr"/>
      <c r="E3508" t="inlineStr">
        <is>
          <t>EQ</t>
        </is>
      </c>
      <c r="F3508" t="inlineStr"/>
      <c r="G3508" s="126" t="inlineStr"/>
      <c r="H3508" s="125" t="n">
        <v>46138</v>
      </c>
      <c r="I3508" t="inlineStr"/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N3508" t="inlineStr"/>
      <c r="O3508" t="inlineStr">
        <is>
          <t>FE017</t>
        </is>
      </c>
      <c r="P3508" t="inlineStr"/>
      <c r="Q3508" s="112" t="n">
        <v>0</v>
      </c>
      <c r="R3508" s="112" t="n">
        <v>0</v>
      </c>
      <c r="S3508" s="112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D3509" t="inlineStr"/>
      <c r="E3509" t="inlineStr">
        <is>
          <t>EQ</t>
        </is>
      </c>
      <c r="F3509" t="inlineStr"/>
      <c r="G3509" s="126" t="inlineStr"/>
      <c r="H3509" s="125" t="n">
        <v>46138</v>
      </c>
      <c r="I3509" t="inlineStr"/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N3509" t="inlineStr"/>
      <c r="O3509" t="inlineStr">
        <is>
          <t>FT011</t>
        </is>
      </c>
      <c r="P3509" t="inlineStr"/>
      <c r="Q3509" s="112" t="n">
        <v>0</v>
      </c>
      <c r="R3509" s="112" t="n">
        <v>291.67</v>
      </c>
      <c r="S3509" s="112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D3510" t="inlineStr"/>
      <c r="E3510" t="inlineStr">
        <is>
          <t>EQ</t>
        </is>
      </c>
      <c r="F3510" t="inlineStr"/>
      <c r="G3510" s="126" t="inlineStr"/>
      <c r="H3510" s="125" t="n">
        <v>46138</v>
      </c>
      <c r="I3510" t="inlineStr"/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N3510" t="inlineStr"/>
      <c r="O3510" t="inlineStr">
        <is>
          <t>FT011</t>
        </is>
      </c>
      <c r="P3510" t="inlineStr"/>
      <c r="Q3510" s="112" t="n">
        <v>0</v>
      </c>
      <c r="R3510" s="112" t="n">
        <v>291.67</v>
      </c>
      <c r="S3510" s="112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D3511" t="inlineStr"/>
      <c r="E3511" t="inlineStr">
        <is>
          <t>EQ</t>
        </is>
      </c>
      <c r="F3511" t="inlineStr"/>
      <c r="G3511" s="126" t="inlineStr"/>
      <c r="H3511" s="125" t="n">
        <v>46138</v>
      </c>
      <c r="I3511" t="inlineStr"/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N3511" t="inlineStr"/>
      <c r="O3511" t="inlineStr">
        <is>
          <t>FT011</t>
        </is>
      </c>
      <c r="P3511" t="inlineStr"/>
      <c r="Q3511" s="112" t="n">
        <v>0</v>
      </c>
      <c r="R3511" s="112" t="n">
        <v>291.67</v>
      </c>
      <c r="S3511" s="112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D3512" t="inlineStr"/>
      <c r="E3512" t="inlineStr">
        <is>
          <t>EQ</t>
        </is>
      </c>
      <c r="F3512" t="inlineStr"/>
      <c r="G3512" s="126" t="inlineStr"/>
      <c r="H3512" s="125" t="n">
        <v>46138</v>
      </c>
      <c r="I3512" t="inlineStr"/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N3512" t="inlineStr"/>
      <c r="O3512" t="inlineStr">
        <is>
          <t>WLD146</t>
        </is>
      </c>
      <c r="P3512" t="inlineStr"/>
      <c r="Q3512" s="112" t="n">
        <v>0</v>
      </c>
      <c r="R3512" s="112" t="n">
        <v>50</v>
      </c>
      <c r="S3512" s="112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D3513" t="inlineStr"/>
      <c r="E3513" t="inlineStr">
        <is>
          <t>EQ</t>
        </is>
      </c>
      <c r="F3513" t="inlineStr"/>
      <c r="G3513" s="126" t="inlineStr"/>
      <c r="H3513" s="125" t="n">
        <v>46138</v>
      </c>
      <c r="I3513" t="inlineStr"/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N3513" t="inlineStr"/>
      <c r="O3513" t="inlineStr">
        <is>
          <t>WLD146</t>
        </is>
      </c>
      <c r="P3513" t="inlineStr"/>
      <c r="Q3513" s="112" t="n">
        <v>0</v>
      </c>
      <c r="R3513" s="112" t="n">
        <v>50</v>
      </c>
      <c r="S3513" s="112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D3514" t="inlineStr"/>
      <c r="E3514" t="inlineStr">
        <is>
          <t>EQ</t>
        </is>
      </c>
      <c r="F3514" t="inlineStr"/>
      <c r="G3514" s="126" t="inlineStr"/>
      <c r="H3514" s="125" t="n">
        <v>46138</v>
      </c>
      <c r="I3514" t="inlineStr"/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N3514" t="inlineStr"/>
      <c r="O3514" t="inlineStr">
        <is>
          <t>WLD146</t>
        </is>
      </c>
      <c r="P3514" t="inlineStr"/>
      <c r="Q3514" s="112" t="n">
        <v>0</v>
      </c>
      <c r="R3514" s="112" t="n">
        <v>50</v>
      </c>
      <c r="S3514" s="112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D3515" t="inlineStr"/>
      <c r="E3515" t="inlineStr">
        <is>
          <t>EQ</t>
        </is>
      </c>
      <c r="F3515" t="inlineStr"/>
      <c r="G3515" s="126" t="inlineStr"/>
      <c r="H3515" s="125" t="n">
        <v>46138</v>
      </c>
      <c r="I3515" t="inlineStr"/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N3515" t="inlineStr"/>
      <c r="O3515" t="inlineStr">
        <is>
          <t>RT1385</t>
        </is>
      </c>
      <c r="P3515" t="inlineStr"/>
      <c r="Q3515" s="112" t="n">
        <v>0</v>
      </c>
      <c r="R3515" s="112" t="n">
        <v>79.14</v>
      </c>
      <c r="S3515" s="112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D3516" t="inlineStr"/>
      <c r="E3516" t="inlineStr">
        <is>
          <t>EQ</t>
        </is>
      </c>
      <c r="F3516" t="inlineStr"/>
      <c r="G3516" s="126" t="inlineStr"/>
      <c r="H3516" s="125" t="n">
        <v>46138</v>
      </c>
      <c r="I3516" t="inlineStr"/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N3516" t="inlineStr"/>
      <c r="O3516" t="inlineStr">
        <is>
          <t>RT1385</t>
        </is>
      </c>
      <c r="P3516" t="inlineStr"/>
      <c r="Q3516" s="112" t="n">
        <v>0</v>
      </c>
      <c r="R3516" s="112" t="n">
        <v>79.14</v>
      </c>
      <c r="S3516" s="112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D3517" t="inlineStr"/>
      <c r="E3517" t="inlineStr">
        <is>
          <t>EQ</t>
        </is>
      </c>
      <c r="F3517" t="inlineStr"/>
      <c r="G3517" s="126" t="inlineStr"/>
      <c r="H3517" s="125" t="n">
        <v>46138</v>
      </c>
      <c r="I3517" t="inlineStr"/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N3517" t="inlineStr"/>
      <c r="O3517" t="inlineStr">
        <is>
          <t>RT1385</t>
        </is>
      </c>
      <c r="P3517" t="inlineStr"/>
      <c r="Q3517" s="112" t="n">
        <v>0</v>
      </c>
      <c r="R3517" s="112" t="n">
        <v>79.14</v>
      </c>
      <c r="S3517" s="112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D3518" t="inlineStr"/>
      <c r="E3518" t="inlineStr">
        <is>
          <t>EQ</t>
        </is>
      </c>
      <c r="F3518" t="inlineStr"/>
      <c r="G3518" s="126" t="inlineStr"/>
      <c r="H3518" s="125" t="n">
        <v>46138</v>
      </c>
      <c r="I3518" t="inlineStr"/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N3518" t="inlineStr"/>
      <c r="O3518" t="inlineStr">
        <is>
          <t>SSAUGKIT1</t>
        </is>
      </c>
      <c r="P3518" t="inlineStr"/>
      <c r="Q3518" s="112" t="n">
        <v>0</v>
      </c>
      <c r="R3518" s="112" t="n">
        <v>35</v>
      </c>
      <c r="S3518" s="112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D3519" t="inlineStr"/>
      <c r="E3519" t="inlineStr">
        <is>
          <t>EQ</t>
        </is>
      </c>
      <c r="F3519" t="inlineStr"/>
      <c r="G3519" s="126" t="inlineStr"/>
      <c r="H3519" s="125" t="n">
        <v>46138</v>
      </c>
      <c r="I3519" t="inlineStr"/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N3519" t="inlineStr"/>
      <c r="O3519" t="inlineStr">
        <is>
          <t>SSAUGKIT1</t>
        </is>
      </c>
      <c r="P3519" t="inlineStr"/>
      <c r="Q3519" s="112" t="n">
        <v>0</v>
      </c>
      <c r="R3519" s="112" t="n">
        <v>35</v>
      </c>
      <c r="S3519" s="112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D3520" t="inlineStr"/>
      <c r="E3520" t="inlineStr">
        <is>
          <t>EQ</t>
        </is>
      </c>
      <c r="F3520" t="inlineStr"/>
      <c r="G3520" s="126" t="inlineStr"/>
      <c r="H3520" s="125" t="n">
        <v>46138</v>
      </c>
      <c r="I3520" t="inlineStr"/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N3520" t="inlineStr"/>
      <c r="O3520" t="inlineStr">
        <is>
          <t>SSAUGKIT1</t>
        </is>
      </c>
      <c r="P3520" t="inlineStr"/>
      <c r="Q3520" s="112" t="n">
        <v>0</v>
      </c>
      <c r="R3520" s="112" t="n">
        <v>35</v>
      </c>
      <c r="S3520" s="112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D3521" t="inlineStr"/>
      <c r="E3521" t="inlineStr">
        <is>
          <t>EQ</t>
        </is>
      </c>
      <c r="F3521" t="inlineStr"/>
      <c r="G3521" s="126" t="inlineStr"/>
      <c r="H3521" s="125" t="n">
        <v>46138</v>
      </c>
      <c r="I3521" t="inlineStr"/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N3521" t="inlineStr"/>
      <c r="O3521" t="inlineStr">
        <is>
          <t>TR425</t>
        </is>
      </c>
      <c r="P3521" t="inlineStr"/>
      <c r="Q3521" s="112" t="n">
        <v>0</v>
      </c>
      <c r="R3521" s="112" t="n">
        <v>65</v>
      </c>
      <c r="S3521" s="112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D3522" t="inlineStr"/>
      <c r="E3522" t="inlineStr">
        <is>
          <t>EQ</t>
        </is>
      </c>
      <c r="F3522" t="inlineStr"/>
      <c r="G3522" s="126" t="inlineStr"/>
      <c r="H3522" s="125" t="n">
        <v>46138</v>
      </c>
      <c r="I3522" t="inlineStr"/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N3522" t="inlineStr"/>
      <c r="O3522" t="inlineStr">
        <is>
          <t>TR425</t>
        </is>
      </c>
      <c r="P3522" t="inlineStr"/>
      <c r="Q3522" s="112" t="n">
        <v>0</v>
      </c>
      <c r="R3522" s="112" t="n">
        <v>65</v>
      </c>
      <c r="S3522" s="112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D3523" t="inlineStr"/>
      <c r="E3523" t="inlineStr">
        <is>
          <t>EQ</t>
        </is>
      </c>
      <c r="F3523" t="inlineStr"/>
      <c r="G3523" s="126" t="inlineStr"/>
      <c r="H3523" s="125" t="n">
        <v>46138</v>
      </c>
      <c r="I3523" t="inlineStr"/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N3523" t="inlineStr"/>
      <c r="O3523" t="inlineStr">
        <is>
          <t>TR425</t>
        </is>
      </c>
      <c r="P3523" t="inlineStr"/>
      <c r="Q3523" s="112" t="n">
        <v>0</v>
      </c>
      <c r="R3523" s="112" t="n">
        <v>65</v>
      </c>
      <c r="S3523" s="112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D3524" t="inlineStr"/>
      <c r="E3524" t="inlineStr">
        <is>
          <t>EQ</t>
        </is>
      </c>
      <c r="F3524" t="inlineStr"/>
      <c r="G3524" s="126" t="inlineStr"/>
      <c r="H3524" s="125" t="n">
        <v>46138</v>
      </c>
      <c r="I3524" t="inlineStr"/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N3524" t="inlineStr"/>
      <c r="O3524" t="inlineStr">
        <is>
          <t>TR428</t>
        </is>
      </c>
      <c r="P3524" t="inlineStr"/>
      <c r="Q3524" s="112" t="n">
        <v>0</v>
      </c>
      <c r="R3524" s="112" t="n">
        <v>15</v>
      </c>
      <c r="S3524" s="112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D3525" t="inlineStr"/>
      <c r="E3525" t="inlineStr">
        <is>
          <t>EQ</t>
        </is>
      </c>
      <c r="F3525" t="inlineStr"/>
      <c r="G3525" s="126" t="inlineStr"/>
      <c r="H3525" s="125" t="n">
        <v>46138</v>
      </c>
      <c r="I3525" t="inlineStr"/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N3525" t="inlineStr"/>
      <c r="O3525" t="inlineStr">
        <is>
          <t>TR428</t>
        </is>
      </c>
      <c r="P3525" t="inlineStr"/>
      <c r="Q3525" s="112" t="n">
        <v>0</v>
      </c>
      <c r="R3525" s="112" t="n">
        <v>15</v>
      </c>
      <c r="S3525" s="112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D3526" t="inlineStr"/>
      <c r="E3526" t="inlineStr">
        <is>
          <t>EQ</t>
        </is>
      </c>
      <c r="F3526" t="inlineStr"/>
      <c r="G3526" s="126" t="inlineStr"/>
      <c r="H3526" s="125" t="n">
        <v>46138</v>
      </c>
      <c r="I3526" t="inlineStr"/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N3526" t="inlineStr"/>
      <c r="O3526" t="inlineStr">
        <is>
          <t>TR428</t>
        </is>
      </c>
      <c r="P3526" t="inlineStr"/>
      <c r="Q3526" s="112" t="n">
        <v>0</v>
      </c>
      <c r="R3526" s="112" t="n">
        <v>15</v>
      </c>
      <c r="S3526" s="112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D3527" t="inlineStr"/>
      <c r="E3527" t="inlineStr">
        <is>
          <t>EQ</t>
        </is>
      </c>
      <c r="F3527" t="inlineStr"/>
      <c r="G3527" s="126" t="inlineStr"/>
      <c r="H3527" s="125" t="n">
        <v>46138</v>
      </c>
      <c r="I3527" t="inlineStr"/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N3527" t="inlineStr"/>
      <c r="O3527" t="inlineStr">
        <is>
          <t>TR145</t>
        </is>
      </c>
      <c r="P3527" t="inlineStr"/>
      <c r="Q3527" s="112" t="n">
        <v>0</v>
      </c>
      <c r="R3527" s="112" t="n">
        <v>65</v>
      </c>
      <c r="S3527" s="112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D3528" t="inlineStr"/>
      <c r="E3528" t="inlineStr">
        <is>
          <t>EQ</t>
        </is>
      </c>
      <c r="F3528" t="inlineStr"/>
      <c r="G3528" s="126" t="inlineStr"/>
      <c r="H3528" s="125" t="n">
        <v>46138</v>
      </c>
      <c r="I3528" t="inlineStr"/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N3528" t="inlineStr"/>
      <c r="O3528" t="inlineStr">
        <is>
          <t>TR145</t>
        </is>
      </c>
      <c r="P3528" t="inlineStr"/>
      <c r="Q3528" s="112" t="n">
        <v>0</v>
      </c>
      <c r="R3528" s="112" t="n">
        <v>65</v>
      </c>
      <c r="S3528" s="112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D3529" t="inlineStr"/>
      <c r="E3529" t="inlineStr">
        <is>
          <t>EQ</t>
        </is>
      </c>
      <c r="F3529" t="inlineStr"/>
      <c r="G3529" s="126" t="inlineStr"/>
      <c r="H3529" s="125" t="n">
        <v>46138</v>
      </c>
      <c r="I3529" t="inlineStr"/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N3529" t="inlineStr"/>
      <c r="O3529" t="inlineStr">
        <is>
          <t>TR145</t>
        </is>
      </c>
      <c r="P3529" t="inlineStr"/>
      <c r="Q3529" s="112" t="n">
        <v>0</v>
      </c>
      <c r="R3529" s="112" t="n">
        <v>65</v>
      </c>
      <c r="S3529" s="112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D3530" t="inlineStr"/>
      <c r="E3530" t="inlineStr">
        <is>
          <t>EQ</t>
        </is>
      </c>
      <c r="F3530" t="inlineStr"/>
      <c r="G3530" s="126" t="inlineStr"/>
      <c r="H3530" s="125" t="n">
        <v>46142</v>
      </c>
      <c r="I3530" t="inlineStr"/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N3530" t="inlineStr"/>
      <c r="O3530" t="inlineStr">
        <is>
          <t>FE017</t>
        </is>
      </c>
      <c r="P3530" t="inlineStr"/>
      <c r="Q3530" s="112" t="n">
        <v>0</v>
      </c>
      <c r="R3530" s="112" t="n">
        <v>0</v>
      </c>
      <c r="S3530" s="112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D3531" t="inlineStr"/>
      <c r="E3531" t="inlineStr">
        <is>
          <t>EQ</t>
        </is>
      </c>
      <c r="F3531" t="inlineStr"/>
      <c r="G3531" s="126" t="inlineStr"/>
      <c r="H3531" s="125" t="n">
        <v>46142</v>
      </c>
      <c r="I3531" t="inlineStr"/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N3531" t="inlineStr"/>
      <c r="O3531" t="inlineStr">
        <is>
          <t>FE017</t>
        </is>
      </c>
      <c r="P3531" t="inlineStr"/>
      <c r="Q3531" s="112" t="n">
        <v>0</v>
      </c>
      <c r="R3531" s="112" t="n">
        <v>0</v>
      </c>
      <c r="S3531" s="112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D3532" t="inlineStr"/>
      <c r="E3532" t="inlineStr">
        <is>
          <t>EQ</t>
        </is>
      </c>
      <c r="F3532" t="inlineStr"/>
      <c r="G3532" s="126" t="inlineStr"/>
      <c r="H3532" s="125" t="n">
        <v>46142</v>
      </c>
      <c r="I3532" t="inlineStr"/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N3532" t="inlineStr"/>
      <c r="O3532" t="inlineStr">
        <is>
          <t>FE017</t>
        </is>
      </c>
      <c r="P3532" t="inlineStr"/>
      <c r="Q3532" s="112" t="n">
        <v>0</v>
      </c>
      <c r="R3532" s="112" t="n">
        <v>0</v>
      </c>
      <c r="S3532" s="112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D3533" t="inlineStr"/>
      <c r="E3533" t="inlineStr">
        <is>
          <t>EQ</t>
        </is>
      </c>
      <c r="F3533" t="inlineStr"/>
      <c r="G3533" s="126" t="inlineStr"/>
      <c r="H3533" s="125" t="n">
        <v>46142</v>
      </c>
      <c r="I3533" t="inlineStr"/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N3533" t="inlineStr"/>
      <c r="O3533" t="inlineStr">
        <is>
          <t>FE017</t>
        </is>
      </c>
      <c r="P3533" t="inlineStr"/>
      <c r="Q3533" s="112" t="n">
        <v>0</v>
      </c>
      <c r="R3533" s="112" t="n">
        <v>0</v>
      </c>
      <c r="S3533" s="112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D3534" t="inlineStr"/>
      <c r="E3534" t="inlineStr">
        <is>
          <t>EQ</t>
        </is>
      </c>
      <c r="F3534" t="inlineStr"/>
      <c r="G3534" s="126" t="inlineStr"/>
      <c r="H3534" s="125" t="n">
        <v>46142</v>
      </c>
      <c r="I3534" t="inlineStr"/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N3534" t="inlineStr"/>
      <c r="O3534" t="inlineStr">
        <is>
          <t>FT011</t>
        </is>
      </c>
      <c r="P3534" t="inlineStr"/>
      <c r="Q3534" s="112" t="n">
        <v>0</v>
      </c>
      <c r="R3534" s="112" t="n">
        <v>291.67</v>
      </c>
      <c r="S3534" s="112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D3535" t="inlineStr"/>
      <c r="E3535" t="inlineStr">
        <is>
          <t>EQ</t>
        </is>
      </c>
      <c r="F3535" t="inlineStr"/>
      <c r="G3535" s="126" t="inlineStr"/>
      <c r="H3535" s="125" t="n">
        <v>46142</v>
      </c>
      <c r="I3535" t="inlineStr"/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N3535" t="inlineStr"/>
      <c r="O3535" t="inlineStr">
        <is>
          <t>FT011</t>
        </is>
      </c>
      <c r="P3535" t="inlineStr"/>
      <c r="Q3535" s="112" t="n">
        <v>0</v>
      </c>
      <c r="R3535" s="112" t="n">
        <v>291.67</v>
      </c>
      <c r="S3535" s="112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D3536" t="inlineStr"/>
      <c r="E3536" t="inlineStr">
        <is>
          <t>EQ</t>
        </is>
      </c>
      <c r="F3536" t="inlineStr"/>
      <c r="G3536" s="126" t="inlineStr"/>
      <c r="H3536" s="125" t="n">
        <v>46142</v>
      </c>
      <c r="I3536" t="inlineStr"/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N3536" t="inlineStr"/>
      <c r="O3536" t="inlineStr">
        <is>
          <t>FT011</t>
        </is>
      </c>
      <c r="P3536" t="inlineStr"/>
      <c r="Q3536" s="112" t="n">
        <v>0</v>
      </c>
      <c r="R3536" s="112" t="n">
        <v>291.67</v>
      </c>
      <c r="S3536" s="112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D3537" t="inlineStr"/>
      <c r="E3537" t="inlineStr">
        <is>
          <t>EQ</t>
        </is>
      </c>
      <c r="F3537" t="inlineStr"/>
      <c r="G3537" s="126" t="inlineStr"/>
      <c r="H3537" s="125" t="n">
        <v>46142</v>
      </c>
      <c r="I3537" t="inlineStr"/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N3537" t="inlineStr"/>
      <c r="O3537" t="inlineStr">
        <is>
          <t>FT011</t>
        </is>
      </c>
      <c r="P3537" t="inlineStr"/>
      <c r="Q3537" s="112" t="n">
        <v>0</v>
      </c>
      <c r="R3537" s="112" t="n">
        <v>291.67</v>
      </c>
      <c r="S3537" s="112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D3538" t="inlineStr"/>
      <c r="E3538" t="inlineStr">
        <is>
          <t>EQ</t>
        </is>
      </c>
      <c r="F3538" t="inlineStr"/>
      <c r="G3538" s="126" t="inlineStr"/>
      <c r="H3538" s="125" t="n">
        <v>46142</v>
      </c>
      <c r="I3538" t="inlineStr"/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N3538" t="inlineStr"/>
      <c r="O3538" t="inlineStr">
        <is>
          <t>WLD146</t>
        </is>
      </c>
      <c r="P3538" t="inlineStr"/>
      <c r="Q3538" s="112" t="n">
        <v>0</v>
      </c>
      <c r="R3538" s="112" t="n">
        <v>50</v>
      </c>
      <c r="S3538" s="112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D3539" t="inlineStr"/>
      <c r="E3539" t="inlineStr">
        <is>
          <t>EQ</t>
        </is>
      </c>
      <c r="F3539" t="inlineStr"/>
      <c r="G3539" s="126" t="inlineStr"/>
      <c r="H3539" s="125" t="n">
        <v>46142</v>
      </c>
      <c r="I3539" t="inlineStr"/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N3539" t="inlineStr"/>
      <c r="O3539" t="inlineStr">
        <is>
          <t>WLD146</t>
        </is>
      </c>
      <c r="P3539" t="inlineStr"/>
      <c r="Q3539" s="112" t="n">
        <v>0</v>
      </c>
      <c r="R3539" s="112" t="n">
        <v>50</v>
      </c>
      <c r="S3539" s="112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D3540" t="inlineStr"/>
      <c r="E3540" t="inlineStr">
        <is>
          <t>EQ</t>
        </is>
      </c>
      <c r="F3540" t="inlineStr"/>
      <c r="G3540" s="126" t="inlineStr"/>
      <c r="H3540" s="125" t="n">
        <v>46142</v>
      </c>
      <c r="I3540" t="inlineStr"/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N3540" t="inlineStr"/>
      <c r="O3540" t="inlineStr">
        <is>
          <t>WLD146</t>
        </is>
      </c>
      <c r="P3540" t="inlineStr"/>
      <c r="Q3540" s="112" t="n">
        <v>0</v>
      </c>
      <c r="R3540" s="112" t="n">
        <v>50</v>
      </c>
      <c r="S3540" s="112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D3541" t="inlineStr"/>
      <c r="E3541" t="inlineStr">
        <is>
          <t>EQ</t>
        </is>
      </c>
      <c r="F3541" t="inlineStr"/>
      <c r="G3541" s="126" t="inlineStr"/>
      <c r="H3541" s="125" t="n">
        <v>46142</v>
      </c>
      <c r="I3541" t="inlineStr"/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N3541" t="inlineStr"/>
      <c r="O3541" t="inlineStr">
        <is>
          <t>WLD146</t>
        </is>
      </c>
      <c r="P3541" t="inlineStr"/>
      <c r="Q3541" s="112" t="n">
        <v>0</v>
      </c>
      <c r="R3541" s="112" t="n">
        <v>50</v>
      </c>
      <c r="S3541" s="112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D3542" t="inlineStr"/>
      <c r="E3542" t="inlineStr">
        <is>
          <t>EQ</t>
        </is>
      </c>
      <c r="F3542" t="inlineStr"/>
      <c r="G3542" s="126" t="inlineStr"/>
      <c r="H3542" s="125" t="n">
        <v>46142</v>
      </c>
      <c r="I3542" t="inlineStr"/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N3542" t="inlineStr"/>
      <c r="O3542" t="inlineStr">
        <is>
          <t>RT1385</t>
        </is>
      </c>
      <c r="P3542" t="inlineStr"/>
      <c r="Q3542" s="112" t="n">
        <v>0</v>
      </c>
      <c r="R3542" s="112" t="n">
        <v>79.14</v>
      </c>
      <c r="S3542" s="112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D3543" t="inlineStr"/>
      <c r="E3543" t="inlineStr">
        <is>
          <t>EQ</t>
        </is>
      </c>
      <c r="F3543" t="inlineStr"/>
      <c r="G3543" s="126" t="inlineStr"/>
      <c r="H3543" s="125" t="n">
        <v>46142</v>
      </c>
      <c r="I3543" t="inlineStr"/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N3543" t="inlineStr"/>
      <c r="O3543" t="inlineStr">
        <is>
          <t>RT1385</t>
        </is>
      </c>
      <c r="P3543" t="inlineStr"/>
      <c r="Q3543" s="112" t="n">
        <v>0</v>
      </c>
      <c r="R3543" s="112" t="n">
        <v>79.14</v>
      </c>
      <c r="S3543" s="112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D3544" t="inlineStr"/>
      <c r="E3544" t="inlineStr">
        <is>
          <t>EQ</t>
        </is>
      </c>
      <c r="F3544" t="inlineStr"/>
      <c r="G3544" s="126" t="inlineStr"/>
      <c r="H3544" s="125" t="n">
        <v>46142</v>
      </c>
      <c r="I3544" t="inlineStr"/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N3544" t="inlineStr"/>
      <c r="O3544" t="inlineStr">
        <is>
          <t>RT1385</t>
        </is>
      </c>
      <c r="P3544" t="inlineStr"/>
      <c r="Q3544" s="112" t="n">
        <v>0</v>
      </c>
      <c r="R3544" s="112" t="n">
        <v>79.14</v>
      </c>
      <c r="S3544" s="112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D3545" t="inlineStr"/>
      <c r="E3545" t="inlineStr">
        <is>
          <t>EQ</t>
        </is>
      </c>
      <c r="F3545" t="inlineStr"/>
      <c r="G3545" s="126" t="inlineStr"/>
      <c r="H3545" s="125" t="n">
        <v>46142</v>
      </c>
      <c r="I3545" t="inlineStr"/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N3545" t="inlineStr"/>
      <c r="O3545" t="inlineStr">
        <is>
          <t>RT1385</t>
        </is>
      </c>
      <c r="P3545" t="inlineStr"/>
      <c r="Q3545" s="112" t="n">
        <v>0</v>
      </c>
      <c r="R3545" s="112" t="n">
        <v>79.14</v>
      </c>
      <c r="S3545" s="112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D3546" t="inlineStr"/>
      <c r="E3546" t="inlineStr">
        <is>
          <t>EQ</t>
        </is>
      </c>
      <c r="F3546" t="inlineStr"/>
      <c r="G3546" s="126" t="inlineStr"/>
      <c r="H3546" s="125" t="n">
        <v>46142</v>
      </c>
      <c r="I3546" t="inlineStr"/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N3546" t="inlineStr"/>
      <c r="O3546" t="inlineStr">
        <is>
          <t>TR425</t>
        </is>
      </c>
      <c r="P3546" t="inlineStr"/>
      <c r="Q3546" s="112" t="n">
        <v>0</v>
      </c>
      <c r="R3546" s="112" t="n">
        <v>65</v>
      </c>
      <c r="S3546" s="112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D3547" t="inlineStr"/>
      <c r="E3547" t="inlineStr">
        <is>
          <t>EQ</t>
        </is>
      </c>
      <c r="F3547" t="inlineStr"/>
      <c r="G3547" s="126" t="inlineStr"/>
      <c r="H3547" s="125" t="n">
        <v>46142</v>
      </c>
      <c r="I3547" t="inlineStr"/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N3547" t="inlineStr"/>
      <c r="O3547" t="inlineStr">
        <is>
          <t>TR425</t>
        </is>
      </c>
      <c r="P3547" t="inlineStr"/>
      <c r="Q3547" s="112" t="n">
        <v>0</v>
      </c>
      <c r="R3547" s="112" t="n">
        <v>65</v>
      </c>
      <c r="S3547" s="112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D3548" t="inlineStr"/>
      <c r="E3548" t="inlineStr">
        <is>
          <t>EQ</t>
        </is>
      </c>
      <c r="F3548" t="inlineStr"/>
      <c r="G3548" s="126" t="inlineStr"/>
      <c r="H3548" s="125" t="n">
        <v>46142</v>
      </c>
      <c r="I3548" t="inlineStr"/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N3548" t="inlineStr"/>
      <c r="O3548" t="inlineStr">
        <is>
          <t>TR425</t>
        </is>
      </c>
      <c r="P3548" t="inlineStr"/>
      <c r="Q3548" s="112" t="n">
        <v>0</v>
      </c>
      <c r="R3548" s="112" t="n">
        <v>65</v>
      </c>
      <c r="S3548" s="112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D3549" t="inlineStr"/>
      <c r="E3549" t="inlineStr">
        <is>
          <t>EQ</t>
        </is>
      </c>
      <c r="F3549" t="inlineStr"/>
      <c r="G3549" s="126" t="inlineStr"/>
      <c r="H3549" s="125" t="n">
        <v>46142</v>
      </c>
      <c r="I3549" t="inlineStr"/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N3549" t="inlineStr"/>
      <c r="O3549" t="inlineStr">
        <is>
          <t>TR425</t>
        </is>
      </c>
      <c r="P3549" t="inlineStr"/>
      <c r="Q3549" s="112" t="n">
        <v>0</v>
      </c>
      <c r="R3549" s="112" t="n">
        <v>65</v>
      </c>
      <c r="S3549" s="112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D3550" t="inlineStr"/>
      <c r="E3550" t="inlineStr">
        <is>
          <t>EQ</t>
        </is>
      </c>
      <c r="F3550" t="inlineStr"/>
      <c r="G3550" s="126" t="inlineStr"/>
      <c r="H3550" s="125" t="n">
        <v>46142</v>
      </c>
      <c r="I3550" t="inlineStr"/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N3550" t="inlineStr"/>
      <c r="O3550" t="inlineStr">
        <is>
          <t>TR428</t>
        </is>
      </c>
      <c r="P3550" t="inlineStr"/>
      <c r="Q3550" s="112" t="n">
        <v>0</v>
      </c>
      <c r="R3550" s="112" t="n">
        <v>15</v>
      </c>
      <c r="S3550" s="112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D3551" t="inlineStr"/>
      <c r="E3551" t="inlineStr">
        <is>
          <t>EQ</t>
        </is>
      </c>
      <c r="F3551" t="inlineStr"/>
      <c r="G3551" s="126" t="inlineStr"/>
      <c r="H3551" s="125" t="n">
        <v>46142</v>
      </c>
      <c r="I3551" t="inlineStr"/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N3551" t="inlineStr"/>
      <c r="O3551" t="inlineStr">
        <is>
          <t>TR428</t>
        </is>
      </c>
      <c r="P3551" t="inlineStr"/>
      <c r="Q3551" s="112" t="n">
        <v>0</v>
      </c>
      <c r="R3551" s="112" t="n">
        <v>15</v>
      </c>
      <c r="S3551" s="112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D3552" t="inlineStr"/>
      <c r="E3552" t="inlineStr">
        <is>
          <t>EQ</t>
        </is>
      </c>
      <c r="F3552" t="inlineStr"/>
      <c r="G3552" s="126" t="inlineStr"/>
      <c r="H3552" s="125" t="n">
        <v>46142</v>
      </c>
      <c r="I3552" t="inlineStr"/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N3552" t="inlineStr"/>
      <c r="O3552" t="inlineStr">
        <is>
          <t>TR428</t>
        </is>
      </c>
      <c r="P3552" t="inlineStr"/>
      <c r="Q3552" s="112" t="n">
        <v>0</v>
      </c>
      <c r="R3552" s="112" t="n">
        <v>15</v>
      </c>
      <c r="S3552" s="112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D3553" t="inlineStr"/>
      <c r="E3553" t="inlineStr">
        <is>
          <t>EQ</t>
        </is>
      </c>
      <c r="F3553" t="inlineStr"/>
      <c r="G3553" s="126" t="inlineStr"/>
      <c r="H3553" s="125" t="n">
        <v>46142</v>
      </c>
      <c r="I3553" t="inlineStr"/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N3553" t="inlineStr"/>
      <c r="O3553" t="inlineStr">
        <is>
          <t>TR428</t>
        </is>
      </c>
      <c r="P3553" t="inlineStr"/>
      <c r="Q3553" s="112" t="n">
        <v>0</v>
      </c>
      <c r="R3553" s="112" t="n">
        <v>15</v>
      </c>
      <c r="S3553" s="112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D3554" t="inlineStr"/>
      <c r="E3554" t="inlineStr">
        <is>
          <t>EQ</t>
        </is>
      </c>
      <c r="F3554" t="inlineStr"/>
      <c r="G3554" s="126" t="inlineStr"/>
      <c r="H3554" s="125" t="n">
        <v>46142</v>
      </c>
      <c r="I3554" t="inlineStr"/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N3554" t="inlineStr"/>
      <c r="O3554" t="inlineStr">
        <is>
          <t>TR145</t>
        </is>
      </c>
      <c r="P3554" t="inlineStr"/>
      <c r="Q3554" s="112" t="n">
        <v>0</v>
      </c>
      <c r="R3554" s="112" t="n">
        <v>65</v>
      </c>
      <c r="S3554" s="112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D3555" t="inlineStr"/>
      <c r="E3555" t="inlineStr">
        <is>
          <t>EQ</t>
        </is>
      </c>
      <c r="F3555" t="inlineStr"/>
      <c r="G3555" s="126" t="inlineStr"/>
      <c r="H3555" s="125" t="n">
        <v>46142</v>
      </c>
      <c r="I3555" t="inlineStr"/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N3555" t="inlineStr"/>
      <c r="O3555" t="inlineStr">
        <is>
          <t>TR145</t>
        </is>
      </c>
      <c r="P3555" t="inlineStr"/>
      <c r="Q3555" s="112" t="n">
        <v>0</v>
      </c>
      <c r="R3555" s="112" t="n">
        <v>65</v>
      </c>
      <c r="S3555" s="112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D3556" t="inlineStr"/>
      <c r="E3556" t="inlineStr">
        <is>
          <t>EQ</t>
        </is>
      </c>
      <c r="F3556" t="inlineStr"/>
      <c r="G3556" s="126" t="inlineStr"/>
      <c r="H3556" s="125" t="n">
        <v>46142</v>
      </c>
      <c r="I3556" t="inlineStr"/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N3556" t="inlineStr"/>
      <c r="O3556" t="inlineStr">
        <is>
          <t>TR145</t>
        </is>
      </c>
      <c r="P3556" t="inlineStr"/>
      <c r="Q3556" s="112" t="n">
        <v>0</v>
      </c>
      <c r="R3556" s="112" t="n">
        <v>65</v>
      </c>
      <c r="S3556" s="112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D3557" t="inlineStr"/>
      <c r="E3557" t="inlineStr">
        <is>
          <t>EQ</t>
        </is>
      </c>
      <c r="F3557" t="inlineStr"/>
      <c r="G3557" s="126" t="inlineStr"/>
      <c r="H3557" s="125" t="n">
        <v>46142</v>
      </c>
      <c r="I3557" t="inlineStr"/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N3557" t="inlineStr"/>
      <c r="O3557" t="inlineStr">
        <is>
          <t>TR145</t>
        </is>
      </c>
      <c r="P3557" t="inlineStr"/>
      <c r="Q3557" s="112" t="n">
        <v>0</v>
      </c>
      <c r="R3557" s="112" t="n">
        <v>65</v>
      </c>
      <c r="S3557" s="112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D3558" t="inlineStr"/>
      <c r="E3558" t="inlineStr">
        <is>
          <t>EQ</t>
        </is>
      </c>
      <c r="F3558" t="inlineStr"/>
      <c r="G3558" s="126" t="inlineStr"/>
      <c r="H3558" s="125" t="n">
        <v>46145</v>
      </c>
      <c r="I3558" t="inlineStr"/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N3558" t="inlineStr"/>
      <c r="O3558" t="inlineStr">
        <is>
          <t>FE017</t>
        </is>
      </c>
      <c r="P3558" t="inlineStr"/>
      <c r="Q3558" s="112" t="n">
        <v>0</v>
      </c>
      <c r="R3558" s="112" t="n">
        <v>0</v>
      </c>
      <c r="S3558" s="112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D3559" t="inlineStr"/>
      <c r="E3559" t="inlineStr">
        <is>
          <t>EQ</t>
        </is>
      </c>
      <c r="F3559" t="inlineStr"/>
      <c r="G3559" s="126" t="inlineStr"/>
      <c r="H3559" s="125" t="n">
        <v>46145</v>
      </c>
      <c r="I3559" t="inlineStr"/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N3559" t="inlineStr"/>
      <c r="O3559" t="inlineStr">
        <is>
          <t>FE017</t>
        </is>
      </c>
      <c r="P3559" t="inlineStr"/>
      <c r="Q3559" s="112" t="n">
        <v>0</v>
      </c>
      <c r="R3559" s="112" t="n">
        <v>0</v>
      </c>
      <c r="S3559" s="112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D3560" t="inlineStr"/>
      <c r="E3560" t="inlineStr">
        <is>
          <t>EQ</t>
        </is>
      </c>
      <c r="F3560" t="inlineStr"/>
      <c r="G3560" s="126" t="inlineStr"/>
      <c r="H3560" s="125" t="n">
        <v>46145</v>
      </c>
      <c r="I3560" t="inlineStr"/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N3560" t="inlineStr"/>
      <c r="O3560" t="inlineStr">
        <is>
          <t>FT011</t>
        </is>
      </c>
      <c r="P3560" t="inlineStr"/>
      <c r="Q3560" s="112" t="n">
        <v>0</v>
      </c>
      <c r="R3560" s="112" t="n">
        <v>291.67</v>
      </c>
      <c r="S3560" s="112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D3561" t="inlineStr"/>
      <c r="E3561" t="inlineStr">
        <is>
          <t>EQ</t>
        </is>
      </c>
      <c r="F3561" t="inlineStr"/>
      <c r="G3561" s="126" t="inlineStr"/>
      <c r="H3561" s="125" t="n">
        <v>46145</v>
      </c>
      <c r="I3561" t="inlineStr"/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N3561" t="inlineStr"/>
      <c r="O3561" t="inlineStr">
        <is>
          <t>FT011</t>
        </is>
      </c>
      <c r="P3561" t="inlineStr"/>
      <c r="Q3561" s="112" t="n">
        <v>0</v>
      </c>
      <c r="R3561" s="112" t="n">
        <v>291.67</v>
      </c>
      <c r="S3561" s="112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D3562" t="inlineStr"/>
      <c r="E3562" t="inlineStr">
        <is>
          <t>EQ</t>
        </is>
      </c>
      <c r="F3562" t="inlineStr"/>
      <c r="G3562" s="126" t="inlineStr"/>
      <c r="H3562" s="125" t="n">
        <v>46145</v>
      </c>
      <c r="I3562" t="inlineStr"/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N3562" t="inlineStr"/>
      <c r="O3562" t="inlineStr">
        <is>
          <t>WLD146</t>
        </is>
      </c>
      <c r="P3562" t="inlineStr"/>
      <c r="Q3562" s="112" t="n">
        <v>0</v>
      </c>
      <c r="R3562" s="112" t="n">
        <v>50</v>
      </c>
      <c r="S3562" s="112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D3563" t="inlineStr"/>
      <c r="E3563" t="inlineStr">
        <is>
          <t>EQ</t>
        </is>
      </c>
      <c r="F3563" t="inlineStr"/>
      <c r="G3563" s="126" t="inlineStr"/>
      <c r="H3563" s="125" t="n">
        <v>46145</v>
      </c>
      <c r="I3563" t="inlineStr"/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N3563" t="inlineStr"/>
      <c r="O3563" t="inlineStr">
        <is>
          <t>WLD146</t>
        </is>
      </c>
      <c r="P3563" t="inlineStr"/>
      <c r="Q3563" s="112" t="n">
        <v>0</v>
      </c>
      <c r="R3563" s="112" t="n">
        <v>50</v>
      </c>
      <c r="S3563" s="112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D3564" t="inlineStr"/>
      <c r="E3564" t="inlineStr">
        <is>
          <t>EQ</t>
        </is>
      </c>
      <c r="F3564" t="inlineStr"/>
      <c r="G3564" s="126" t="inlineStr"/>
      <c r="H3564" s="125" t="n">
        <v>46145</v>
      </c>
      <c r="I3564" t="inlineStr"/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N3564" t="inlineStr"/>
      <c r="O3564" t="inlineStr">
        <is>
          <t>RT1385</t>
        </is>
      </c>
      <c r="P3564" t="inlineStr"/>
      <c r="Q3564" s="112" t="n">
        <v>0</v>
      </c>
      <c r="R3564" s="112" t="n">
        <v>79.14</v>
      </c>
      <c r="S3564" s="112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D3565" t="inlineStr"/>
      <c r="E3565" t="inlineStr">
        <is>
          <t>EQ</t>
        </is>
      </c>
      <c r="F3565" t="inlineStr"/>
      <c r="G3565" s="126" t="inlineStr"/>
      <c r="H3565" s="125" t="n">
        <v>46145</v>
      </c>
      <c r="I3565" t="inlineStr"/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N3565" t="inlineStr"/>
      <c r="O3565" t="inlineStr">
        <is>
          <t>RT1385</t>
        </is>
      </c>
      <c r="P3565" t="inlineStr"/>
      <c r="Q3565" s="112" t="n">
        <v>0</v>
      </c>
      <c r="R3565" s="112" t="n">
        <v>79.14</v>
      </c>
      <c r="S3565" s="112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D3566" t="inlineStr"/>
      <c r="E3566" t="inlineStr">
        <is>
          <t>EQ</t>
        </is>
      </c>
      <c r="F3566" t="inlineStr"/>
      <c r="G3566" s="126" t="inlineStr"/>
      <c r="H3566" s="125" t="n">
        <v>46145</v>
      </c>
      <c r="I3566" t="inlineStr"/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N3566" t="inlineStr"/>
      <c r="O3566" t="inlineStr">
        <is>
          <t>TR425</t>
        </is>
      </c>
      <c r="P3566" t="inlineStr"/>
      <c r="Q3566" s="112" t="n">
        <v>0</v>
      </c>
      <c r="R3566" s="112" t="n">
        <v>65</v>
      </c>
      <c r="S3566" s="112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D3567" t="inlineStr"/>
      <c r="E3567" t="inlineStr">
        <is>
          <t>EQ</t>
        </is>
      </c>
      <c r="F3567" t="inlineStr"/>
      <c r="G3567" s="126" t="inlineStr"/>
      <c r="H3567" s="125" t="n">
        <v>46145</v>
      </c>
      <c r="I3567" t="inlineStr"/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N3567" t="inlineStr"/>
      <c r="O3567" t="inlineStr">
        <is>
          <t>TR425</t>
        </is>
      </c>
      <c r="P3567" t="inlineStr"/>
      <c r="Q3567" s="112" t="n">
        <v>0</v>
      </c>
      <c r="R3567" s="112" t="n">
        <v>65</v>
      </c>
      <c r="S3567" s="112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D3568" t="inlineStr"/>
      <c r="E3568" t="inlineStr">
        <is>
          <t>EQ</t>
        </is>
      </c>
      <c r="F3568" t="inlineStr"/>
      <c r="G3568" s="126" t="inlineStr"/>
      <c r="H3568" s="125" t="n">
        <v>46145</v>
      </c>
      <c r="I3568" t="inlineStr"/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N3568" t="inlineStr"/>
      <c r="O3568" t="inlineStr">
        <is>
          <t>TR428</t>
        </is>
      </c>
      <c r="P3568" t="inlineStr"/>
      <c r="Q3568" s="112" t="n">
        <v>0</v>
      </c>
      <c r="R3568" s="112" t="n">
        <v>15</v>
      </c>
      <c r="S3568" s="112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D3569" t="inlineStr"/>
      <c r="E3569" t="inlineStr">
        <is>
          <t>EQ</t>
        </is>
      </c>
      <c r="F3569" t="inlineStr"/>
      <c r="G3569" s="126" t="inlineStr"/>
      <c r="H3569" s="125" t="n">
        <v>46145</v>
      </c>
      <c r="I3569" t="inlineStr"/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N3569" t="inlineStr"/>
      <c r="O3569" t="inlineStr">
        <is>
          <t>TR428</t>
        </is>
      </c>
      <c r="P3569" t="inlineStr"/>
      <c r="Q3569" s="112" t="n">
        <v>0</v>
      </c>
      <c r="R3569" s="112" t="n">
        <v>15</v>
      </c>
      <c r="S3569" s="112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D3570" t="inlineStr"/>
      <c r="E3570" t="inlineStr">
        <is>
          <t>EQ</t>
        </is>
      </c>
      <c r="F3570" t="inlineStr"/>
      <c r="G3570" s="126" t="inlineStr"/>
      <c r="H3570" s="125" t="n">
        <v>46145</v>
      </c>
      <c r="I3570" t="inlineStr"/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N3570" t="inlineStr"/>
      <c r="O3570" t="inlineStr">
        <is>
          <t>TR145</t>
        </is>
      </c>
      <c r="P3570" t="inlineStr"/>
      <c r="Q3570" s="112" t="n">
        <v>0</v>
      </c>
      <c r="R3570" s="112" t="n">
        <v>65</v>
      </c>
      <c r="S3570" s="112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D3571" t="inlineStr"/>
      <c r="E3571" t="inlineStr">
        <is>
          <t>EQ</t>
        </is>
      </c>
      <c r="F3571" t="inlineStr"/>
      <c r="G3571" s="126" t="inlineStr"/>
      <c r="H3571" s="125" t="n">
        <v>46145</v>
      </c>
      <c r="I3571" t="inlineStr"/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N3571" t="inlineStr"/>
      <c r="O3571" t="inlineStr">
        <is>
          <t>TR145</t>
        </is>
      </c>
      <c r="P3571" t="inlineStr"/>
      <c r="Q3571" s="112" t="n">
        <v>0</v>
      </c>
      <c r="R3571" s="112" t="n">
        <v>65</v>
      </c>
      <c r="S3571" s="112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D3572" t="inlineStr"/>
      <c r="E3572" t="inlineStr">
        <is>
          <t>EQ</t>
        </is>
      </c>
      <c r="F3572" t="inlineStr"/>
      <c r="G3572" s="126" t="inlineStr"/>
      <c r="H3572" s="125" t="n">
        <v>46145</v>
      </c>
      <c r="I3572" t="inlineStr"/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N3572" t="inlineStr"/>
      <c r="O3572" t="inlineStr">
        <is>
          <t>BH235</t>
        </is>
      </c>
      <c r="P3572" t="inlineStr"/>
      <c r="Q3572" s="112" t="n">
        <v>0</v>
      </c>
      <c r="R3572" s="112" t="n">
        <v>125</v>
      </c>
      <c r="S3572" s="112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D3573" t="inlineStr"/>
      <c r="E3573" t="inlineStr">
        <is>
          <t>EQ</t>
        </is>
      </c>
      <c r="F3573" t="inlineStr"/>
      <c r="G3573" s="126" t="inlineStr"/>
      <c r="H3573" s="125" t="n">
        <v>46145</v>
      </c>
      <c r="I3573" t="inlineStr"/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N3573" t="inlineStr"/>
      <c r="O3573" t="inlineStr">
        <is>
          <t>BH235</t>
        </is>
      </c>
      <c r="P3573" t="inlineStr"/>
      <c r="Q3573" s="112" t="n">
        <v>0</v>
      </c>
      <c r="R3573" s="112" t="n">
        <v>125</v>
      </c>
      <c r="S3573" s="112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D3574" t="inlineStr"/>
      <c r="E3574" t="inlineStr">
        <is>
          <t>EQ</t>
        </is>
      </c>
      <c r="F3574" t="inlineStr"/>
      <c r="G3574" s="126" t="inlineStr"/>
      <c r="H3574" s="125" t="n">
        <v>46145</v>
      </c>
      <c r="I3574" t="inlineStr"/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N3574" t="inlineStr"/>
      <c r="O3574" t="inlineStr">
        <is>
          <t>SSRAKE03</t>
        </is>
      </c>
      <c r="P3574" t="inlineStr"/>
      <c r="Q3574" s="112" t="n">
        <v>0</v>
      </c>
      <c r="R3574" s="112" t="n">
        <v>0</v>
      </c>
      <c r="S3574" s="112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D3575" t="inlineStr"/>
      <c r="E3575" t="inlineStr">
        <is>
          <t>EQ</t>
        </is>
      </c>
      <c r="F3575" t="inlineStr"/>
      <c r="G3575" s="126" t="inlineStr"/>
      <c r="H3575" s="125" t="n">
        <v>46145</v>
      </c>
      <c r="I3575" t="inlineStr"/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N3575" t="inlineStr"/>
      <c r="O3575" t="inlineStr">
        <is>
          <t>SSRAKE03</t>
        </is>
      </c>
      <c r="P3575" t="inlineStr"/>
      <c r="Q3575" s="112" t="n">
        <v>0</v>
      </c>
      <c r="R3575" s="112" t="n">
        <v>0</v>
      </c>
      <c r="S3575" s="112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D3576" t="inlineStr"/>
      <c r="E3576" t="inlineStr">
        <is>
          <t>EQ</t>
        </is>
      </c>
      <c r="F3576" t="inlineStr"/>
      <c r="G3576" s="126" t="inlineStr"/>
      <c r="H3576" s="125" t="n">
        <v>46152</v>
      </c>
      <c r="I3576" t="inlineStr"/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N3576" t="inlineStr"/>
      <c r="O3576" t="inlineStr">
        <is>
          <t>FE017</t>
        </is>
      </c>
      <c r="P3576" t="inlineStr"/>
      <c r="Q3576" s="112" t="n">
        <v>0</v>
      </c>
      <c r="R3576" s="112" t="n">
        <v>0</v>
      </c>
      <c r="S3576" s="112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D3577" t="inlineStr"/>
      <c r="E3577" t="inlineStr">
        <is>
          <t>EQ</t>
        </is>
      </c>
      <c r="F3577" t="inlineStr"/>
      <c r="G3577" s="126" t="inlineStr"/>
      <c r="H3577" s="125" t="n">
        <v>46152</v>
      </c>
      <c r="I3577" t="inlineStr"/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N3577" t="inlineStr"/>
      <c r="O3577" t="inlineStr">
        <is>
          <t>FE017</t>
        </is>
      </c>
      <c r="P3577" t="inlineStr"/>
      <c r="Q3577" s="112" t="n">
        <v>0</v>
      </c>
      <c r="R3577" s="112" t="n">
        <v>0</v>
      </c>
      <c r="S3577" s="112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D3578" t="inlineStr"/>
      <c r="E3578" t="inlineStr">
        <is>
          <t>EQ</t>
        </is>
      </c>
      <c r="F3578" t="inlineStr"/>
      <c r="G3578" s="126" t="inlineStr"/>
      <c r="H3578" s="125" t="n">
        <v>46152</v>
      </c>
      <c r="I3578" t="inlineStr"/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N3578" t="inlineStr"/>
      <c r="O3578" t="inlineStr">
        <is>
          <t>FE017</t>
        </is>
      </c>
      <c r="P3578" t="inlineStr"/>
      <c r="Q3578" s="112" t="n">
        <v>0</v>
      </c>
      <c r="R3578" s="112" t="n">
        <v>0</v>
      </c>
      <c r="S3578" s="112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D3579" t="inlineStr"/>
      <c r="E3579" t="inlineStr">
        <is>
          <t>EQ</t>
        </is>
      </c>
      <c r="F3579" t="inlineStr"/>
      <c r="G3579" s="126" t="inlineStr"/>
      <c r="H3579" s="125" t="n">
        <v>46152</v>
      </c>
      <c r="I3579" t="inlineStr"/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N3579" t="inlineStr"/>
      <c r="O3579" t="inlineStr">
        <is>
          <t>FE017</t>
        </is>
      </c>
      <c r="P3579" t="inlineStr"/>
      <c r="Q3579" s="112" t="n">
        <v>0</v>
      </c>
      <c r="R3579" s="112" t="n">
        <v>0</v>
      </c>
      <c r="S3579" s="112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D3580" t="inlineStr"/>
      <c r="E3580" t="inlineStr">
        <is>
          <t>EQ</t>
        </is>
      </c>
      <c r="F3580" t="inlineStr"/>
      <c r="G3580" s="126" t="inlineStr"/>
      <c r="H3580" s="125" t="n">
        <v>46152</v>
      </c>
      <c r="I3580" t="inlineStr"/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N3580" t="inlineStr"/>
      <c r="O3580" t="inlineStr">
        <is>
          <t>FE017</t>
        </is>
      </c>
      <c r="P3580" t="inlineStr"/>
      <c r="Q3580" s="112" t="n">
        <v>0</v>
      </c>
      <c r="R3580" s="112" t="n">
        <v>0</v>
      </c>
      <c r="S3580" s="112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D3581" t="inlineStr"/>
      <c r="E3581" t="inlineStr">
        <is>
          <t>EQ</t>
        </is>
      </c>
      <c r="F3581" t="inlineStr"/>
      <c r="G3581" s="126" t="inlineStr"/>
      <c r="H3581" s="125" t="n">
        <v>46152</v>
      </c>
      <c r="I3581" t="inlineStr"/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N3581" t="inlineStr"/>
      <c r="O3581" t="inlineStr">
        <is>
          <t>FE017</t>
        </is>
      </c>
      <c r="P3581" t="inlineStr"/>
      <c r="Q3581" s="112" t="n">
        <v>0</v>
      </c>
      <c r="R3581" s="112" t="n">
        <v>0</v>
      </c>
      <c r="S3581" s="112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D3582" t="inlineStr"/>
      <c r="E3582" t="inlineStr">
        <is>
          <t>EQ</t>
        </is>
      </c>
      <c r="F3582" t="inlineStr"/>
      <c r="G3582" s="126" t="inlineStr"/>
      <c r="H3582" s="125" t="n">
        <v>46152</v>
      </c>
      <c r="I3582" t="inlineStr"/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N3582" t="inlineStr"/>
      <c r="O3582" t="inlineStr">
        <is>
          <t>FT011</t>
        </is>
      </c>
      <c r="P3582" t="inlineStr"/>
      <c r="Q3582" s="112" t="n">
        <v>0</v>
      </c>
      <c r="R3582" s="112" t="n">
        <v>291.67</v>
      </c>
      <c r="S3582" s="112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D3583" t="inlineStr"/>
      <c r="E3583" t="inlineStr">
        <is>
          <t>EQ</t>
        </is>
      </c>
      <c r="F3583" t="inlineStr"/>
      <c r="G3583" s="126" t="inlineStr"/>
      <c r="H3583" s="125" t="n">
        <v>46152</v>
      </c>
      <c r="I3583" t="inlineStr"/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N3583" t="inlineStr"/>
      <c r="O3583" t="inlineStr">
        <is>
          <t>FT011</t>
        </is>
      </c>
      <c r="P3583" t="inlineStr"/>
      <c r="Q3583" s="112" t="n">
        <v>0</v>
      </c>
      <c r="R3583" s="112" t="n">
        <v>291.67</v>
      </c>
      <c r="S3583" s="112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D3584" t="inlineStr"/>
      <c r="E3584" t="inlineStr">
        <is>
          <t>EQ</t>
        </is>
      </c>
      <c r="F3584" t="inlineStr"/>
      <c r="G3584" s="126" t="inlineStr"/>
      <c r="H3584" s="125" t="n">
        <v>46152</v>
      </c>
      <c r="I3584" t="inlineStr"/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N3584" t="inlineStr"/>
      <c r="O3584" t="inlineStr">
        <is>
          <t>FT011</t>
        </is>
      </c>
      <c r="P3584" t="inlineStr"/>
      <c r="Q3584" s="112" t="n">
        <v>0</v>
      </c>
      <c r="R3584" s="112" t="n">
        <v>291.67</v>
      </c>
      <c r="S3584" s="112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D3585" t="inlineStr"/>
      <c r="E3585" t="inlineStr">
        <is>
          <t>EQ</t>
        </is>
      </c>
      <c r="F3585" t="inlineStr"/>
      <c r="G3585" s="126" t="inlineStr"/>
      <c r="H3585" s="125" t="n">
        <v>46152</v>
      </c>
      <c r="I3585" t="inlineStr"/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N3585" t="inlineStr"/>
      <c r="O3585" t="inlineStr">
        <is>
          <t>WLD146</t>
        </is>
      </c>
      <c r="P3585" t="inlineStr"/>
      <c r="Q3585" s="112" t="n">
        <v>0</v>
      </c>
      <c r="R3585" s="112" t="n">
        <v>50</v>
      </c>
      <c r="S3585" s="112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D3586" t="inlineStr"/>
      <c r="E3586" t="inlineStr">
        <is>
          <t>EQ</t>
        </is>
      </c>
      <c r="F3586" t="inlineStr"/>
      <c r="G3586" s="126" t="inlineStr"/>
      <c r="H3586" s="125" t="n">
        <v>46152</v>
      </c>
      <c r="I3586" t="inlineStr"/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N3586" t="inlineStr"/>
      <c r="O3586" t="inlineStr">
        <is>
          <t>WLD146</t>
        </is>
      </c>
      <c r="P3586" t="inlineStr"/>
      <c r="Q3586" s="112" t="n">
        <v>0</v>
      </c>
      <c r="R3586" s="112" t="n">
        <v>50</v>
      </c>
      <c r="S3586" s="112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D3587" t="inlineStr"/>
      <c r="E3587" t="inlineStr">
        <is>
          <t>EQ</t>
        </is>
      </c>
      <c r="F3587" t="inlineStr"/>
      <c r="G3587" s="126" t="inlineStr"/>
      <c r="H3587" s="125" t="n">
        <v>46152</v>
      </c>
      <c r="I3587" t="inlineStr"/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N3587" t="inlineStr"/>
      <c r="O3587" t="inlineStr">
        <is>
          <t>WLD146</t>
        </is>
      </c>
      <c r="P3587" t="inlineStr"/>
      <c r="Q3587" s="112" t="n">
        <v>0</v>
      </c>
      <c r="R3587" s="112" t="n">
        <v>50</v>
      </c>
      <c r="S3587" s="112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D3588" t="inlineStr"/>
      <c r="E3588" t="inlineStr">
        <is>
          <t>EQ</t>
        </is>
      </c>
      <c r="F3588" t="inlineStr"/>
      <c r="G3588" s="126" t="inlineStr"/>
      <c r="H3588" s="125" t="n">
        <v>46152</v>
      </c>
      <c r="I3588" t="inlineStr"/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N3588" t="inlineStr"/>
      <c r="O3588" t="inlineStr">
        <is>
          <t>WLD146</t>
        </is>
      </c>
      <c r="P3588" t="inlineStr"/>
      <c r="Q3588" s="112" t="n">
        <v>0</v>
      </c>
      <c r="R3588" s="112" t="n">
        <v>50</v>
      </c>
      <c r="S3588" s="112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D3589" t="inlineStr"/>
      <c r="E3589" t="inlineStr">
        <is>
          <t>EQ</t>
        </is>
      </c>
      <c r="F3589" t="inlineStr"/>
      <c r="G3589" s="126" t="inlineStr"/>
      <c r="H3589" s="125" t="n">
        <v>46152</v>
      </c>
      <c r="I3589" t="inlineStr"/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N3589" t="inlineStr"/>
      <c r="O3589" t="inlineStr">
        <is>
          <t>WLD146</t>
        </is>
      </c>
      <c r="P3589" t="inlineStr"/>
      <c r="Q3589" s="112" t="n">
        <v>0</v>
      </c>
      <c r="R3589" s="112" t="n">
        <v>50</v>
      </c>
      <c r="S3589" s="112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D3590" t="inlineStr"/>
      <c r="E3590" t="inlineStr">
        <is>
          <t>EQ</t>
        </is>
      </c>
      <c r="F3590" t="inlineStr"/>
      <c r="G3590" s="126" t="inlineStr"/>
      <c r="H3590" s="125" t="n">
        <v>46152</v>
      </c>
      <c r="I3590" t="inlineStr"/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N3590" t="inlineStr"/>
      <c r="O3590" t="inlineStr">
        <is>
          <t>WLD146</t>
        </is>
      </c>
      <c r="P3590" t="inlineStr"/>
      <c r="Q3590" s="112" t="n">
        <v>0</v>
      </c>
      <c r="R3590" s="112" t="n">
        <v>50</v>
      </c>
      <c r="S3590" s="112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D3591" t="inlineStr"/>
      <c r="E3591" t="inlineStr">
        <is>
          <t>EQ</t>
        </is>
      </c>
      <c r="F3591" t="inlineStr"/>
      <c r="G3591" s="126" t="inlineStr"/>
      <c r="H3591" s="125" t="n">
        <v>46152</v>
      </c>
      <c r="I3591" t="inlineStr"/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N3591" t="inlineStr"/>
      <c r="O3591" t="inlineStr">
        <is>
          <t>RT1447</t>
        </is>
      </c>
      <c r="P3591" t="inlineStr"/>
      <c r="Q3591" s="112" t="n">
        <v>0</v>
      </c>
      <c r="R3591" s="112" t="n">
        <v>79.14</v>
      </c>
      <c r="S3591" s="112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D3592" t="inlineStr"/>
      <c r="E3592" t="inlineStr">
        <is>
          <t>EQ</t>
        </is>
      </c>
      <c r="F3592" t="inlineStr"/>
      <c r="G3592" s="126" t="inlineStr"/>
      <c r="H3592" s="125" t="n">
        <v>46152</v>
      </c>
      <c r="I3592" t="inlineStr"/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N3592" t="inlineStr"/>
      <c r="O3592" t="inlineStr">
        <is>
          <t>RT1385</t>
        </is>
      </c>
      <c r="P3592" t="inlineStr"/>
      <c r="Q3592" s="112" t="n">
        <v>0</v>
      </c>
      <c r="R3592" s="112" t="n">
        <v>79.14</v>
      </c>
      <c r="S3592" s="112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D3593" t="inlineStr"/>
      <c r="E3593" t="inlineStr">
        <is>
          <t>EQ</t>
        </is>
      </c>
      <c r="F3593" t="inlineStr"/>
      <c r="G3593" s="126" t="inlineStr"/>
      <c r="H3593" s="125" t="n">
        <v>46152</v>
      </c>
      <c r="I3593" t="inlineStr"/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N3593" t="inlineStr"/>
      <c r="O3593" t="inlineStr">
        <is>
          <t>RT1385</t>
        </is>
      </c>
      <c r="P3593" t="inlineStr"/>
      <c r="Q3593" s="112" t="n">
        <v>0</v>
      </c>
      <c r="R3593" s="112" t="n">
        <v>79.14</v>
      </c>
      <c r="S3593" s="112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D3594" t="inlineStr"/>
      <c r="E3594" t="inlineStr">
        <is>
          <t>EQ</t>
        </is>
      </c>
      <c r="F3594" t="inlineStr"/>
      <c r="G3594" s="126" t="inlineStr"/>
      <c r="H3594" s="125" t="n">
        <v>46152</v>
      </c>
      <c r="I3594" t="inlineStr"/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N3594" t="inlineStr"/>
      <c r="O3594" t="inlineStr">
        <is>
          <t>SSAUGKIT1</t>
        </is>
      </c>
      <c r="P3594" t="inlineStr"/>
      <c r="Q3594" s="112" t="n">
        <v>0</v>
      </c>
      <c r="R3594" s="112" t="n">
        <v>35</v>
      </c>
      <c r="S3594" s="112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D3595" t="inlineStr"/>
      <c r="E3595" t="inlineStr">
        <is>
          <t>EQ</t>
        </is>
      </c>
      <c r="F3595" t="inlineStr"/>
      <c r="G3595" s="126" t="inlineStr"/>
      <c r="H3595" s="125" t="n">
        <v>46152</v>
      </c>
      <c r="I3595" t="inlineStr"/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N3595" t="inlineStr"/>
      <c r="O3595" t="inlineStr">
        <is>
          <t>SSAUGKIT1</t>
        </is>
      </c>
      <c r="P3595" t="inlineStr"/>
      <c r="Q3595" s="112" t="n">
        <v>0</v>
      </c>
      <c r="R3595" s="112" t="n">
        <v>35</v>
      </c>
      <c r="S3595" s="112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D3596" t="inlineStr"/>
      <c r="E3596" t="inlineStr">
        <is>
          <t>EQ</t>
        </is>
      </c>
      <c r="F3596" t="inlineStr"/>
      <c r="G3596" s="126" t="inlineStr"/>
      <c r="H3596" s="125" t="n">
        <v>46152</v>
      </c>
      <c r="I3596" t="inlineStr"/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N3596" t="inlineStr"/>
      <c r="O3596" t="inlineStr">
        <is>
          <t>SSAUGKIT1</t>
        </is>
      </c>
      <c r="P3596" t="inlineStr"/>
      <c r="Q3596" s="112" t="n">
        <v>0</v>
      </c>
      <c r="R3596" s="112" t="n">
        <v>35</v>
      </c>
      <c r="S3596" s="112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D3597" t="inlineStr"/>
      <c r="E3597" t="inlineStr">
        <is>
          <t>EQ</t>
        </is>
      </c>
      <c r="F3597" t="inlineStr"/>
      <c r="G3597" s="126" t="inlineStr"/>
      <c r="H3597" s="125" t="n">
        <v>46152</v>
      </c>
      <c r="I3597" t="inlineStr"/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N3597" t="inlineStr"/>
      <c r="O3597" t="inlineStr">
        <is>
          <t>TR425</t>
        </is>
      </c>
      <c r="P3597" t="inlineStr"/>
      <c r="Q3597" s="112" t="n">
        <v>0</v>
      </c>
      <c r="R3597" s="112" t="n">
        <v>65</v>
      </c>
      <c r="S3597" s="112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D3598" t="inlineStr"/>
      <c r="E3598" t="inlineStr">
        <is>
          <t>EQ</t>
        </is>
      </c>
      <c r="F3598" t="inlineStr"/>
      <c r="G3598" s="126" t="inlineStr"/>
      <c r="H3598" s="125" t="n">
        <v>46152</v>
      </c>
      <c r="I3598" t="inlineStr"/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N3598" t="inlineStr"/>
      <c r="O3598" t="inlineStr">
        <is>
          <t>TR428</t>
        </is>
      </c>
      <c r="P3598" t="inlineStr"/>
      <c r="Q3598" s="112" t="n">
        <v>0</v>
      </c>
      <c r="R3598" s="112" t="n">
        <v>15</v>
      </c>
      <c r="S3598" s="112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D3599" t="inlineStr"/>
      <c r="E3599" t="inlineStr">
        <is>
          <t>EQ</t>
        </is>
      </c>
      <c r="F3599" t="inlineStr"/>
      <c r="G3599" s="126" t="inlineStr"/>
      <c r="H3599" s="125" t="n">
        <v>46152</v>
      </c>
      <c r="I3599" t="inlineStr"/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N3599" t="inlineStr"/>
      <c r="O3599" t="inlineStr">
        <is>
          <t>TR428</t>
        </is>
      </c>
      <c r="P3599" t="inlineStr"/>
      <c r="Q3599" s="112" t="n">
        <v>0</v>
      </c>
      <c r="R3599" s="112" t="n">
        <v>15</v>
      </c>
      <c r="S3599" s="112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D3600" t="inlineStr"/>
      <c r="E3600" t="inlineStr">
        <is>
          <t>EQ</t>
        </is>
      </c>
      <c r="F3600" t="inlineStr"/>
      <c r="G3600" s="126" t="inlineStr"/>
      <c r="H3600" s="125" t="n">
        <v>46152</v>
      </c>
      <c r="I3600" t="inlineStr"/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N3600" t="inlineStr"/>
      <c r="O3600" t="inlineStr">
        <is>
          <t>TR428</t>
        </is>
      </c>
      <c r="P3600" t="inlineStr"/>
      <c r="Q3600" s="112" t="n">
        <v>0</v>
      </c>
      <c r="R3600" s="112" t="n">
        <v>15</v>
      </c>
      <c r="S3600" s="112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D3601" t="inlineStr"/>
      <c r="E3601" t="inlineStr">
        <is>
          <t>EQ</t>
        </is>
      </c>
      <c r="F3601" t="inlineStr"/>
      <c r="G3601" s="126" t="inlineStr"/>
      <c r="H3601" s="125" t="n">
        <v>46152</v>
      </c>
      <c r="I3601" t="inlineStr"/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N3601" t="inlineStr"/>
      <c r="O3601" t="inlineStr">
        <is>
          <t>TR428</t>
        </is>
      </c>
      <c r="P3601" t="inlineStr"/>
      <c r="Q3601" s="112" t="n">
        <v>0</v>
      </c>
      <c r="R3601" s="112" t="n">
        <v>15</v>
      </c>
      <c r="S3601" s="112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D3602" t="inlineStr"/>
      <c r="E3602" t="inlineStr">
        <is>
          <t>EQ</t>
        </is>
      </c>
      <c r="F3602" t="inlineStr"/>
      <c r="G3602" s="126" t="inlineStr"/>
      <c r="H3602" s="125" t="n">
        <v>46152</v>
      </c>
      <c r="I3602" t="inlineStr"/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N3602" t="inlineStr"/>
      <c r="O3602" t="inlineStr">
        <is>
          <t>TR428</t>
        </is>
      </c>
      <c r="P3602" t="inlineStr"/>
      <c r="Q3602" s="112" t="n">
        <v>0</v>
      </c>
      <c r="R3602" s="112" t="n">
        <v>15</v>
      </c>
      <c r="S3602" s="112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D3603" t="inlineStr"/>
      <c r="E3603" t="inlineStr">
        <is>
          <t>EQ</t>
        </is>
      </c>
      <c r="F3603" t="inlineStr"/>
      <c r="G3603" s="126" t="inlineStr"/>
      <c r="H3603" s="125" t="n">
        <v>46152</v>
      </c>
      <c r="I3603" t="inlineStr"/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N3603" t="inlineStr"/>
      <c r="O3603" t="inlineStr">
        <is>
          <t>TR428</t>
        </is>
      </c>
      <c r="P3603" t="inlineStr"/>
      <c r="Q3603" s="112" t="n">
        <v>0</v>
      </c>
      <c r="R3603" s="112" t="n">
        <v>15</v>
      </c>
      <c r="S3603" s="112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D3604" t="inlineStr"/>
      <c r="E3604" t="inlineStr">
        <is>
          <t>EQ</t>
        </is>
      </c>
      <c r="F3604" t="inlineStr"/>
      <c r="G3604" s="126" t="inlineStr"/>
      <c r="H3604" s="125" t="n">
        <v>46152</v>
      </c>
      <c r="I3604" t="inlineStr"/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N3604" t="inlineStr"/>
      <c r="O3604" t="inlineStr">
        <is>
          <t>TR145</t>
        </is>
      </c>
      <c r="P3604" t="inlineStr"/>
      <c r="Q3604" s="112" t="n">
        <v>0</v>
      </c>
      <c r="R3604" s="112" t="n">
        <v>65</v>
      </c>
      <c r="S3604" s="112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D3605" t="inlineStr"/>
      <c r="E3605" t="inlineStr">
        <is>
          <t>EQ</t>
        </is>
      </c>
      <c r="F3605" t="inlineStr"/>
      <c r="G3605" s="126" t="inlineStr"/>
      <c r="H3605" s="125" t="n">
        <v>46152</v>
      </c>
      <c r="I3605" t="inlineStr"/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N3605" t="inlineStr"/>
      <c r="O3605" t="inlineStr">
        <is>
          <t>TR145</t>
        </is>
      </c>
      <c r="P3605" t="inlineStr"/>
      <c r="Q3605" s="112" t="n">
        <v>0</v>
      </c>
      <c r="R3605" s="112" t="n">
        <v>65</v>
      </c>
      <c r="S3605" s="112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D3606" t="inlineStr"/>
      <c r="E3606" t="inlineStr">
        <is>
          <t>EQ</t>
        </is>
      </c>
      <c r="F3606" t="inlineStr"/>
      <c r="G3606" s="126" t="inlineStr"/>
      <c r="H3606" s="125" t="n">
        <v>46152</v>
      </c>
      <c r="I3606" t="inlineStr"/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N3606" t="inlineStr"/>
      <c r="O3606" t="inlineStr">
        <is>
          <t>BH235</t>
        </is>
      </c>
      <c r="P3606" t="inlineStr"/>
      <c r="Q3606" s="112" t="n">
        <v>0</v>
      </c>
      <c r="R3606" s="112" t="n">
        <v>125</v>
      </c>
      <c r="S3606" s="112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D3607" t="inlineStr"/>
      <c r="E3607" t="inlineStr">
        <is>
          <t>EQ</t>
        </is>
      </c>
      <c r="F3607" t="inlineStr"/>
      <c r="G3607" s="126" t="inlineStr"/>
      <c r="H3607" s="125" t="n">
        <v>46152</v>
      </c>
      <c r="I3607" t="inlineStr"/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N3607" t="inlineStr"/>
      <c r="O3607" t="inlineStr">
        <is>
          <t>BH235</t>
        </is>
      </c>
      <c r="P3607" t="inlineStr"/>
      <c r="Q3607" s="112" t="n">
        <v>0</v>
      </c>
      <c r="R3607" s="112" t="n">
        <v>125</v>
      </c>
      <c r="S3607" s="112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D3608" t="inlineStr"/>
      <c r="E3608" t="inlineStr">
        <is>
          <t>EQ</t>
        </is>
      </c>
      <c r="F3608" t="inlineStr"/>
      <c r="G3608" s="126" t="inlineStr"/>
      <c r="H3608" s="125" t="n">
        <v>46152</v>
      </c>
      <c r="I3608" t="inlineStr"/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N3608" t="inlineStr"/>
      <c r="O3608" t="inlineStr">
        <is>
          <t>BH235</t>
        </is>
      </c>
      <c r="P3608" t="inlineStr"/>
      <c r="Q3608" s="112" t="n">
        <v>0</v>
      </c>
      <c r="R3608" s="112" t="n">
        <v>125</v>
      </c>
      <c r="S3608" s="112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D3609" t="inlineStr"/>
      <c r="E3609" t="inlineStr">
        <is>
          <t>EQ</t>
        </is>
      </c>
      <c r="F3609" t="inlineStr"/>
      <c r="G3609" s="126" t="inlineStr"/>
      <c r="H3609" s="125" t="n">
        <v>46152</v>
      </c>
      <c r="I3609" t="inlineStr"/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N3609" t="inlineStr"/>
      <c r="O3609" t="inlineStr">
        <is>
          <t>BH235</t>
        </is>
      </c>
      <c r="P3609" t="inlineStr"/>
      <c r="Q3609" s="112" t="n">
        <v>0</v>
      </c>
      <c r="R3609" s="112" t="n">
        <v>125</v>
      </c>
      <c r="S3609" s="112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D3610" t="inlineStr"/>
      <c r="E3610" t="inlineStr">
        <is>
          <t>EQ</t>
        </is>
      </c>
      <c r="F3610" t="inlineStr"/>
      <c r="G3610" s="126" t="inlineStr"/>
      <c r="H3610" s="125" t="n">
        <v>46152</v>
      </c>
      <c r="I3610" t="inlineStr"/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N3610" t="inlineStr"/>
      <c r="O3610" t="inlineStr">
        <is>
          <t>BH235</t>
        </is>
      </c>
      <c r="P3610" t="inlineStr"/>
      <c r="Q3610" s="112" t="n">
        <v>0</v>
      </c>
      <c r="R3610" s="112" t="n">
        <v>125</v>
      </c>
      <c r="S3610" s="112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D3611" t="inlineStr"/>
      <c r="E3611" t="inlineStr">
        <is>
          <t>EQ</t>
        </is>
      </c>
      <c r="F3611" t="inlineStr"/>
      <c r="G3611" s="126" t="inlineStr"/>
      <c r="H3611" s="125" t="n">
        <v>46152</v>
      </c>
      <c r="I3611" t="inlineStr"/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N3611" t="inlineStr"/>
      <c r="O3611" t="inlineStr">
        <is>
          <t>BH235</t>
        </is>
      </c>
      <c r="P3611" t="inlineStr"/>
      <c r="Q3611" s="112" t="n">
        <v>0</v>
      </c>
      <c r="R3611" s="112" t="n">
        <v>125</v>
      </c>
      <c r="S3611" s="112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D3612" t="inlineStr"/>
      <c r="E3612" t="inlineStr">
        <is>
          <t>EQ</t>
        </is>
      </c>
      <c r="F3612" t="inlineStr"/>
      <c r="G3612" s="126" t="inlineStr"/>
      <c r="H3612" s="125" t="n">
        <v>46152</v>
      </c>
      <c r="I3612" t="inlineStr"/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N3612" t="inlineStr"/>
      <c r="O3612" t="inlineStr">
        <is>
          <t>SSRAKE03</t>
        </is>
      </c>
      <c r="P3612" t="inlineStr"/>
      <c r="Q3612" s="112" t="n">
        <v>0</v>
      </c>
      <c r="R3612" s="112" t="n">
        <v>0</v>
      </c>
      <c r="S3612" s="112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D3613" t="inlineStr"/>
      <c r="E3613" t="inlineStr">
        <is>
          <t>EQ</t>
        </is>
      </c>
      <c r="F3613" t="inlineStr"/>
      <c r="G3613" s="126" t="inlineStr"/>
      <c r="H3613" s="125" t="n">
        <v>46152</v>
      </c>
      <c r="I3613" t="inlineStr"/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N3613" t="inlineStr"/>
      <c r="O3613" t="inlineStr">
        <is>
          <t>SSRAKE03</t>
        </is>
      </c>
      <c r="P3613" t="inlineStr"/>
      <c r="Q3613" s="112" t="n">
        <v>0</v>
      </c>
      <c r="R3613" s="112" t="n">
        <v>0</v>
      </c>
      <c r="S3613" s="112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D3614" t="inlineStr"/>
      <c r="E3614" t="inlineStr">
        <is>
          <t>EQ</t>
        </is>
      </c>
      <c r="F3614" t="inlineStr"/>
      <c r="G3614" s="126" t="inlineStr"/>
      <c r="H3614" s="125" t="n">
        <v>46159</v>
      </c>
      <c r="I3614" t="inlineStr"/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N3614" t="inlineStr"/>
      <c r="O3614" t="inlineStr">
        <is>
          <t>FE017</t>
        </is>
      </c>
      <c r="P3614" t="inlineStr"/>
      <c r="Q3614" s="112" t="n">
        <v>0</v>
      </c>
      <c r="R3614" s="112" t="n">
        <v>0</v>
      </c>
      <c r="S3614" s="112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D3615" t="inlineStr"/>
      <c r="E3615" t="inlineStr">
        <is>
          <t>EQ</t>
        </is>
      </c>
      <c r="F3615" t="inlineStr"/>
      <c r="G3615" s="126" t="inlineStr"/>
      <c r="H3615" s="125" t="n">
        <v>46159</v>
      </c>
      <c r="I3615" t="inlineStr"/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N3615" t="inlineStr"/>
      <c r="O3615" t="inlineStr">
        <is>
          <t>FE017</t>
        </is>
      </c>
      <c r="P3615" t="inlineStr"/>
      <c r="Q3615" s="112" t="n">
        <v>0</v>
      </c>
      <c r="R3615" s="112" t="n">
        <v>0</v>
      </c>
      <c r="S3615" s="112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D3616" t="inlineStr"/>
      <c r="E3616" t="inlineStr">
        <is>
          <t>EQ</t>
        </is>
      </c>
      <c r="F3616" t="inlineStr"/>
      <c r="G3616" s="126" t="inlineStr"/>
      <c r="H3616" s="125" t="n">
        <v>46159</v>
      </c>
      <c r="I3616" t="inlineStr"/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N3616" t="inlineStr"/>
      <c r="O3616" t="inlineStr">
        <is>
          <t>FE017</t>
        </is>
      </c>
      <c r="P3616" t="inlineStr"/>
      <c r="Q3616" s="112" t="n">
        <v>0</v>
      </c>
      <c r="R3616" s="112" t="n">
        <v>0</v>
      </c>
      <c r="S3616" s="112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D3617" t="inlineStr"/>
      <c r="E3617" t="inlineStr">
        <is>
          <t>EQ</t>
        </is>
      </c>
      <c r="F3617" t="inlineStr"/>
      <c r="G3617" s="126" t="inlineStr"/>
      <c r="H3617" s="125" t="n">
        <v>46159</v>
      </c>
      <c r="I3617" t="inlineStr"/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N3617" t="inlineStr"/>
      <c r="O3617" t="inlineStr">
        <is>
          <t>FE017</t>
        </is>
      </c>
      <c r="P3617" t="inlineStr"/>
      <c r="Q3617" s="112" t="n">
        <v>0</v>
      </c>
      <c r="R3617" s="112" t="n">
        <v>0</v>
      </c>
      <c r="S3617" s="112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D3618" t="inlineStr"/>
      <c r="E3618" t="inlineStr">
        <is>
          <t>EQ</t>
        </is>
      </c>
      <c r="F3618" t="inlineStr"/>
      <c r="G3618" s="126" t="inlineStr"/>
      <c r="H3618" s="125" t="n">
        <v>46159</v>
      </c>
      <c r="I3618" t="inlineStr"/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N3618" t="inlineStr"/>
      <c r="O3618" t="inlineStr">
        <is>
          <t>FE017</t>
        </is>
      </c>
      <c r="P3618" t="inlineStr"/>
      <c r="Q3618" s="112" t="n">
        <v>0</v>
      </c>
      <c r="R3618" s="112" t="n">
        <v>0</v>
      </c>
      <c r="S3618" s="112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D3619" t="inlineStr"/>
      <c r="E3619" t="inlineStr">
        <is>
          <t>EQ</t>
        </is>
      </c>
      <c r="F3619" t="inlineStr"/>
      <c r="G3619" s="126" t="inlineStr"/>
      <c r="H3619" s="125" t="n">
        <v>46159</v>
      </c>
      <c r="I3619" t="inlineStr"/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N3619" t="inlineStr"/>
      <c r="O3619" t="inlineStr">
        <is>
          <t>FE017</t>
        </is>
      </c>
      <c r="P3619" t="inlineStr"/>
      <c r="Q3619" s="112" t="n">
        <v>0</v>
      </c>
      <c r="R3619" s="112" t="n">
        <v>0</v>
      </c>
      <c r="S3619" s="112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D3620" t="inlineStr"/>
      <c r="E3620" t="inlineStr">
        <is>
          <t>EQ</t>
        </is>
      </c>
      <c r="F3620" t="inlineStr"/>
      <c r="G3620" s="126" t="inlineStr"/>
      <c r="H3620" s="125" t="n">
        <v>46159</v>
      </c>
      <c r="I3620" t="inlineStr"/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N3620" t="inlineStr"/>
      <c r="O3620" t="inlineStr">
        <is>
          <t>FT011</t>
        </is>
      </c>
      <c r="P3620" t="inlineStr"/>
      <c r="Q3620" s="112" t="n">
        <v>0</v>
      </c>
      <c r="R3620" s="112" t="n">
        <v>291.67</v>
      </c>
      <c r="S3620" s="112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D3621" t="inlineStr"/>
      <c r="E3621" t="inlineStr">
        <is>
          <t>EQ</t>
        </is>
      </c>
      <c r="F3621" t="inlineStr"/>
      <c r="G3621" s="126" t="inlineStr"/>
      <c r="H3621" s="125" t="n">
        <v>46159</v>
      </c>
      <c r="I3621" t="inlineStr"/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N3621" t="inlineStr"/>
      <c r="O3621" t="inlineStr">
        <is>
          <t>FT011</t>
        </is>
      </c>
      <c r="P3621" t="inlineStr"/>
      <c r="Q3621" s="112" t="n">
        <v>0</v>
      </c>
      <c r="R3621" s="112" t="n">
        <v>291.67</v>
      </c>
      <c r="S3621" s="112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D3622" t="inlineStr"/>
      <c r="E3622" t="inlineStr">
        <is>
          <t>EQ</t>
        </is>
      </c>
      <c r="F3622" t="inlineStr"/>
      <c r="G3622" s="126" t="inlineStr"/>
      <c r="H3622" s="125" t="n">
        <v>46159</v>
      </c>
      <c r="I3622" t="inlineStr"/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N3622" t="inlineStr"/>
      <c r="O3622" t="inlineStr">
        <is>
          <t>WLD146</t>
        </is>
      </c>
      <c r="P3622" t="inlineStr"/>
      <c r="Q3622" s="112" t="n">
        <v>0</v>
      </c>
      <c r="R3622" s="112" t="n">
        <v>50</v>
      </c>
      <c r="S3622" s="112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D3623" t="inlineStr"/>
      <c r="E3623" t="inlineStr">
        <is>
          <t>EQ</t>
        </is>
      </c>
      <c r="F3623" t="inlineStr"/>
      <c r="G3623" s="126" t="inlineStr"/>
      <c r="H3623" s="125" t="n">
        <v>46159</v>
      </c>
      <c r="I3623" t="inlineStr"/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N3623" t="inlineStr"/>
      <c r="O3623" t="inlineStr">
        <is>
          <t>WLD146</t>
        </is>
      </c>
      <c r="P3623" t="inlineStr"/>
      <c r="Q3623" s="112" t="n">
        <v>0</v>
      </c>
      <c r="R3623" s="112" t="n">
        <v>50</v>
      </c>
      <c r="S3623" s="112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D3624" t="inlineStr"/>
      <c r="E3624" t="inlineStr">
        <is>
          <t>EQ</t>
        </is>
      </c>
      <c r="F3624" t="inlineStr"/>
      <c r="G3624" s="126" t="inlineStr"/>
      <c r="H3624" s="125" t="n">
        <v>46159</v>
      </c>
      <c r="I3624" t="inlineStr"/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N3624" t="inlineStr"/>
      <c r="O3624" t="inlineStr">
        <is>
          <t>WLD146</t>
        </is>
      </c>
      <c r="P3624" t="inlineStr"/>
      <c r="Q3624" s="112" t="n">
        <v>0</v>
      </c>
      <c r="R3624" s="112" t="n">
        <v>50</v>
      </c>
      <c r="S3624" s="112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D3625" t="inlineStr"/>
      <c r="E3625" t="inlineStr">
        <is>
          <t>EQ</t>
        </is>
      </c>
      <c r="F3625" t="inlineStr"/>
      <c r="G3625" s="126" t="inlineStr"/>
      <c r="H3625" s="125" t="n">
        <v>46159</v>
      </c>
      <c r="I3625" t="inlineStr"/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N3625" t="inlineStr"/>
      <c r="O3625" t="inlineStr">
        <is>
          <t>WLD146</t>
        </is>
      </c>
      <c r="P3625" t="inlineStr"/>
      <c r="Q3625" s="112" t="n">
        <v>0</v>
      </c>
      <c r="R3625" s="112" t="n">
        <v>50</v>
      </c>
      <c r="S3625" s="112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D3626" t="inlineStr"/>
      <c r="E3626" t="inlineStr">
        <is>
          <t>EQ</t>
        </is>
      </c>
      <c r="F3626" t="inlineStr"/>
      <c r="G3626" s="126" t="inlineStr"/>
      <c r="H3626" s="125" t="n">
        <v>46159</v>
      </c>
      <c r="I3626" t="inlineStr"/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N3626" t="inlineStr"/>
      <c r="O3626" t="inlineStr">
        <is>
          <t>WLD146</t>
        </is>
      </c>
      <c r="P3626" t="inlineStr"/>
      <c r="Q3626" s="112" t="n">
        <v>0</v>
      </c>
      <c r="R3626" s="112" t="n">
        <v>50</v>
      </c>
      <c r="S3626" s="112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D3627" t="inlineStr"/>
      <c r="E3627" t="inlineStr">
        <is>
          <t>EQ</t>
        </is>
      </c>
      <c r="F3627" t="inlineStr"/>
      <c r="G3627" s="126" t="inlineStr"/>
      <c r="H3627" s="125" t="n">
        <v>46159</v>
      </c>
      <c r="I3627" t="inlineStr"/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N3627" t="inlineStr"/>
      <c r="O3627" t="inlineStr">
        <is>
          <t>WLD146</t>
        </is>
      </c>
      <c r="P3627" t="inlineStr"/>
      <c r="Q3627" s="112" t="n">
        <v>0</v>
      </c>
      <c r="R3627" s="112" t="n">
        <v>50</v>
      </c>
      <c r="S3627" s="112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D3628" t="inlineStr"/>
      <c r="E3628" t="inlineStr">
        <is>
          <t>EQ</t>
        </is>
      </c>
      <c r="F3628" t="inlineStr"/>
      <c r="G3628" s="126" t="inlineStr"/>
      <c r="H3628" s="125" t="n">
        <v>46159</v>
      </c>
      <c r="I3628" t="inlineStr"/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N3628" t="inlineStr"/>
      <c r="O3628" t="inlineStr">
        <is>
          <t>RT1447</t>
        </is>
      </c>
      <c r="P3628" t="inlineStr"/>
      <c r="Q3628" s="112" t="n">
        <v>0</v>
      </c>
      <c r="R3628" s="112" t="n">
        <v>79.14</v>
      </c>
      <c r="S3628" s="112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D3629" t="inlineStr"/>
      <c r="E3629" t="inlineStr">
        <is>
          <t>EQ</t>
        </is>
      </c>
      <c r="F3629" t="inlineStr"/>
      <c r="G3629" s="126" t="inlineStr"/>
      <c r="H3629" s="125" t="n">
        <v>46159</v>
      </c>
      <c r="I3629" t="inlineStr"/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N3629" t="inlineStr"/>
      <c r="O3629" t="inlineStr">
        <is>
          <t>RT1385</t>
        </is>
      </c>
      <c r="P3629" t="inlineStr"/>
      <c r="Q3629" s="112" t="n">
        <v>0</v>
      </c>
      <c r="R3629" s="112" t="n">
        <v>79.14</v>
      </c>
      <c r="S3629" s="112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D3630" t="inlineStr"/>
      <c r="E3630" t="inlineStr">
        <is>
          <t>EQ</t>
        </is>
      </c>
      <c r="F3630" t="inlineStr"/>
      <c r="G3630" s="126" t="inlineStr"/>
      <c r="H3630" s="125" t="n">
        <v>46159</v>
      </c>
      <c r="I3630" t="inlineStr"/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N3630" t="inlineStr"/>
      <c r="O3630" t="inlineStr">
        <is>
          <t>SSAUGKIT1</t>
        </is>
      </c>
      <c r="P3630" t="inlineStr"/>
      <c r="Q3630" s="112" t="n">
        <v>0</v>
      </c>
      <c r="R3630" s="112" t="n">
        <v>35</v>
      </c>
      <c r="S3630" s="112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D3631" t="inlineStr"/>
      <c r="E3631" t="inlineStr">
        <is>
          <t>EQ</t>
        </is>
      </c>
      <c r="F3631" t="inlineStr"/>
      <c r="G3631" s="126" t="inlineStr"/>
      <c r="H3631" s="125" t="n">
        <v>46159</v>
      </c>
      <c r="I3631" t="inlineStr"/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N3631" t="inlineStr"/>
      <c r="O3631" t="inlineStr">
        <is>
          <t>SSAUGKIT1</t>
        </is>
      </c>
      <c r="P3631" t="inlineStr"/>
      <c r="Q3631" s="112" t="n">
        <v>0</v>
      </c>
      <c r="R3631" s="112" t="n">
        <v>35</v>
      </c>
      <c r="S3631" s="112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D3632" t="inlineStr"/>
      <c r="E3632" t="inlineStr">
        <is>
          <t>EQ</t>
        </is>
      </c>
      <c r="F3632" t="inlineStr"/>
      <c r="G3632" s="126" t="inlineStr"/>
      <c r="H3632" s="125" t="n">
        <v>46159</v>
      </c>
      <c r="I3632" t="inlineStr"/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N3632" t="inlineStr"/>
      <c r="O3632" t="inlineStr">
        <is>
          <t>SSAUGKIT1</t>
        </is>
      </c>
      <c r="P3632" t="inlineStr"/>
      <c r="Q3632" s="112" t="n">
        <v>0</v>
      </c>
      <c r="R3632" s="112" t="n">
        <v>35</v>
      </c>
      <c r="S3632" s="112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D3633" t="inlineStr"/>
      <c r="E3633" t="inlineStr">
        <is>
          <t>EQ</t>
        </is>
      </c>
      <c r="F3633" t="inlineStr"/>
      <c r="G3633" s="126" t="inlineStr"/>
      <c r="H3633" s="125" t="n">
        <v>46159</v>
      </c>
      <c r="I3633" t="inlineStr"/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N3633" t="inlineStr"/>
      <c r="O3633" t="inlineStr">
        <is>
          <t>SSAUGKIT1</t>
        </is>
      </c>
      <c r="P3633" t="inlineStr"/>
      <c r="Q3633" s="112" t="n">
        <v>0</v>
      </c>
      <c r="R3633" s="112" t="n">
        <v>35</v>
      </c>
      <c r="S3633" s="112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D3634" t="inlineStr"/>
      <c r="E3634" t="inlineStr">
        <is>
          <t>EQ</t>
        </is>
      </c>
      <c r="F3634" t="inlineStr"/>
      <c r="G3634" s="126" t="inlineStr"/>
      <c r="H3634" s="125" t="n">
        <v>46159</v>
      </c>
      <c r="I3634" t="inlineStr"/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N3634" t="inlineStr"/>
      <c r="O3634" t="inlineStr">
        <is>
          <t>TR428</t>
        </is>
      </c>
      <c r="P3634" t="inlineStr"/>
      <c r="Q3634" s="112" t="n">
        <v>0</v>
      </c>
      <c r="R3634" s="112" t="n">
        <v>15</v>
      </c>
      <c r="S3634" s="112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D3635" t="inlineStr"/>
      <c r="E3635" t="inlineStr">
        <is>
          <t>EQ</t>
        </is>
      </c>
      <c r="F3635" t="inlineStr"/>
      <c r="G3635" s="126" t="inlineStr"/>
      <c r="H3635" s="125" t="n">
        <v>46159</v>
      </c>
      <c r="I3635" t="inlineStr"/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N3635" t="inlineStr"/>
      <c r="O3635" t="inlineStr">
        <is>
          <t>TR428</t>
        </is>
      </c>
      <c r="P3635" t="inlineStr"/>
      <c r="Q3635" s="112" t="n">
        <v>0</v>
      </c>
      <c r="R3635" s="112" t="n">
        <v>15</v>
      </c>
      <c r="S3635" s="112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D3636" t="inlineStr"/>
      <c r="E3636" t="inlineStr">
        <is>
          <t>EQ</t>
        </is>
      </c>
      <c r="F3636" t="inlineStr"/>
      <c r="G3636" s="126" t="inlineStr"/>
      <c r="H3636" s="125" t="n">
        <v>46159</v>
      </c>
      <c r="I3636" t="inlineStr"/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N3636" t="inlineStr"/>
      <c r="O3636" t="inlineStr">
        <is>
          <t>TR428</t>
        </is>
      </c>
      <c r="P3636" t="inlineStr"/>
      <c r="Q3636" s="112" t="n">
        <v>0</v>
      </c>
      <c r="R3636" s="112" t="n">
        <v>15</v>
      </c>
      <c r="S3636" s="112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D3637" t="inlineStr"/>
      <c r="E3637" t="inlineStr">
        <is>
          <t>EQ</t>
        </is>
      </c>
      <c r="F3637" t="inlineStr"/>
      <c r="G3637" s="126" t="inlineStr"/>
      <c r="H3637" s="125" t="n">
        <v>46159</v>
      </c>
      <c r="I3637" t="inlineStr"/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N3637" t="inlineStr"/>
      <c r="O3637" t="inlineStr">
        <is>
          <t>TR428</t>
        </is>
      </c>
      <c r="P3637" t="inlineStr"/>
      <c r="Q3637" s="112" t="n">
        <v>0</v>
      </c>
      <c r="R3637" s="112" t="n">
        <v>15</v>
      </c>
      <c r="S3637" s="112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D3638" t="inlineStr"/>
      <c r="E3638" t="inlineStr">
        <is>
          <t>EQ</t>
        </is>
      </c>
      <c r="F3638" t="inlineStr"/>
      <c r="G3638" s="126" t="inlineStr"/>
      <c r="H3638" s="125" t="n">
        <v>46159</v>
      </c>
      <c r="I3638" t="inlineStr"/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N3638" t="inlineStr"/>
      <c r="O3638" t="inlineStr">
        <is>
          <t>TR428</t>
        </is>
      </c>
      <c r="P3638" t="inlineStr"/>
      <c r="Q3638" s="112" t="n">
        <v>0</v>
      </c>
      <c r="R3638" s="112" t="n">
        <v>15</v>
      </c>
      <c r="S3638" s="112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D3639" t="inlineStr"/>
      <c r="E3639" t="inlineStr">
        <is>
          <t>EQ</t>
        </is>
      </c>
      <c r="F3639" t="inlineStr"/>
      <c r="G3639" s="126" t="inlineStr"/>
      <c r="H3639" s="125" t="n">
        <v>46159</v>
      </c>
      <c r="I3639" t="inlineStr"/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N3639" t="inlineStr"/>
      <c r="O3639" t="inlineStr">
        <is>
          <t>TR428</t>
        </is>
      </c>
      <c r="P3639" t="inlineStr"/>
      <c r="Q3639" s="112" t="n">
        <v>0</v>
      </c>
      <c r="R3639" s="112" t="n">
        <v>15</v>
      </c>
      <c r="S3639" s="112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D3640" t="inlineStr"/>
      <c r="E3640" t="inlineStr">
        <is>
          <t>EQ</t>
        </is>
      </c>
      <c r="F3640" t="inlineStr"/>
      <c r="G3640" s="126" t="inlineStr"/>
      <c r="H3640" s="125" t="n">
        <v>46159</v>
      </c>
      <c r="I3640" t="inlineStr"/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N3640" t="inlineStr"/>
      <c r="O3640" t="inlineStr">
        <is>
          <t>TR145</t>
        </is>
      </c>
      <c r="P3640" t="inlineStr"/>
      <c r="Q3640" s="112" t="n">
        <v>0</v>
      </c>
      <c r="R3640" s="112" t="n">
        <v>65</v>
      </c>
      <c r="S3640" s="112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D3641" t="inlineStr"/>
      <c r="E3641" t="inlineStr">
        <is>
          <t>EQ</t>
        </is>
      </c>
      <c r="F3641" t="inlineStr"/>
      <c r="G3641" s="126" t="inlineStr"/>
      <c r="H3641" s="125" t="n">
        <v>46159</v>
      </c>
      <c r="I3641" t="inlineStr"/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N3641" t="inlineStr"/>
      <c r="O3641" t="inlineStr">
        <is>
          <t>BH235</t>
        </is>
      </c>
      <c r="P3641" t="inlineStr"/>
      <c r="Q3641" s="112" t="n">
        <v>0</v>
      </c>
      <c r="R3641" s="112" t="n">
        <v>125</v>
      </c>
      <c r="S3641" s="112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D3642" t="inlineStr"/>
      <c r="E3642" t="inlineStr">
        <is>
          <t>EQ</t>
        </is>
      </c>
      <c r="F3642" t="inlineStr"/>
      <c r="G3642" s="126" t="inlineStr"/>
      <c r="H3642" s="125" t="n">
        <v>46159</v>
      </c>
      <c r="I3642" t="inlineStr"/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N3642" t="inlineStr"/>
      <c r="O3642" t="inlineStr">
        <is>
          <t>BH235</t>
        </is>
      </c>
      <c r="P3642" t="inlineStr"/>
      <c r="Q3642" s="112" t="n">
        <v>0</v>
      </c>
      <c r="R3642" s="112" t="n">
        <v>125</v>
      </c>
      <c r="S3642" s="112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D3643" t="inlineStr"/>
      <c r="E3643" t="inlineStr">
        <is>
          <t>EQ</t>
        </is>
      </c>
      <c r="F3643" t="inlineStr"/>
      <c r="G3643" s="126" t="inlineStr"/>
      <c r="H3643" s="125" t="n">
        <v>46159</v>
      </c>
      <c r="I3643" t="inlineStr"/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N3643" t="inlineStr"/>
      <c r="O3643" t="inlineStr">
        <is>
          <t>BH235</t>
        </is>
      </c>
      <c r="P3643" t="inlineStr"/>
      <c r="Q3643" s="112" t="n">
        <v>0</v>
      </c>
      <c r="R3643" s="112" t="n">
        <v>125</v>
      </c>
      <c r="S3643" s="112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D3644" t="inlineStr"/>
      <c r="E3644" t="inlineStr">
        <is>
          <t>EQ</t>
        </is>
      </c>
      <c r="F3644" t="inlineStr"/>
      <c r="G3644" s="126" t="inlineStr"/>
      <c r="H3644" s="125" t="n">
        <v>46159</v>
      </c>
      <c r="I3644" t="inlineStr"/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N3644" t="inlineStr"/>
      <c r="O3644" t="inlineStr">
        <is>
          <t>BH235</t>
        </is>
      </c>
      <c r="P3644" t="inlineStr"/>
      <c r="Q3644" s="112" t="n">
        <v>0</v>
      </c>
      <c r="R3644" s="112" t="n">
        <v>125</v>
      </c>
      <c r="S3644" s="112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D3645" t="inlineStr"/>
      <c r="E3645" t="inlineStr">
        <is>
          <t>EQ</t>
        </is>
      </c>
      <c r="F3645" t="inlineStr"/>
      <c r="G3645" s="126" t="inlineStr"/>
      <c r="H3645" s="125" t="n">
        <v>46166</v>
      </c>
      <c r="I3645" t="inlineStr"/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N3645" t="inlineStr"/>
      <c r="O3645" t="inlineStr">
        <is>
          <t>FE017</t>
        </is>
      </c>
      <c r="P3645" t="inlineStr"/>
      <c r="Q3645" s="112" t="n">
        <v>0</v>
      </c>
      <c r="R3645" s="112" t="n">
        <v>0</v>
      </c>
      <c r="S3645" s="112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D3646" t="inlineStr"/>
      <c r="E3646" t="inlineStr">
        <is>
          <t>EQ</t>
        </is>
      </c>
      <c r="F3646" t="inlineStr"/>
      <c r="G3646" s="126" t="inlineStr"/>
      <c r="H3646" s="125" t="n">
        <v>46166</v>
      </c>
      <c r="I3646" t="inlineStr"/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N3646" t="inlineStr"/>
      <c r="O3646" t="inlineStr">
        <is>
          <t>FE017</t>
        </is>
      </c>
      <c r="P3646" t="inlineStr"/>
      <c r="Q3646" s="112" t="n">
        <v>0</v>
      </c>
      <c r="R3646" s="112" t="n">
        <v>0</v>
      </c>
      <c r="S3646" s="112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D3647" t="inlineStr"/>
      <c r="E3647" t="inlineStr">
        <is>
          <t>EQ</t>
        </is>
      </c>
      <c r="F3647" t="inlineStr"/>
      <c r="G3647" s="126" t="inlineStr"/>
      <c r="H3647" s="125" t="n">
        <v>46166</v>
      </c>
      <c r="I3647" t="inlineStr"/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N3647" t="inlineStr"/>
      <c r="O3647" t="inlineStr">
        <is>
          <t>FE017</t>
        </is>
      </c>
      <c r="P3647" t="inlineStr"/>
      <c r="Q3647" s="112" t="n">
        <v>0</v>
      </c>
      <c r="R3647" s="112" t="n">
        <v>0</v>
      </c>
      <c r="S3647" s="112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D3648" t="inlineStr"/>
      <c r="E3648" t="inlineStr">
        <is>
          <t>ER</t>
        </is>
      </c>
      <c r="F3648" t="inlineStr"/>
      <c r="G3648" s="126" t="inlineStr"/>
      <c r="H3648" s="125" t="n">
        <v>46124</v>
      </c>
      <c r="I3648" t="inlineStr"/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N3648" t="inlineStr"/>
      <c r="O3648" t="inlineStr">
        <is>
          <t>RLD291</t>
        </is>
      </c>
      <c r="P3648" t="inlineStr"/>
      <c r="Q3648" s="112" t="n">
        <v>0</v>
      </c>
      <c r="R3648" s="112" t="n">
        <v>186.27</v>
      </c>
      <c r="S3648" s="112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D3649" t="inlineStr"/>
      <c r="E3649" t="inlineStr">
        <is>
          <t>ER</t>
        </is>
      </c>
      <c r="F3649" t="inlineStr"/>
      <c r="G3649" s="126" t="inlineStr"/>
      <c r="H3649" s="125" t="n">
        <v>46124</v>
      </c>
      <c r="I3649" t="inlineStr"/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N3649" t="inlineStr"/>
      <c r="O3649" t="inlineStr">
        <is>
          <t>RLD291</t>
        </is>
      </c>
      <c r="P3649" t="inlineStr"/>
      <c r="Q3649" s="112" t="n">
        <v>0</v>
      </c>
      <c r="R3649" s="112" t="n">
        <v>186.27</v>
      </c>
      <c r="S3649" s="112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D3650" t="inlineStr"/>
      <c r="E3650" t="inlineStr">
        <is>
          <t>ER</t>
        </is>
      </c>
      <c r="F3650" t="inlineStr"/>
      <c r="G3650" s="126" t="inlineStr"/>
      <c r="H3650" s="125" t="n">
        <v>46124</v>
      </c>
      <c r="I3650" t="inlineStr"/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N3650" t="inlineStr"/>
      <c r="O3650" t="inlineStr">
        <is>
          <t>RLD291</t>
        </is>
      </c>
      <c r="P3650" t="inlineStr"/>
      <c r="Q3650" s="112" t="n">
        <v>0</v>
      </c>
      <c r="R3650" s="112" t="n">
        <v>186.27</v>
      </c>
      <c r="S3650" s="112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D3651" t="inlineStr"/>
      <c r="E3651" t="inlineStr">
        <is>
          <t>ER</t>
        </is>
      </c>
      <c r="F3651" t="inlineStr"/>
      <c r="G3651" s="126" t="inlineStr"/>
      <c r="H3651" s="125" t="n">
        <v>46124</v>
      </c>
      <c r="I3651" t="inlineStr"/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N3651" t="inlineStr"/>
      <c r="O3651" t="inlineStr">
        <is>
          <t>RLD291</t>
        </is>
      </c>
      <c r="P3651" t="inlineStr"/>
      <c r="Q3651" s="112" t="n">
        <v>0</v>
      </c>
      <c r="R3651" s="112" t="n">
        <v>186.27</v>
      </c>
      <c r="S3651" s="112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D3652" t="inlineStr"/>
      <c r="E3652" t="inlineStr">
        <is>
          <t>ER</t>
        </is>
      </c>
      <c r="F3652" t="inlineStr"/>
      <c r="G3652" s="126" t="inlineStr"/>
      <c r="H3652" s="125" t="n">
        <v>46124</v>
      </c>
      <c r="I3652" t="inlineStr"/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N3652" t="inlineStr"/>
      <c r="O3652" t="inlineStr">
        <is>
          <t>RLD291</t>
        </is>
      </c>
      <c r="P3652" t="inlineStr"/>
      <c r="Q3652" s="112" t="n">
        <v>0</v>
      </c>
      <c r="R3652" s="112" t="n">
        <v>186.27</v>
      </c>
      <c r="S3652" s="112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D3653" t="inlineStr"/>
      <c r="E3653" t="inlineStr">
        <is>
          <t>ER</t>
        </is>
      </c>
      <c r="F3653" t="inlineStr"/>
      <c r="G3653" s="126" t="inlineStr"/>
      <c r="H3653" s="125" t="n">
        <v>46124</v>
      </c>
      <c r="I3653" t="inlineStr"/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N3653" t="inlineStr"/>
      <c r="O3653" t="inlineStr">
        <is>
          <t>RLD291</t>
        </is>
      </c>
      <c r="P3653" t="inlineStr"/>
      <c r="Q3653" s="112" t="n">
        <v>0</v>
      </c>
      <c r="R3653" s="112" t="n">
        <v>186.27</v>
      </c>
      <c r="S3653" s="112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D3654" t="inlineStr"/>
      <c r="E3654" t="inlineStr">
        <is>
          <t>ER</t>
        </is>
      </c>
      <c r="F3654" t="inlineStr"/>
      <c r="G3654" s="126" t="inlineStr"/>
      <c r="H3654" s="125" t="n">
        <v>46124</v>
      </c>
      <c r="I3654" t="inlineStr"/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N3654" t="inlineStr"/>
      <c r="O3654" t="inlineStr">
        <is>
          <t>RLD292</t>
        </is>
      </c>
      <c r="P3654" t="inlineStr"/>
      <c r="Q3654" s="112" t="n">
        <v>0</v>
      </c>
      <c r="R3654" s="112" t="n">
        <v>186.27</v>
      </c>
      <c r="S3654" s="112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D3655" t="inlineStr"/>
      <c r="E3655" t="inlineStr">
        <is>
          <t>ER</t>
        </is>
      </c>
      <c r="F3655" t="inlineStr"/>
      <c r="G3655" s="126" t="inlineStr"/>
      <c r="H3655" s="125" t="n">
        <v>46124</v>
      </c>
      <c r="I3655" t="inlineStr"/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N3655" t="inlineStr"/>
      <c r="O3655" t="inlineStr">
        <is>
          <t>RLD292</t>
        </is>
      </c>
      <c r="P3655" t="inlineStr"/>
      <c r="Q3655" s="112" t="n">
        <v>0</v>
      </c>
      <c r="R3655" s="112" t="n">
        <v>186.27</v>
      </c>
      <c r="S3655" s="112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D3656" t="inlineStr"/>
      <c r="E3656" t="inlineStr">
        <is>
          <t>ER</t>
        </is>
      </c>
      <c r="F3656" t="inlineStr"/>
      <c r="G3656" s="126" t="inlineStr"/>
      <c r="H3656" s="125" t="n">
        <v>46124</v>
      </c>
      <c r="I3656" t="inlineStr"/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N3656" t="inlineStr"/>
      <c r="O3656" t="inlineStr">
        <is>
          <t>RLD292</t>
        </is>
      </c>
      <c r="P3656" t="inlineStr"/>
      <c r="Q3656" s="112" t="n">
        <v>0</v>
      </c>
      <c r="R3656" s="112" t="n">
        <v>186.27</v>
      </c>
      <c r="S3656" s="112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D3657" t="inlineStr"/>
      <c r="E3657" t="inlineStr">
        <is>
          <t>ER</t>
        </is>
      </c>
      <c r="F3657" t="inlineStr"/>
      <c r="G3657" s="126" t="inlineStr"/>
      <c r="H3657" s="125" t="n">
        <v>46124</v>
      </c>
      <c r="I3657" t="inlineStr"/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N3657" t="inlineStr"/>
      <c r="O3657" t="inlineStr">
        <is>
          <t>RLD292</t>
        </is>
      </c>
      <c r="P3657" t="inlineStr"/>
      <c r="Q3657" s="112" t="n">
        <v>0</v>
      </c>
      <c r="R3657" s="112" t="n">
        <v>186.27</v>
      </c>
      <c r="S3657" s="112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D3658" t="inlineStr"/>
      <c r="E3658" t="inlineStr">
        <is>
          <t>ER</t>
        </is>
      </c>
      <c r="F3658" t="inlineStr"/>
      <c r="G3658" s="126" t="inlineStr"/>
      <c r="H3658" s="125" t="n">
        <v>46124</v>
      </c>
      <c r="I3658" t="inlineStr"/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N3658" t="inlineStr"/>
      <c r="O3658" t="inlineStr">
        <is>
          <t>RLD292</t>
        </is>
      </c>
      <c r="P3658" t="inlineStr"/>
      <c r="Q3658" s="112" t="n">
        <v>0</v>
      </c>
      <c r="R3658" s="112" t="n">
        <v>186.27</v>
      </c>
      <c r="S3658" s="112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D3659" t="inlineStr"/>
      <c r="E3659" t="inlineStr">
        <is>
          <t>ER</t>
        </is>
      </c>
      <c r="F3659" t="inlineStr"/>
      <c r="G3659" s="126" t="inlineStr"/>
      <c r="H3659" s="125" t="n">
        <v>46124</v>
      </c>
      <c r="I3659" t="inlineStr"/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N3659" t="inlineStr"/>
      <c r="O3659" t="inlineStr">
        <is>
          <t>RAT439</t>
        </is>
      </c>
      <c r="P3659" t="inlineStr"/>
      <c r="Q3659" s="112" t="n">
        <v>0</v>
      </c>
      <c r="R3659" s="112" t="n">
        <v>62.5</v>
      </c>
      <c r="S3659" s="112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D3660" t="inlineStr"/>
      <c r="E3660" t="inlineStr">
        <is>
          <t>ER</t>
        </is>
      </c>
      <c r="F3660" t="inlineStr"/>
      <c r="G3660" s="126" t="inlineStr"/>
      <c r="H3660" s="125" t="n">
        <v>46124</v>
      </c>
      <c r="I3660" t="inlineStr"/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N3660" t="inlineStr"/>
      <c r="O3660" t="inlineStr">
        <is>
          <t>RAT439</t>
        </is>
      </c>
      <c r="P3660" t="inlineStr"/>
      <c r="Q3660" s="112" t="n">
        <v>0</v>
      </c>
      <c r="R3660" s="112" t="n">
        <v>62.5</v>
      </c>
      <c r="S3660" s="112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D3661" t="inlineStr"/>
      <c r="E3661" t="inlineStr">
        <is>
          <t>ER</t>
        </is>
      </c>
      <c r="F3661" t="inlineStr"/>
      <c r="G3661" s="126" t="inlineStr"/>
      <c r="H3661" s="125" t="n">
        <v>46124</v>
      </c>
      <c r="I3661" t="inlineStr"/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N3661" t="inlineStr"/>
      <c r="O3661" t="inlineStr">
        <is>
          <t>RAT439</t>
        </is>
      </c>
      <c r="P3661" t="inlineStr"/>
      <c r="Q3661" s="112" t="n">
        <v>0</v>
      </c>
      <c r="R3661" s="112" t="n">
        <v>62.5</v>
      </c>
      <c r="S3661" s="112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D3662" t="inlineStr"/>
      <c r="E3662" t="inlineStr">
        <is>
          <t>ER</t>
        </is>
      </c>
      <c r="F3662" t="inlineStr"/>
      <c r="G3662" s="126" t="inlineStr"/>
      <c r="H3662" s="125" t="n">
        <v>46124</v>
      </c>
      <c r="I3662" t="inlineStr"/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N3662" t="inlineStr"/>
      <c r="O3662" t="inlineStr">
        <is>
          <t>RAT439</t>
        </is>
      </c>
      <c r="P3662" t="inlineStr"/>
      <c r="Q3662" s="112" t="n">
        <v>0</v>
      </c>
      <c r="R3662" s="112" t="n">
        <v>62.5</v>
      </c>
      <c r="S3662" s="112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D3663" t="inlineStr"/>
      <c r="E3663" t="inlineStr">
        <is>
          <t>ER</t>
        </is>
      </c>
      <c r="F3663" t="inlineStr"/>
      <c r="G3663" s="126" t="inlineStr"/>
      <c r="H3663" s="125" t="n">
        <v>46124</v>
      </c>
      <c r="I3663" t="inlineStr"/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N3663" t="inlineStr"/>
      <c r="O3663" t="inlineStr">
        <is>
          <t>RAT439</t>
        </is>
      </c>
      <c r="P3663" t="inlineStr"/>
      <c r="Q3663" s="112" t="n">
        <v>0</v>
      </c>
      <c r="R3663" s="112" t="n">
        <v>62.5</v>
      </c>
      <c r="S3663" s="112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D3664" t="inlineStr"/>
      <c r="E3664" t="inlineStr">
        <is>
          <t>ER</t>
        </is>
      </c>
      <c r="F3664" t="inlineStr"/>
      <c r="G3664" s="126" t="inlineStr"/>
      <c r="H3664" s="125" t="n">
        <v>46124</v>
      </c>
      <c r="I3664" t="inlineStr"/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N3664" t="inlineStr"/>
      <c r="O3664" t="inlineStr">
        <is>
          <t>RAT440</t>
        </is>
      </c>
      <c r="P3664" t="inlineStr"/>
      <c r="Q3664" s="112" t="n">
        <v>0</v>
      </c>
      <c r="R3664" s="112" t="n">
        <v>62.5</v>
      </c>
      <c r="S3664" s="112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D3665" t="inlineStr"/>
      <c r="E3665" t="inlineStr">
        <is>
          <t>ER</t>
        </is>
      </c>
      <c r="F3665" t="inlineStr"/>
      <c r="G3665" s="126" t="inlineStr"/>
      <c r="H3665" s="125" t="n">
        <v>46124</v>
      </c>
      <c r="I3665" t="inlineStr"/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N3665" t="inlineStr"/>
      <c r="O3665" t="inlineStr">
        <is>
          <t>RAT440</t>
        </is>
      </c>
      <c r="P3665" t="inlineStr"/>
      <c r="Q3665" s="112" t="n">
        <v>0</v>
      </c>
      <c r="R3665" s="112" t="n">
        <v>62.5</v>
      </c>
      <c r="S3665" s="112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D3666" t="inlineStr"/>
      <c r="E3666" t="inlineStr">
        <is>
          <t>ER</t>
        </is>
      </c>
      <c r="F3666" t="inlineStr"/>
      <c r="G3666" s="126" t="inlineStr"/>
      <c r="H3666" s="125" t="n">
        <v>46124</v>
      </c>
      <c r="I3666" t="inlineStr"/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N3666" t="inlineStr"/>
      <c r="O3666" t="inlineStr">
        <is>
          <t>RAT440</t>
        </is>
      </c>
      <c r="P3666" t="inlineStr"/>
      <c r="Q3666" s="112" t="n">
        <v>0</v>
      </c>
      <c r="R3666" s="112" t="n">
        <v>62.5</v>
      </c>
      <c r="S3666" s="112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D3667" t="inlineStr"/>
      <c r="E3667" t="inlineStr">
        <is>
          <t>ER</t>
        </is>
      </c>
      <c r="F3667" t="inlineStr"/>
      <c r="G3667" s="126" t="inlineStr"/>
      <c r="H3667" s="125" t="n">
        <v>46124</v>
      </c>
      <c r="I3667" t="inlineStr"/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N3667" t="inlineStr"/>
      <c r="O3667" t="inlineStr">
        <is>
          <t>RAT440</t>
        </is>
      </c>
      <c r="P3667" t="inlineStr"/>
      <c r="Q3667" s="112" t="n">
        <v>0</v>
      </c>
      <c r="R3667" s="112" t="n">
        <v>62.5</v>
      </c>
      <c r="S3667" s="112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D3668" t="inlineStr"/>
      <c r="E3668" t="inlineStr">
        <is>
          <t>ER</t>
        </is>
      </c>
      <c r="F3668" t="inlineStr"/>
      <c r="G3668" s="126" t="inlineStr"/>
      <c r="H3668" s="125" t="n">
        <v>46124</v>
      </c>
      <c r="I3668" t="inlineStr"/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N3668" t="inlineStr"/>
      <c r="O3668" t="inlineStr">
        <is>
          <t>RAT440</t>
        </is>
      </c>
      <c r="P3668" t="inlineStr"/>
      <c r="Q3668" s="112" t="n">
        <v>0</v>
      </c>
      <c r="R3668" s="112" t="n">
        <v>62.5</v>
      </c>
      <c r="S3668" s="112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D3669" t="inlineStr"/>
      <c r="E3669" t="inlineStr">
        <is>
          <t>ER</t>
        </is>
      </c>
      <c r="F3669" t="inlineStr"/>
      <c r="G3669" s="126" t="inlineStr"/>
      <c r="H3669" s="125" t="n">
        <v>46131</v>
      </c>
      <c r="I3669" t="inlineStr"/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N3669" t="inlineStr"/>
      <c r="O3669" t="inlineStr">
        <is>
          <t>RLD291</t>
        </is>
      </c>
      <c r="P3669" t="inlineStr"/>
      <c r="Q3669" s="112" t="n">
        <v>0</v>
      </c>
      <c r="R3669" s="112" t="n">
        <v>186.27</v>
      </c>
      <c r="S3669" s="112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D3670" t="inlineStr"/>
      <c r="E3670" t="inlineStr">
        <is>
          <t>ER</t>
        </is>
      </c>
      <c r="F3670" t="inlineStr"/>
      <c r="G3670" s="126" t="inlineStr"/>
      <c r="H3670" s="125" t="n">
        <v>46131</v>
      </c>
      <c r="I3670" t="inlineStr"/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N3670" t="inlineStr"/>
      <c r="O3670" t="inlineStr">
        <is>
          <t>RLD291</t>
        </is>
      </c>
      <c r="P3670" t="inlineStr"/>
      <c r="Q3670" s="112" t="n">
        <v>0</v>
      </c>
      <c r="R3670" s="112" t="n">
        <v>186.27</v>
      </c>
      <c r="S3670" s="112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D3671" t="inlineStr"/>
      <c r="E3671" t="inlineStr">
        <is>
          <t>ER</t>
        </is>
      </c>
      <c r="F3671" t="inlineStr"/>
      <c r="G3671" s="126" t="inlineStr"/>
      <c r="H3671" s="125" t="n">
        <v>46131</v>
      </c>
      <c r="I3671" t="inlineStr"/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N3671" t="inlineStr"/>
      <c r="O3671" t="inlineStr">
        <is>
          <t>RLD291</t>
        </is>
      </c>
      <c r="P3671" t="inlineStr"/>
      <c r="Q3671" s="112" t="n">
        <v>0</v>
      </c>
      <c r="R3671" s="112" t="n">
        <v>186.27</v>
      </c>
      <c r="S3671" s="112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D3672" t="inlineStr"/>
      <c r="E3672" t="inlineStr">
        <is>
          <t>ER</t>
        </is>
      </c>
      <c r="F3672" t="inlineStr"/>
      <c r="G3672" s="126" t="inlineStr"/>
      <c r="H3672" s="125" t="n">
        <v>46131</v>
      </c>
      <c r="I3672" t="inlineStr"/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N3672" t="inlineStr"/>
      <c r="O3672" t="inlineStr">
        <is>
          <t>RLD292</t>
        </is>
      </c>
      <c r="P3672" t="inlineStr"/>
      <c r="Q3672" s="112" t="n">
        <v>0</v>
      </c>
      <c r="R3672" s="112" t="n">
        <v>186.27</v>
      </c>
      <c r="S3672" s="112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D3673" t="inlineStr"/>
      <c r="E3673" t="inlineStr">
        <is>
          <t>ER</t>
        </is>
      </c>
      <c r="F3673" t="inlineStr"/>
      <c r="G3673" s="126" t="inlineStr"/>
      <c r="H3673" s="125" t="n">
        <v>46131</v>
      </c>
      <c r="I3673" t="inlineStr"/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N3673" t="inlineStr"/>
      <c r="O3673" t="inlineStr">
        <is>
          <t>RLD292</t>
        </is>
      </c>
      <c r="P3673" t="inlineStr"/>
      <c r="Q3673" s="112" t="n">
        <v>0</v>
      </c>
      <c r="R3673" s="112" t="n">
        <v>186.27</v>
      </c>
      <c r="S3673" s="112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D3674" t="inlineStr"/>
      <c r="E3674" t="inlineStr">
        <is>
          <t>ER</t>
        </is>
      </c>
      <c r="F3674" t="inlineStr"/>
      <c r="G3674" s="126" t="inlineStr"/>
      <c r="H3674" s="125" t="n">
        <v>46131</v>
      </c>
      <c r="I3674" t="inlineStr"/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N3674" t="inlineStr"/>
      <c r="O3674" t="inlineStr">
        <is>
          <t>RLD292</t>
        </is>
      </c>
      <c r="P3674" t="inlineStr"/>
      <c r="Q3674" s="112" t="n">
        <v>0</v>
      </c>
      <c r="R3674" s="112" t="n">
        <v>186.27</v>
      </c>
      <c r="S3674" s="112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D3675" t="inlineStr"/>
      <c r="E3675" t="inlineStr">
        <is>
          <t>ER</t>
        </is>
      </c>
      <c r="F3675" t="inlineStr"/>
      <c r="G3675" s="126" t="inlineStr"/>
      <c r="H3675" s="125" t="n">
        <v>46131</v>
      </c>
      <c r="I3675" t="inlineStr"/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N3675" t="inlineStr"/>
      <c r="O3675" t="inlineStr">
        <is>
          <t>RLD292</t>
        </is>
      </c>
      <c r="P3675" t="inlineStr"/>
      <c r="Q3675" s="112" t="n">
        <v>0</v>
      </c>
      <c r="R3675" s="112" t="n">
        <v>186.27</v>
      </c>
      <c r="S3675" s="112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D3676" t="inlineStr"/>
      <c r="E3676" t="inlineStr">
        <is>
          <t>ER</t>
        </is>
      </c>
      <c r="F3676" t="inlineStr"/>
      <c r="G3676" s="126" t="inlineStr"/>
      <c r="H3676" s="125" t="n">
        <v>46131</v>
      </c>
      <c r="I3676" t="inlineStr"/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N3676" t="inlineStr"/>
      <c r="O3676" t="inlineStr">
        <is>
          <t>RLD292</t>
        </is>
      </c>
      <c r="P3676" t="inlineStr"/>
      <c r="Q3676" s="112" t="n">
        <v>0</v>
      </c>
      <c r="R3676" s="112" t="n">
        <v>186.27</v>
      </c>
      <c r="S3676" s="112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D3677" t="inlineStr"/>
      <c r="E3677" t="inlineStr">
        <is>
          <t>ER</t>
        </is>
      </c>
      <c r="F3677" t="inlineStr"/>
      <c r="G3677" s="126" t="inlineStr"/>
      <c r="H3677" s="125" t="n">
        <v>46131</v>
      </c>
      <c r="I3677" t="inlineStr"/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N3677" t="inlineStr"/>
      <c r="O3677" t="inlineStr">
        <is>
          <t>RLD292</t>
        </is>
      </c>
      <c r="P3677" t="inlineStr"/>
      <c r="Q3677" s="112" t="n">
        <v>0</v>
      </c>
      <c r="R3677" s="112" t="n">
        <v>186.27</v>
      </c>
      <c r="S3677" s="112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D3678" t="inlineStr"/>
      <c r="E3678" t="inlineStr">
        <is>
          <t>ER</t>
        </is>
      </c>
      <c r="F3678" t="inlineStr"/>
      <c r="G3678" s="126" t="inlineStr"/>
      <c r="H3678" s="125" t="n">
        <v>46131</v>
      </c>
      <c r="I3678" t="inlineStr"/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N3678" t="inlineStr"/>
      <c r="O3678" t="inlineStr">
        <is>
          <t>RAT439</t>
        </is>
      </c>
      <c r="P3678" t="inlineStr"/>
      <c r="Q3678" s="112" t="n">
        <v>0</v>
      </c>
      <c r="R3678" s="112" t="n">
        <v>62.5</v>
      </c>
      <c r="S3678" s="112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D3679" t="inlineStr"/>
      <c r="E3679" t="inlineStr">
        <is>
          <t>ER</t>
        </is>
      </c>
      <c r="F3679" t="inlineStr"/>
      <c r="G3679" s="126" t="inlineStr"/>
      <c r="H3679" s="125" t="n">
        <v>46131</v>
      </c>
      <c r="I3679" t="inlineStr"/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N3679" t="inlineStr"/>
      <c r="O3679" t="inlineStr">
        <is>
          <t>RAT439</t>
        </is>
      </c>
      <c r="P3679" t="inlineStr"/>
      <c r="Q3679" s="112" t="n">
        <v>0</v>
      </c>
      <c r="R3679" s="112" t="n">
        <v>62.5</v>
      </c>
      <c r="S3679" s="112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D3680" t="inlineStr"/>
      <c r="E3680" t="inlineStr">
        <is>
          <t>ER</t>
        </is>
      </c>
      <c r="F3680" t="inlineStr"/>
      <c r="G3680" s="126" t="inlineStr"/>
      <c r="H3680" s="125" t="n">
        <v>46131</v>
      </c>
      <c r="I3680" t="inlineStr"/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N3680" t="inlineStr"/>
      <c r="O3680" t="inlineStr">
        <is>
          <t>RAT439</t>
        </is>
      </c>
      <c r="P3680" t="inlineStr"/>
      <c r="Q3680" s="112" t="n">
        <v>0</v>
      </c>
      <c r="R3680" s="112" t="n">
        <v>62.5</v>
      </c>
      <c r="S3680" s="112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D3681" t="inlineStr"/>
      <c r="E3681" t="inlineStr">
        <is>
          <t>ER</t>
        </is>
      </c>
      <c r="F3681" t="inlineStr"/>
      <c r="G3681" s="126" t="inlineStr"/>
      <c r="H3681" s="125" t="n">
        <v>46131</v>
      </c>
      <c r="I3681" t="inlineStr"/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N3681" t="inlineStr"/>
      <c r="O3681" t="inlineStr">
        <is>
          <t>RAT439</t>
        </is>
      </c>
      <c r="P3681" t="inlineStr"/>
      <c r="Q3681" s="112" t="n">
        <v>0</v>
      </c>
      <c r="R3681" s="112" t="n">
        <v>62.5</v>
      </c>
      <c r="S3681" s="112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D3682" t="inlineStr"/>
      <c r="E3682" t="inlineStr">
        <is>
          <t>ER</t>
        </is>
      </c>
      <c r="F3682" t="inlineStr"/>
      <c r="G3682" s="126" t="inlineStr"/>
      <c r="H3682" s="125" t="n">
        <v>46131</v>
      </c>
      <c r="I3682" t="inlineStr"/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N3682" t="inlineStr"/>
      <c r="O3682" t="inlineStr">
        <is>
          <t>RAT439</t>
        </is>
      </c>
      <c r="P3682" t="inlineStr"/>
      <c r="Q3682" s="112" t="n">
        <v>0</v>
      </c>
      <c r="R3682" s="112" t="n">
        <v>62.5</v>
      </c>
      <c r="S3682" s="112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D3683" t="inlineStr"/>
      <c r="E3683" t="inlineStr">
        <is>
          <t>ER</t>
        </is>
      </c>
      <c r="F3683" t="inlineStr"/>
      <c r="G3683" s="126" t="inlineStr"/>
      <c r="H3683" s="125" t="n">
        <v>46131</v>
      </c>
      <c r="I3683" t="inlineStr"/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N3683" t="inlineStr"/>
      <c r="O3683" t="inlineStr">
        <is>
          <t>RAT439</t>
        </is>
      </c>
      <c r="P3683" t="inlineStr"/>
      <c r="Q3683" s="112" t="n">
        <v>0</v>
      </c>
      <c r="R3683" s="112" t="n">
        <v>62.5</v>
      </c>
      <c r="S3683" s="112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D3684" t="inlineStr"/>
      <c r="E3684" t="inlineStr">
        <is>
          <t>ER</t>
        </is>
      </c>
      <c r="F3684" t="inlineStr"/>
      <c r="G3684" s="126" t="inlineStr"/>
      <c r="H3684" s="125" t="n">
        <v>46131</v>
      </c>
      <c r="I3684" t="inlineStr"/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N3684" t="inlineStr"/>
      <c r="O3684" t="inlineStr">
        <is>
          <t>RAT440</t>
        </is>
      </c>
      <c r="P3684" t="inlineStr"/>
      <c r="Q3684" s="112" t="n">
        <v>0</v>
      </c>
      <c r="R3684" s="112" t="n">
        <v>62.5</v>
      </c>
      <c r="S3684" s="112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D3685" t="inlineStr"/>
      <c r="E3685" t="inlineStr">
        <is>
          <t>ER</t>
        </is>
      </c>
      <c r="F3685" t="inlineStr"/>
      <c r="G3685" s="126" t="inlineStr"/>
      <c r="H3685" s="125" t="n">
        <v>46131</v>
      </c>
      <c r="I3685" t="inlineStr"/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N3685" t="inlineStr"/>
      <c r="O3685" t="inlineStr">
        <is>
          <t>RAT440</t>
        </is>
      </c>
      <c r="P3685" t="inlineStr"/>
      <c r="Q3685" s="112" t="n">
        <v>0</v>
      </c>
      <c r="R3685" s="112" t="n">
        <v>62.5</v>
      </c>
      <c r="S3685" s="112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D3686" t="inlineStr"/>
      <c r="E3686" t="inlineStr">
        <is>
          <t>ER</t>
        </is>
      </c>
      <c r="F3686" t="inlineStr"/>
      <c r="G3686" s="126" t="inlineStr"/>
      <c r="H3686" s="125" t="n">
        <v>46131</v>
      </c>
      <c r="I3686" t="inlineStr"/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N3686" t="inlineStr"/>
      <c r="O3686" t="inlineStr">
        <is>
          <t>RAT440</t>
        </is>
      </c>
      <c r="P3686" t="inlineStr"/>
      <c r="Q3686" s="112" t="n">
        <v>0</v>
      </c>
      <c r="R3686" s="112" t="n">
        <v>62.5</v>
      </c>
      <c r="S3686" s="112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D3687" t="inlineStr"/>
      <c r="E3687" t="inlineStr">
        <is>
          <t>ER</t>
        </is>
      </c>
      <c r="F3687" t="inlineStr"/>
      <c r="G3687" s="126" t="inlineStr"/>
      <c r="H3687" s="125" t="n">
        <v>46131</v>
      </c>
      <c r="I3687" t="inlineStr"/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N3687" t="inlineStr"/>
      <c r="O3687" t="inlineStr">
        <is>
          <t>RAT440</t>
        </is>
      </c>
      <c r="P3687" t="inlineStr"/>
      <c r="Q3687" s="112" t="n">
        <v>0</v>
      </c>
      <c r="R3687" s="112" t="n">
        <v>62.5</v>
      </c>
      <c r="S3687" s="112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D3688" t="inlineStr"/>
      <c r="E3688" t="inlineStr">
        <is>
          <t>ER</t>
        </is>
      </c>
      <c r="F3688" t="inlineStr"/>
      <c r="G3688" s="126" t="inlineStr"/>
      <c r="H3688" s="125" t="n">
        <v>46131</v>
      </c>
      <c r="I3688" t="inlineStr"/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N3688" t="inlineStr"/>
      <c r="O3688" t="inlineStr">
        <is>
          <t>RAT440</t>
        </is>
      </c>
      <c r="P3688" t="inlineStr"/>
      <c r="Q3688" s="112" t="n">
        <v>0</v>
      </c>
      <c r="R3688" s="112" t="n">
        <v>62.5</v>
      </c>
      <c r="S3688" s="112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D3689" t="inlineStr"/>
      <c r="E3689" t="inlineStr">
        <is>
          <t>ER</t>
        </is>
      </c>
      <c r="F3689" t="inlineStr"/>
      <c r="G3689" s="126" t="inlineStr"/>
      <c r="H3689" s="125" t="n">
        <v>46131</v>
      </c>
      <c r="I3689" t="inlineStr"/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N3689" t="inlineStr"/>
      <c r="O3689" t="inlineStr">
        <is>
          <t>RAT440</t>
        </is>
      </c>
      <c r="P3689" t="inlineStr"/>
      <c r="Q3689" s="112" t="n">
        <v>0</v>
      </c>
      <c r="R3689" s="112" t="n">
        <v>62.5</v>
      </c>
      <c r="S3689" s="112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D3690" t="inlineStr"/>
      <c r="E3690" t="inlineStr">
        <is>
          <t>ER</t>
        </is>
      </c>
      <c r="F3690" t="inlineStr"/>
      <c r="G3690" s="126" t="inlineStr"/>
      <c r="H3690" s="125" t="n">
        <v>46138</v>
      </c>
      <c r="I3690" t="inlineStr"/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N3690" t="inlineStr"/>
      <c r="O3690" t="inlineStr">
        <is>
          <t>RLD291</t>
        </is>
      </c>
      <c r="P3690" t="inlineStr"/>
      <c r="Q3690" s="112" t="n">
        <v>0</v>
      </c>
      <c r="R3690" s="112" t="n">
        <v>186.27</v>
      </c>
      <c r="S3690" s="112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D3691" t="inlineStr"/>
      <c r="E3691" t="inlineStr">
        <is>
          <t>ER</t>
        </is>
      </c>
      <c r="F3691" t="inlineStr"/>
      <c r="G3691" s="126" t="inlineStr"/>
      <c r="H3691" s="125" t="n">
        <v>46138</v>
      </c>
      <c r="I3691" t="inlineStr"/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N3691" t="inlineStr"/>
      <c r="O3691" t="inlineStr">
        <is>
          <t>RLD291</t>
        </is>
      </c>
      <c r="P3691" t="inlineStr"/>
      <c r="Q3691" s="112" t="n">
        <v>0</v>
      </c>
      <c r="R3691" s="112" t="n">
        <v>186.27</v>
      </c>
      <c r="S3691" s="112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D3692" t="inlineStr"/>
      <c r="E3692" t="inlineStr">
        <is>
          <t>ER</t>
        </is>
      </c>
      <c r="F3692" t="inlineStr"/>
      <c r="G3692" s="126" t="inlineStr"/>
      <c r="H3692" s="125" t="n">
        <v>46138</v>
      </c>
      <c r="I3692" t="inlineStr"/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N3692" t="inlineStr"/>
      <c r="O3692" t="inlineStr">
        <is>
          <t>RLD292</t>
        </is>
      </c>
      <c r="P3692" t="inlineStr"/>
      <c r="Q3692" s="112" t="n">
        <v>0</v>
      </c>
      <c r="R3692" s="112" t="n">
        <v>186.27</v>
      </c>
      <c r="S3692" s="112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D3693" t="inlineStr"/>
      <c r="E3693" t="inlineStr">
        <is>
          <t>ER</t>
        </is>
      </c>
      <c r="F3693" t="inlineStr"/>
      <c r="G3693" s="126" t="inlineStr"/>
      <c r="H3693" s="125" t="n">
        <v>46138</v>
      </c>
      <c r="I3693" t="inlineStr"/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N3693" t="inlineStr"/>
      <c r="O3693" t="inlineStr">
        <is>
          <t>RLD292</t>
        </is>
      </c>
      <c r="P3693" t="inlineStr"/>
      <c r="Q3693" s="112" t="n">
        <v>0</v>
      </c>
      <c r="R3693" s="112" t="n">
        <v>186.27</v>
      </c>
      <c r="S3693" s="112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D3694" t="inlineStr"/>
      <c r="E3694" t="inlineStr">
        <is>
          <t>ER</t>
        </is>
      </c>
      <c r="F3694" t="inlineStr"/>
      <c r="G3694" s="126" t="inlineStr"/>
      <c r="H3694" s="125" t="n">
        <v>46138</v>
      </c>
      <c r="I3694" t="inlineStr"/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N3694" t="inlineStr"/>
      <c r="O3694" t="inlineStr">
        <is>
          <t>RLD292</t>
        </is>
      </c>
      <c r="P3694" t="inlineStr"/>
      <c r="Q3694" s="112" t="n">
        <v>0</v>
      </c>
      <c r="R3694" s="112" t="n">
        <v>186.27</v>
      </c>
      <c r="S3694" s="112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D3695" t="inlineStr"/>
      <c r="E3695" t="inlineStr">
        <is>
          <t>ER</t>
        </is>
      </c>
      <c r="F3695" t="inlineStr"/>
      <c r="G3695" s="126" t="inlineStr"/>
      <c r="H3695" s="125" t="n">
        <v>46138</v>
      </c>
      <c r="I3695" t="inlineStr"/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N3695" t="inlineStr"/>
      <c r="O3695" t="inlineStr">
        <is>
          <t>RAT439</t>
        </is>
      </c>
      <c r="P3695" t="inlineStr"/>
      <c r="Q3695" s="112" t="n">
        <v>0</v>
      </c>
      <c r="R3695" s="112" t="n">
        <v>62.5</v>
      </c>
      <c r="S3695" s="112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D3696" t="inlineStr"/>
      <c r="E3696" t="inlineStr">
        <is>
          <t>ER</t>
        </is>
      </c>
      <c r="F3696" t="inlineStr"/>
      <c r="G3696" s="126" t="inlineStr"/>
      <c r="H3696" s="125" t="n">
        <v>46138</v>
      </c>
      <c r="I3696" t="inlineStr"/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N3696" t="inlineStr"/>
      <c r="O3696" t="inlineStr">
        <is>
          <t>RAT439</t>
        </is>
      </c>
      <c r="P3696" t="inlineStr"/>
      <c r="Q3696" s="112" t="n">
        <v>0</v>
      </c>
      <c r="R3696" s="112" t="n">
        <v>62.5</v>
      </c>
      <c r="S3696" s="112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D3697" t="inlineStr"/>
      <c r="E3697" t="inlineStr">
        <is>
          <t>ER</t>
        </is>
      </c>
      <c r="F3697" t="inlineStr"/>
      <c r="G3697" s="126" t="inlineStr"/>
      <c r="H3697" s="125" t="n">
        <v>46138</v>
      </c>
      <c r="I3697" t="inlineStr"/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N3697" t="inlineStr"/>
      <c r="O3697" t="inlineStr">
        <is>
          <t>RAT439</t>
        </is>
      </c>
      <c r="P3697" t="inlineStr"/>
      <c r="Q3697" s="112" t="n">
        <v>0</v>
      </c>
      <c r="R3697" s="112" t="n">
        <v>62.5</v>
      </c>
      <c r="S3697" s="112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D3698" t="inlineStr"/>
      <c r="E3698" t="inlineStr">
        <is>
          <t>ER</t>
        </is>
      </c>
      <c r="F3698" t="inlineStr"/>
      <c r="G3698" s="126" t="inlineStr"/>
      <c r="H3698" s="125" t="n">
        <v>46138</v>
      </c>
      <c r="I3698" t="inlineStr"/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N3698" t="inlineStr"/>
      <c r="O3698" t="inlineStr">
        <is>
          <t>RAT440</t>
        </is>
      </c>
      <c r="P3698" t="inlineStr"/>
      <c r="Q3698" s="112" t="n">
        <v>0</v>
      </c>
      <c r="R3698" s="112" t="n">
        <v>62.5</v>
      </c>
      <c r="S3698" s="112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D3699" t="inlineStr"/>
      <c r="E3699" t="inlineStr">
        <is>
          <t>ER</t>
        </is>
      </c>
      <c r="F3699" t="inlineStr"/>
      <c r="G3699" s="126" t="inlineStr"/>
      <c r="H3699" s="125" t="n">
        <v>46138</v>
      </c>
      <c r="I3699" t="inlineStr"/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N3699" t="inlineStr"/>
      <c r="O3699" t="inlineStr">
        <is>
          <t>RAT440</t>
        </is>
      </c>
      <c r="P3699" t="inlineStr"/>
      <c r="Q3699" s="112" t="n">
        <v>0</v>
      </c>
      <c r="R3699" s="112" t="n">
        <v>62.5</v>
      </c>
      <c r="S3699" s="112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D3700" t="inlineStr"/>
      <c r="E3700" t="inlineStr">
        <is>
          <t>ER</t>
        </is>
      </c>
      <c r="F3700" t="inlineStr"/>
      <c r="G3700" s="126" t="inlineStr"/>
      <c r="H3700" s="125" t="n">
        <v>46138</v>
      </c>
      <c r="I3700" t="inlineStr"/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N3700" t="inlineStr"/>
      <c r="O3700" t="inlineStr">
        <is>
          <t>RAT440</t>
        </is>
      </c>
      <c r="P3700" t="inlineStr"/>
      <c r="Q3700" s="112" t="n">
        <v>0</v>
      </c>
      <c r="R3700" s="112" t="n">
        <v>62.5</v>
      </c>
      <c r="S3700" s="112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D3701" t="inlineStr"/>
      <c r="E3701" t="inlineStr">
        <is>
          <t>ER</t>
        </is>
      </c>
      <c r="F3701" t="inlineStr"/>
      <c r="G3701" s="126" t="inlineStr"/>
      <c r="H3701" s="125" t="n">
        <v>46142</v>
      </c>
      <c r="I3701" t="inlineStr"/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N3701" t="inlineStr"/>
      <c r="O3701" t="inlineStr">
        <is>
          <t>RLD291</t>
        </is>
      </c>
      <c r="P3701" t="inlineStr"/>
      <c r="Q3701" s="112" t="n">
        <v>0</v>
      </c>
      <c r="R3701" s="112" t="n">
        <v>186.27</v>
      </c>
      <c r="S3701" s="112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D3702" t="inlineStr"/>
      <c r="E3702" t="inlineStr">
        <is>
          <t>ER</t>
        </is>
      </c>
      <c r="F3702" t="inlineStr"/>
      <c r="G3702" s="126" t="inlineStr"/>
      <c r="H3702" s="125" t="n">
        <v>46142</v>
      </c>
      <c r="I3702" t="inlineStr"/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N3702" t="inlineStr"/>
      <c r="O3702" t="inlineStr">
        <is>
          <t>RLD291</t>
        </is>
      </c>
      <c r="P3702" t="inlineStr"/>
      <c r="Q3702" s="112" t="n">
        <v>0</v>
      </c>
      <c r="R3702" s="112" t="n">
        <v>186.27</v>
      </c>
      <c r="S3702" s="112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D3703" t="inlineStr"/>
      <c r="E3703" t="inlineStr">
        <is>
          <t>ER</t>
        </is>
      </c>
      <c r="F3703" t="inlineStr"/>
      <c r="G3703" s="126" t="inlineStr"/>
      <c r="H3703" s="125" t="n">
        <v>46142</v>
      </c>
      <c r="I3703" t="inlineStr"/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N3703" t="inlineStr"/>
      <c r="O3703" t="inlineStr">
        <is>
          <t>RLD291</t>
        </is>
      </c>
      <c r="P3703" t="inlineStr"/>
      <c r="Q3703" s="112" t="n">
        <v>0</v>
      </c>
      <c r="R3703" s="112" t="n">
        <v>186.27</v>
      </c>
      <c r="S3703" s="112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D3704" t="inlineStr"/>
      <c r="E3704" t="inlineStr">
        <is>
          <t>ER</t>
        </is>
      </c>
      <c r="F3704" t="inlineStr"/>
      <c r="G3704" s="126" t="inlineStr"/>
      <c r="H3704" s="125" t="n">
        <v>46142</v>
      </c>
      <c r="I3704" t="inlineStr"/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N3704" t="inlineStr"/>
      <c r="O3704" t="inlineStr">
        <is>
          <t>RLD291</t>
        </is>
      </c>
      <c r="P3704" t="inlineStr"/>
      <c r="Q3704" s="112" t="n">
        <v>0</v>
      </c>
      <c r="R3704" s="112" t="n">
        <v>186.27</v>
      </c>
      <c r="S3704" s="112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D3705" t="inlineStr"/>
      <c r="E3705" t="inlineStr">
        <is>
          <t>ER</t>
        </is>
      </c>
      <c r="F3705" t="inlineStr"/>
      <c r="G3705" s="126" t="inlineStr"/>
      <c r="H3705" s="125" t="n">
        <v>46142</v>
      </c>
      <c r="I3705" t="inlineStr"/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N3705" t="inlineStr"/>
      <c r="O3705" t="inlineStr">
        <is>
          <t>RLD292</t>
        </is>
      </c>
      <c r="P3705" t="inlineStr"/>
      <c r="Q3705" s="112" t="n">
        <v>0</v>
      </c>
      <c r="R3705" s="112" t="n">
        <v>186.27</v>
      </c>
      <c r="S3705" s="112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D3706" t="inlineStr"/>
      <c r="E3706" t="inlineStr">
        <is>
          <t>ER</t>
        </is>
      </c>
      <c r="F3706" t="inlineStr"/>
      <c r="G3706" s="126" t="inlineStr"/>
      <c r="H3706" s="125" t="n">
        <v>46142</v>
      </c>
      <c r="I3706" t="inlineStr"/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N3706" t="inlineStr"/>
      <c r="O3706" t="inlineStr">
        <is>
          <t>RLD292</t>
        </is>
      </c>
      <c r="P3706" t="inlineStr"/>
      <c r="Q3706" s="112" t="n">
        <v>0</v>
      </c>
      <c r="R3706" s="112" t="n">
        <v>186.27</v>
      </c>
      <c r="S3706" s="112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D3707" t="inlineStr"/>
      <c r="E3707" t="inlineStr">
        <is>
          <t>ER</t>
        </is>
      </c>
      <c r="F3707" t="inlineStr"/>
      <c r="G3707" s="126" t="inlineStr"/>
      <c r="H3707" s="125" t="n">
        <v>46142</v>
      </c>
      <c r="I3707" t="inlineStr"/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N3707" t="inlineStr"/>
      <c r="O3707" t="inlineStr">
        <is>
          <t>RLD292</t>
        </is>
      </c>
      <c r="P3707" t="inlineStr"/>
      <c r="Q3707" s="112" t="n">
        <v>0</v>
      </c>
      <c r="R3707" s="112" t="n">
        <v>186.27</v>
      </c>
      <c r="S3707" s="112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D3708" t="inlineStr"/>
      <c r="E3708" t="inlineStr">
        <is>
          <t>ER</t>
        </is>
      </c>
      <c r="F3708" t="inlineStr"/>
      <c r="G3708" s="126" t="inlineStr"/>
      <c r="H3708" s="125" t="n">
        <v>46142</v>
      </c>
      <c r="I3708" t="inlineStr"/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N3708" t="inlineStr"/>
      <c r="O3708" t="inlineStr">
        <is>
          <t>RLD292</t>
        </is>
      </c>
      <c r="P3708" t="inlineStr"/>
      <c r="Q3708" s="112" t="n">
        <v>0</v>
      </c>
      <c r="R3708" s="112" t="n">
        <v>186.27</v>
      </c>
      <c r="S3708" s="112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D3709" t="inlineStr"/>
      <c r="E3709" t="inlineStr">
        <is>
          <t>ER</t>
        </is>
      </c>
      <c r="F3709" t="inlineStr"/>
      <c r="G3709" s="126" t="inlineStr"/>
      <c r="H3709" s="125" t="n">
        <v>46142</v>
      </c>
      <c r="I3709" t="inlineStr"/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N3709" t="inlineStr"/>
      <c r="O3709" t="inlineStr">
        <is>
          <t>RAT439</t>
        </is>
      </c>
      <c r="P3709" t="inlineStr"/>
      <c r="Q3709" s="112" t="n">
        <v>0</v>
      </c>
      <c r="R3709" s="112" t="n">
        <v>62.5</v>
      </c>
      <c r="S3709" s="112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D3710" t="inlineStr"/>
      <c r="E3710" t="inlineStr">
        <is>
          <t>ER</t>
        </is>
      </c>
      <c r="F3710" t="inlineStr"/>
      <c r="G3710" s="126" t="inlineStr"/>
      <c r="H3710" s="125" t="n">
        <v>46142</v>
      </c>
      <c r="I3710" t="inlineStr"/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N3710" t="inlineStr"/>
      <c r="O3710" t="inlineStr">
        <is>
          <t>RAT439</t>
        </is>
      </c>
      <c r="P3710" t="inlineStr"/>
      <c r="Q3710" s="112" t="n">
        <v>0</v>
      </c>
      <c r="R3710" s="112" t="n">
        <v>62.5</v>
      </c>
      <c r="S3710" s="112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D3711" t="inlineStr"/>
      <c r="E3711" t="inlineStr">
        <is>
          <t>ER</t>
        </is>
      </c>
      <c r="F3711" t="inlineStr"/>
      <c r="G3711" s="126" t="inlineStr"/>
      <c r="H3711" s="125" t="n">
        <v>46142</v>
      </c>
      <c r="I3711" t="inlineStr"/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N3711" t="inlineStr"/>
      <c r="O3711" t="inlineStr">
        <is>
          <t>RAT440</t>
        </is>
      </c>
      <c r="P3711" t="inlineStr"/>
      <c r="Q3711" s="112" t="n">
        <v>0</v>
      </c>
      <c r="R3711" s="112" t="n">
        <v>62.5</v>
      </c>
      <c r="S3711" s="112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D3712" t="inlineStr"/>
      <c r="E3712" t="inlineStr">
        <is>
          <t>ER</t>
        </is>
      </c>
      <c r="F3712" t="inlineStr"/>
      <c r="G3712" s="126" t="inlineStr"/>
      <c r="H3712" s="125" t="n">
        <v>46142</v>
      </c>
      <c r="I3712" t="inlineStr"/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N3712" t="inlineStr"/>
      <c r="O3712" t="inlineStr">
        <is>
          <t>RAT440</t>
        </is>
      </c>
      <c r="P3712" t="inlineStr"/>
      <c r="Q3712" s="112" t="n">
        <v>0</v>
      </c>
      <c r="R3712" s="112" t="n">
        <v>62.5</v>
      </c>
      <c r="S3712" s="112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D3713" t="inlineStr"/>
      <c r="E3713" t="inlineStr">
        <is>
          <t>ER</t>
        </is>
      </c>
      <c r="F3713" t="inlineStr"/>
      <c r="G3713" s="126" t="inlineStr"/>
      <c r="H3713" s="125" t="n">
        <v>46142</v>
      </c>
      <c r="I3713" t="inlineStr"/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N3713" t="inlineStr"/>
      <c r="O3713" t="inlineStr">
        <is>
          <t>RAT440</t>
        </is>
      </c>
      <c r="P3713" t="inlineStr"/>
      <c r="Q3713" s="112" t="n">
        <v>0</v>
      </c>
      <c r="R3713" s="112" t="n">
        <v>62.5</v>
      </c>
      <c r="S3713" s="112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D3714" t="inlineStr"/>
      <c r="E3714" t="inlineStr">
        <is>
          <t>ER</t>
        </is>
      </c>
      <c r="F3714" t="inlineStr"/>
      <c r="G3714" s="126" t="inlineStr"/>
      <c r="H3714" s="125" t="n">
        <v>46142</v>
      </c>
      <c r="I3714" t="inlineStr"/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N3714" t="inlineStr"/>
      <c r="O3714" t="inlineStr">
        <is>
          <t>RAT440</t>
        </is>
      </c>
      <c r="P3714" t="inlineStr"/>
      <c r="Q3714" s="112" t="n">
        <v>0</v>
      </c>
      <c r="R3714" s="112" t="n">
        <v>62.5</v>
      </c>
      <c r="S3714" s="112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D3715" t="inlineStr"/>
      <c r="E3715" t="inlineStr">
        <is>
          <t>ER</t>
        </is>
      </c>
      <c r="F3715" t="inlineStr"/>
      <c r="G3715" s="126" t="inlineStr"/>
      <c r="H3715" s="125" t="n">
        <v>46152</v>
      </c>
      <c r="I3715" t="inlineStr"/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N3715" t="inlineStr"/>
      <c r="O3715" t="inlineStr">
        <is>
          <t>RLD291</t>
        </is>
      </c>
      <c r="P3715" t="inlineStr"/>
      <c r="Q3715" s="112" t="n">
        <v>0</v>
      </c>
      <c r="R3715" s="112" t="n">
        <v>186.27</v>
      </c>
      <c r="S3715" s="112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D3716" t="inlineStr"/>
      <c r="E3716" t="inlineStr">
        <is>
          <t>ER</t>
        </is>
      </c>
      <c r="F3716" t="inlineStr"/>
      <c r="G3716" s="126" t="inlineStr"/>
      <c r="H3716" s="125" t="n">
        <v>46152</v>
      </c>
      <c r="I3716" t="inlineStr"/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N3716" t="inlineStr"/>
      <c r="O3716" t="inlineStr">
        <is>
          <t>RLD292</t>
        </is>
      </c>
      <c r="P3716" t="inlineStr"/>
      <c r="Q3716" s="112" t="n">
        <v>0</v>
      </c>
      <c r="R3716" s="112" t="n">
        <v>186.27</v>
      </c>
      <c r="S3716" s="112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D3717" t="inlineStr"/>
      <c r="E3717" t="inlineStr">
        <is>
          <t>ER</t>
        </is>
      </c>
      <c r="F3717" t="inlineStr"/>
      <c r="G3717" s="126" t="inlineStr"/>
      <c r="H3717" s="125" t="n">
        <v>46152</v>
      </c>
      <c r="I3717" t="inlineStr"/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N3717" t="inlineStr"/>
      <c r="O3717" t="inlineStr">
        <is>
          <t>RLD292</t>
        </is>
      </c>
      <c r="P3717" t="inlineStr"/>
      <c r="Q3717" s="112" t="n">
        <v>0</v>
      </c>
      <c r="R3717" s="112" t="n">
        <v>186.27</v>
      </c>
      <c r="S3717" s="112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D3718" t="inlineStr"/>
      <c r="E3718" t="inlineStr">
        <is>
          <t>ER</t>
        </is>
      </c>
      <c r="F3718" t="inlineStr"/>
      <c r="G3718" s="126" t="inlineStr"/>
      <c r="H3718" s="125" t="n">
        <v>46152</v>
      </c>
      <c r="I3718" t="inlineStr"/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N3718" t="inlineStr"/>
      <c r="O3718" t="inlineStr">
        <is>
          <t>RAT439</t>
        </is>
      </c>
      <c r="P3718" t="inlineStr"/>
      <c r="Q3718" s="112" t="n">
        <v>0</v>
      </c>
      <c r="R3718" s="112" t="n">
        <v>62.5</v>
      </c>
      <c r="S3718" s="112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D3719" t="inlineStr"/>
      <c r="E3719" t="inlineStr">
        <is>
          <t>ER</t>
        </is>
      </c>
      <c r="F3719" t="inlineStr"/>
      <c r="G3719" s="126" t="inlineStr"/>
      <c r="H3719" s="125" t="n">
        <v>46152</v>
      </c>
      <c r="I3719" t="inlineStr"/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N3719" t="inlineStr"/>
      <c r="O3719" t="inlineStr">
        <is>
          <t>RAT439</t>
        </is>
      </c>
      <c r="P3719" t="inlineStr"/>
      <c r="Q3719" s="112" t="n">
        <v>0</v>
      </c>
      <c r="R3719" s="112" t="n">
        <v>62.5</v>
      </c>
      <c r="S3719" s="112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D3720" t="inlineStr"/>
      <c r="E3720" t="inlineStr">
        <is>
          <t>ER</t>
        </is>
      </c>
      <c r="F3720" t="inlineStr"/>
      <c r="G3720" s="126" t="inlineStr"/>
      <c r="H3720" s="125" t="n">
        <v>46152</v>
      </c>
      <c r="I3720" t="inlineStr"/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N3720" t="inlineStr"/>
      <c r="O3720" t="inlineStr">
        <is>
          <t>RAT440</t>
        </is>
      </c>
      <c r="P3720" t="inlineStr"/>
      <c r="Q3720" s="112" t="n">
        <v>0</v>
      </c>
      <c r="R3720" s="112" t="n">
        <v>62.5</v>
      </c>
      <c r="S3720" s="112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D3721" t="inlineStr"/>
      <c r="E3721" t="inlineStr">
        <is>
          <t>ER</t>
        </is>
      </c>
      <c r="F3721" t="inlineStr"/>
      <c r="G3721" s="126" t="inlineStr"/>
      <c r="H3721" s="125" t="n">
        <v>46152</v>
      </c>
      <c r="I3721" t="inlineStr"/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N3721" t="inlineStr"/>
      <c r="O3721" t="inlineStr">
        <is>
          <t>RAT440</t>
        </is>
      </c>
      <c r="P3721" t="inlineStr"/>
      <c r="Q3721" s="112" t="n">
        <v>0</v>
      </c>
      <c r="R3721" s="112" t="n">
        <v>62.5</v>
      </c>
      <c r="S3721" s="112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D3722" t="inlineStr"/>
      <c r="E3722" t="inlineStr">
        <is>
          <t>ER</t>
        </is>
      </c>
      <c r="F3722" t="inlineStr"/>
      <c r="G3722" s="126" t="inlineStr"/>
      <c r="H3722" s="125" t="n">
        <v>46152</v>
      </c>
      <c r="I3722" t="inlineStr"/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N3722" t="inlineStr"/>
      <c r="O3722" t="inlineStr">
        <is>
          <t>RAT440</t>
        </is>
      </c>
      <c r="P3722" t="inlineStr"/>
      <c r="Q3722" s="112" t="n">
        <v>0</v>
      </c>
      <c r="R3722" s="112" t="n">
        <v>62.5</v>
      </c>
      <c r="S3722" s="112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D3723" t="inlineStr"/>
      <c r="E3723" t="inlineStr">
        <is>
          <t>ER</t>
        </is>
      </c>
      <c r="F3723" t="inlineStr"/>
      <c r="G3723" s="126" t="inlineStr"/>
      <c r="H3723" s="125" t="n">
        <v>46159</v>
      </c>
      <c r="I3723" t="inlineStr"/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N3723" t="inlineStr"/>
      <c r="O3723" t="inlineStr">
        <is>
          <t>RLD291</t>
        </is>
      </c>
      <c r="P3723" t="inlineStr"/>
      <c r="Q3723" s="112" t="n">
        <v>0</v>
      </c>
      <c r="R3723" s="112" t="n">
        <v>186.27</v>
      </c>
      <c r="S3723" s="112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D3724" t="inlineStr"/>
      <c r="E3724" t="inlineStr">
        <is>
          <t>ER</t>
        </is>
      </c>
      <c r="F3724" t="inlineStr"/>
      <c r="G3724" s="126" t="inlineStr"/>
      <c r="H3724" s="125" t="n">
        <v>46159</v>
      </c>
      <c r="I3724" t="inlineStr"/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N3724" t="inlineStr"/>
      <c r="O3724" t="inlineStr">
        <is>
          <t>RLD291</t>
        </is>
      </c>
      <c r="P3724" t="inlineStr"/>
      <c r="Q3724" s="112" t="n">
        <v>0</v>
      </c>
      <c r="R3724" s="112" t="n">
        <v>186.27</v>
      </c>
      <c r="S3724" s="112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D3725" t="inlineStr"/>
      <c r="E3725" t="inlineStr">
        <is>
          <t>ER</t>
        </is>
      </c>
      <c r="F3725" t="inlineStr"/>
      <c r="G3725" s="126" t="inlineStr"/>
      <c r="H3725" s="125" t="n">
        <v>46159</v>
      </c>
      <c r="I3725" t="inlineStr"/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N3725" t="inlineStr"/>
      <c r="O3725" t="inlineStr">
        <is>
          <t>RLD292</t>
        </is>
      </c>
      <c r="P3725" t="inlineStr"/>
      <c r="Q3725" s="112" t="n">
        <v>0</v>
      </c>
      <c r="R3725" s="112" t="n">
        <v>186.27</v>
      </c>
      <c r="S3725" s="112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D3726" t="inlineStr"/>
      <c r="E3726" t="inlineStr">
        <is>
          <t>ER</t>
        </is>
      </c>
      <c r="F3726" t="inlineStr"/>
      <c r="G3726" s="126" t="inlineStr"/>
      <c r="H3726" s="125" t="n">
        <v>46159</v>
      </c>
      <c r="I3726" t="inlineStr"/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N3726" t="inlineStr"/>
      <c r="O3726" t="inlineStr">
        <is>
          <t>RLD292</t>
        </is>
      </c>
      <c r="P3726" t="inlineStr"/>
      <c r="Q3726" s="112" t="n">
        <v>0</v>
      </c>
      <c r="R3726" s="112" t="n">
        <v>186.27</v>
      </c>
      <c r="S3726" s="112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D3727" t="inlineStr"/>
      <c r="E3727" t="inlineStr">
        <is>
          <t>ER</t>
        </is>
      </c>
      <c r="F3727" t="inlineStr"/>
      <c r="G3727" s="126" t="inlineStr"/>
      <c r="H3727" s="125" t="n">
        <v>46159</v>
      </c>
      <c r="I3727" t="inlineStr"/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N3727" t="inlineStr"/>
      <c r="O3727" t="inlineStr">
        <is>
          <t>RLD292</t>
        </is>
      </c>
      <c r="P3727" t="inlineStr"/>
      <c r="Q3727" s="112" t="n">
        <v>0</v>
      </c>
      <c r="R3727" s="112" t="n">
        <v>186.27</v>
      </c>
      <c r="S3727" s="112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D3728" t="inlineStr"/>
      <c r="E3728" t="inlineStr">
        <is>
          <t>ER</t>
        </is>
      </c>
      <c r="F3728" t="inlineStr"/>
      <c r="G3728" s="126" t="inlineStr"/>
      <c r="H3728" s="125" t="n">
        <v>46159</v>
      </c>
      <c r="I3728" t="inlineStr"/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N3728" t="inlineStr"/>
      <c r="O3728" t="inlineStr">
        <is>
          <t>RAT439</t>
        </is>
      </c>
      <c r="P3728" t="inlineStr"/>
      <c r="Q3728" s="112" t="n">
        <v>0</v>
      </c>
      <c r="R3728" s="112" t="n">
        <v>62.5</v>
      </c>
      <c r="S3728" s="112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D3729" t="inlineStr"/>
      <c r="E3729" t="inlineStr">
        <is>
          <t>ER</t>
        </is>
      </c>
      <c r="F3729" t="inlineStr"/>
      <c r="G3729" s="126" t="inlineStr"/>
      <c r="H3729" s="125" t="n">
        <v>46159</v>
      </c>
      <c r="I3729" t="inlineStr"/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N3729" t="inlineStr"/>
      <c r="O3729" t="inlineStr">
        <is>
          <t>RAT439</t>
        </is>
      </c>
      <c r="P3729" t="inlineStr"/>
      <c r="Q3729" s="112" t="n">
        <v>0</v>
      </c>
      <c r="R3729" s="112" t="n">
        <v>62.5</v>
      </c>
      <c r="S3729" s="112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D3730" t="inlineStr"/>
      <c r="E3730" t="inlineStr">
        <is>
          <t>ER</t>
        </is>
      </c>
      <c r="F3730" t="inlineStr"/>
      <c r="G3730" s="126" t="inlineStr"/>
      <c r="H3730" s="125" t="n">
        <v>46159</v>
      </c>
      <c r="I3730" t="inlineStr"/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N3730" t="inlineStr"/>
      <c r="O3730" t="inlineStr">
        <is>
          <t>RAT439</t>
        </is>
      </c>
      <c r="P3730" t="inlineStr"/>
      <c r="Q3730" s="112" t="n">
        <v>0</v>
      </c>
      <c r="R3730" s="112" t="n">
        <v>62.5</v>
      </c>
      <c r="S3730" s="112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D3731" t="inlineStr"/>
      <c r="E3731" t="inlineStr">
        <is>
          <t>ER</t>
        </is>
      </c>
      <c r="F3731" t="inlineStr"/>
      <c r="G3731" s="126" t="inlineStr"/>
      <c r="H3731" s="125" t="n">
        <v>46159</v>
      </c>
      <c r="I3731" t="inlineStr"/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N3731" t="inlineStr"/>
      <c r="O3731" t="inlineStr">
        <is>
          <t>RAT439</t>
        </is>
      </c>
      <c r="P3731" t="inlineStr"/>
      <c r="Q3731" s="112" t="n">
        <v>0</v>
      </c>
      <c r="R3731" s="112" t="n">
        <v>62.5</v>
      </c>
      <c r="S3731" s="112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D3732" t="inlineStr"/>
      <c r="E3732" t="inlineStr">
        <is>
          <t>ER</t>
        </is>
      </c>
      <c r="F3732" t="inlineStr"/>
      <c r="G3732" s="126" t="inlineStr"/>
      <c r="H3732" s="125" t="n">
        <v>46159</v>
      </c>
      <c r="I3732" t="inlineStr"/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N3732" t="inlineStr"/>
      <c r="O3732" t="inlineStr">
        <is>
          <t>RAT439</t>
        </is>
      </c>
      <c r="P3732" t="inlineStr"/>
      <c r="Q3732" s="112" t="n">
        <v>0</v>
      </c>
      <c r="R3732" s="112" t="n">
        <v>62.5</v>
      </c>
      <c r="S3732" s="112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D3733" t="inlineStr"/>
      <c r="E3733" t="inlineStr">
        <is>
          <t>ER</t>
        </is>
      </c>
      <c r="F3733" t="inlineStr"/>
      <c r="G3733" s="126" t="inlineStr"/>
      <c r="H3733" s="125" t="n">
        <v>46159</v>
      </c>
      <c r="I3733" t="inlineStr"/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N3733" t="inlineStr"/>
      <c r="O3733" t="inlineStr">
        <is>
          <t>RAT440</t>
        </is>
      </c>
      <c r="P3733" t="inlineStr"/>
      <c r="Q3733" s="112" t="n">
        <v>0</v>
      </c>
      <c r="R3733" s="112" t="n">
        <v>62.5</v>
      </c>
      <c r="S3733" s="112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D3734" t="inlineStr"/>
      <c r="E3734" t="inlineStr">
        <is>
          <t>ER</t>
        </is>
      </c>
      <c r="F3734" t="inlineStr"/>
      <c r="G3734" s="126" t="inlineStr"/>
      <c r="H3734" s="125" t="n">
        <v>46159</v>
      </c>
      <c r="I3734" t="inlineStr"/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N3734" t="inlineStr"/>
      <c r="O3734" t="inlineStr">
        <is>
          <t>RAT440</t>
        </is>
      </c>
      <c r="P3734" t="inlineStr"/>
      <c r="Q3734" s="112" t="n">
        <v>0</v>
      </c>
      <c r="R3734" s="112" t="n">
        <v>62.5</v>
      </c>
      <c r="S3734" s="112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D3735" t="inlineStr"/>
      <c r="E3735" t="inlineStr">
        <is>
          <t>ER</t>
        </is>
      </c>
      <c r="F3735" t="inlineStr"/>
      <c r="G3735" s="126" t="inlineStr"/>
      <c r="H3735" s="125" t="n">
        <v>46159</v>
      </c>
      <c r="I3735" t="inlineStr"/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N3735" t="inlineStr"/>
      <c r="O3735" t="inlineStr">
        <is>
          <t>RAT440</t>
        </is>
      </c>
      <c r="P3735" t="inlineStr"/>
      <c r="Q3735" s="112" t="n">
        <v>0</v>
      </c>
      <c r="R3735" s="112" t="n">
        <v>62.5</v>
      </c>
      <c r="S3735" s="112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D3736" t="inlineStr"/>
      <c r="E3736" t="inlineStr">
        <is>
          <t>ER</t>
        </is>
      </c>
      <c r="F3736" t="inlineStr"/>
      <c r="G3736" s="126" t="inlineStr"/>
      <c r="H3736" s="125" t="n">
        <v>46159</v>
      </c>
      <c r="I3736" t="inlineStr"/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N3736" t="inlineStr"/>
      <c r="O3736" t="inlineStr">
        <is>
          <t>RAT440</t>
        </is>
      </c>
      <c r="P3736" t="inlineStr"/>
      <c r="Q3736" s="112" t="n">
        <v>0</v>
      </c>
      <c r="R3736" s="112" t="n">
        <v>62.5</v>
      </c>
      <c r="S3736" s="112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D3737" t="inlineStr"/>
      <c r="E3737" t="inlineStr">
        <is>
          <t>ER</t>
        </is>
      </c>
      <c r="F3737" t="inlineStr"/>
      <c r="G3737" s="126" t="inlineStr"/>
      <c r="H3737" s="125" t="n">
        <v>46166</v>
      </c>
      <c r="I3737" t="inlineStr"/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N3737" t="inlineStr"/>
      <c r="O3737" t="inlineStr">
        <is>
          <t>RLD291</t>
        </is>
      </c>
      <c r="P3737" t="inlineStr"/>
      <c r="Q3737" s="112" t="n">
        <v>0</v>
      </c>
      <c r="R3737" s="112" t="n">
        <v>186.27</v>
      </c>
      <c r="S3737" s="112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D3738" t="inlineStr"/>
      <c r="E3738" t="inlineStr">
        <is>
          <t>ER</t>
        </is>
      </c>
      <c r="F3738" t="inlineStr"/>
      <c r="G3738" s="126" t="inlineStr"/>
      <c r="H3738" s="125" t="n">
        <v>46166</v>
      </c>
      <c r="I3738" t="inlineStr"/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N3738" t="inlineStr"/>
      <c r="O3738" t="inlineStr">
        <is>
          <t>RLD292</t>
        </is>
      </c>
      <c r="P3738" t="inlineStr"/>
      <c r="Q3738" s="112" t="n">
        <v>0</v>
      </c>
      <c r="R3738" s="112" t="n">
        <v>186.27</v>
      </c>
      <c r="S3738" s="112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D3739" t="inlineStr"/>
      <c r="E3739" t="inlineStr">
        <is>
          <t>ER</t>
        </is>
      </c>
      <c r="F3739" t="inlineStr"/>
      <c r="G3739" s="126" t="inlineStr"/>
      <c r="H3739" s="125" t="n">
        <v>46166</v>
      </c>
      <c r="I3739" t="inlineStr"/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N3739" t="inlineStr"/>
      <c r="O3739" t="inlineStr">
        <is>
          <t>RLD292</t>
        </is>
      </c>
      <c r="P3739" t="inlineStr"/>
      <c r="Q3739" s="112" t="n">
        <v>0</v>
      </c>
      <c r="R3739" s="112" t="n">
        <v>186.27</v>
      </c>
      <c r="S3739" s="112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D3740" t="inlineStr"/>
      <c r="E3740" t="inlineStr">
        <is>
          <t>ER</t>
        </is>
      </c>
      <c r="F3740" t="inlineStr"/>
      <c r="G3740" s="126" t="inlineStr"/>
      <c r="H3740" s="125" t="n">
        <v>46166</v>
      </c>
      <c r="I3740" t="inlineStr"/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N3740" t="inlineStr"/>
      <c r="O3740" t="inlineStr">
        <is>
          <t>RAT439</t>
        </is>
      </c>
      <c r="P3740" t="inlineStr"/>
      <c r="Q3740" s="112" t="n">
        <v>0</v>
      </c>
      <c r="R3740" s="112" t="n">
        <v>62.5</v>
      </c>
      <c r="S3740" s="112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D3741" t="inlineStr"/>
      <c r="E3741" t="inlineStr">
        <is>
          <t>ER</t>
        </is>
      </c>
      <c r="F3741" t="inlineStr"/>
      <c r="G3741" s="126" t="inlineStr"/>
      <c r="H3741" s="125" t="n">
        <v>46166</v>
      </c>
      <c r="I3741" t="inlineStr"/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N3741" t="inlineStr"/>
      <c r="O3741" t="inlineStr">
        <is>
          <t>RAT439</t>
        </is>
      </c>
      <c r="P3741" t="inlineStr"/>
      <c r="Q3741" s="112" t="n">
        <v>0</v>
      </c>
      <c r="R3741" s="112" t="n">
        <v>62.5</v>
      </c>
      <c r="S3741" s="112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D3742" t="inlineStr"/>
      <c r="E3742" t="inlineStr">
        <is>
          <t>ER</t>
        </is>
      </c>
      <c r="F3742" t="inlineStr"/>
      <c r="G3742" s="126" t="inlineStr"/>
      <c r="H3742" s="125" t="n">
        <v>46166</v>
      </c>
      <c r="I3742" t="inlineStr"/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N3742" t="inlineStr"/>
      <c r="O3742" t="inlineStr">
        <is>
          <t>RAT440</t>
        </is>
      </c>
      <c r="P3742" t="inlineStr"/>
      <c r="Q3742" s="112" t="n">
        <v>0</v>
      </c>
      <c r="R3742" s="112" t="n">
        <v>62.5</v>
      </c>
      <c r="S3742" s="112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D3743" t="inlineStr"/>
      <c r="E3743" t="inlineStr">
        <is>
          <t>ER</t>
        </is>
      </c>
      <c r="F3743" t="inlineStr"/>
      <c r="G3743" s="126" t="inlineStr"/>
      <c r="H3743" s="125" t="n">
        <v>46166</v>
      </c>
      <c r="I3743" t="inlineStr"/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N3743" t="inlineStr"/>
      <c r="O3743" t="inlineStr">
        <is>
          <t>RAT440</t>
        </is>
      </c>
      <c r="P3743" t="inlineStr"/>
      <c r="Q3743" s="112" t="n">
        <v>0</v>
      </c>
      <c r="R3743" s="112" t="n">
        <v>62.5</v>
      </c>
      <c r="S3743" s="112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D3744" t="inlineStr"/>
      <c r="E3744" t="inlineStr">
        <is>
          <t>ER</t>
        </is>
      </c>
      <c r="F3744" t="inlineStr"/>
      <c r="G3744" s="126" t="inlineStr"/>
      <c r="H3744" s="125" t="n">
        <v>46166</v>
      </c>
      <c r="I3744" t="inlineStr"/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N3744" t="inlineStr"/>
      <c r="O3744" t="inlineStr">
        <is>
          <t>RAT440</t>
        </is>
      </c>
      <c r="P3744" t="inlineStr"/>
      <c r="Q3744" s="112" t="n">
        <v>0</v>
      </c>
      <c r="R3744" s="112" t="n">
        <v>62.5</v>
      </c>
      <c r="S3744" s="112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D3745" t="inlineStr"/>
      <c r="E3745" t="inlineStr">
        <is>
          <t>LA</t>
        </is>
      </c>
      <c r="F3745" t="inlineStr"/>
      <c r="G3745" s="126" t="inlineStr"/>
      <c r="H3745" s="125" t="n">
        <v>46121</v>
      </c>
      <c r="I3745" t="inlineStr"/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N3745" t="inlineStr"/>
      <c r="O3745" t="inlineStr"/>
      <c r="P3745" t="inlineStr"/>
      <c r="Q3745" s="112" t="n">
        <v>0</v>
      </c>
      <c r="R3745" s="112" t="n">
        <v>1961.61</v>
      </c>
      <c r="S3745" s="112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D3746" t="inlineStr"/>
      <c r="E3746" t="inlineStr">
        <is>
          <t>LA</t>
        </is>
      </c>
      <c r="F3746" t="inlineStr"/>
      <c r="G3746" s="126" t="inlineStr"/>
      <c r="H3746" s="125" t="n">
        <v>46121</v>
      </c>
      <c r="I3746" t="inlineStr"/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N3746" t="inlineStr"/>
      <c r="O3746" t="inlineStr"/>
      <c r="P3746" t="inlineStr"/>
      <c r="Q3746" s="112" t="n">
        <v>0</v>
      </c>
      <c r="R3746" s="112" t="n">
        <v>3829.49</v>
      </c>
      <c r="S3746" s="112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D3747" t="inlineStr"/>
      <c r="E3747" t="inlineStr">
        <is>
          <t>LA</t>
        </is>
      </c>
      <c r="F3747" t="inlineStr"/>
      <c r="G3747" s="126" t="inlineStr"/>
      <c r="H3747" s="125" t="n">
        <v>46121</v>
      </c>
      <c r="I3747" t="inlineStr"/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N3747" t="inlineStr"/>
      <c r="O3747" t="inlineStr"/>
      <c r="P3747" t="inlineStr"/>
      <c r="Q3747" s="112" t="n">
        <v>0</v>
      </c>
      <c r="R3747" s="112" t="n">
        <v>1653.87</v>
      </c>
      <c r="S3747" s="112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D3748" t="inlineStr"/>
      <c r="E3748" t="inlineStr">
        <is>
          <t>LA</t>
        </is>
      </c>
      <c r="F3748" t="inlineStr"/>
      <c r="G3748" s="126" t="inlineStr"/>
      <c r="H3748" s="125" t="n">
        <v>46121</v>
      </c>
      <c r="I3748" t="inlineStr"/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N3748" t="inlineStr"/>
      <c r="O3748" t="inlineStr"/>
      <c r="P3748" t="inlineStr"/>
      <c r="Q3748" s="112" t="n">
        <v>0</v>
      </c>
      <c r="R3748" s="112" t="n">
        <v>2653.45</v>
      </c>
      <c r="S3748" s="112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D3749" t="inlineStr"/>
      <c r="E3749" t="inlineStr">
        <is>
          <t>LA</t>
        </is>
      </c>
      <c r="F3749" t="inlineStr"/>
      <c r="G3749" s="126" t="inlineStr"/>
      <c r="H3749" s="125" t="n">
        <v>46121</v>
      </c>
      <c r="I3749" t="inlineStr"/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N3749" t="inlineStr"/>
      <c r="O3749" t="inlineStr"/>
      <c r="P3749" t="inlineStr"/>
      <c r="Q3749" s="112" t="n">
        <v>0</v>
      </c>
      <c r="R3749" s="112" t="n">
        <v>2440.61</v>
      </c>
      <c r="S3749" s="112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D3750" t="inlineStr"/>
      <c r="E3750" t="inlineStr">
        <is>
          <t>LA</t>
        </is>
      </c>
      <c r="F3750" t="inlineStr"/>
      <c r="G3750" s="126" t="inlineStr"/>
      <c r="H3750" s="125" t="n">
        <v>46121</v>
      </c>
      <c r="I3750" t="inlineStr"/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N3750" t="inlineStr"/>
      <c r="O3750" t="inlineStr"/>
      <c r="P3750" t="inlineStr"/>
      <c r="Q3750" s="112" t="n">
        <v>0</v>
      </c>
      <c r="R3750" s="112" t="n">
        <v>393.43</v>
      </c>
      <c r="S3750" s="112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D3751" t="inlineStr"/>
      <c r="E3751" t="inlineStr">
        <is>
          <t>LA</t>
        </is>
      </c>
      <c r="F3751" t="inlineStr"/>
      <c r="G3751" s="126" t="inlineStr"/>
      <c r="H3751" s="125" t="n">
        <v>46128</v>
      </c>
      <c r="I3751" t="inlineStr"/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N3751" t="inlineStr"/>
      <c r="O3751" t="inlineStr"/>
      <c r="P3751" t="inlineStr"/>
      <c r="Q3751" s="112" t="n">
        <v>0</v>
      </c>
      <c r="R3751" s="112" t="n">
        <v>4084.97</v>
      </c>
      <c r="S3751" s="112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D3752" t="inlineStr"/>
      <c r="E3752" t="inlineStr">
        <is>
          <t>LA</t>
        </is>
      </c>
      <c r="F3752" t="inlineStr"/>
      <c r="G3752" s="126" t="inlineStr"/>
      <c r="H3752" s="125" t="n">
        <v>46128</v>
      </c>
      <c r="I3752" t="inlineStr"/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N3752" t="inlineStr"/>
      <c r="O3752" t="inlineStr"/>
      <c r="P3752" t="inlineStr"/>
      <c r="Q3752" s="112" t="n">
        <v>0</v>
      </c>
      <c r="R3752" s="112" t="n">
        <v>4301.13</v>
      </c>
      <c r="S3752" s="112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D3753" t="inlineStr"/>
      <c r="E3753" t="inlineStr">
        <is>
          <t>LA</t>
        </is>
      </c>
      <c r="F3753" t="inlineStr"/>
      <c r="G3753" s="126" t="inlineStr"/>
      <c r="H3753" s="125" t="n">
        <v>46128</v>
      </c>
      <c r="I3753" t="inlineStr"/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N3753" t="inlineStr"/>
      <c r="O3753" t="inlineStr"/>
      <c r="P3753" t="inlineStr"/>
      <c r="Q3753" s="112" t="n">
        <v>0</v>
      </c>
      <c r="R3753" s="112" t="n">
        <v>4227.72</v>
      </c>
      <c r="S3753" s="112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D3754" t="inlineStr"/>
      <c r="E3754" t="inlineStr">
        <is>
          <t>LA</t>
        </is>
      </c>
      <c r="F3754" t="inlineStr"/>
      <c r="G3754" s="126" t="inlineStr"/>
      <c r="H3754" s="125" t="n">
        <v>46128</v>
      </c>
      <c r="I3754" t="inlineStr"/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N3754" t="inlineStr"/>
      <c r="O3754" t="inlineStr"/>
      <c r="P3754" t="inlineStr"/>
      <c r="Q3754" s="112" t="n">
        <v>0</v>
      </c>
      <c r="R3754" s="112" t="n">
        <v>3284.27</v>
      </c>
      <c r="S3754" s="112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D3755" t="inlineStr"/>
      <c r="E3755" t="inlineStr">
        <is>
          <t>LA</t>
        </is>
      </c>
      <c r="F3755" t="inlineStr"/>
      <c r="G3755" s="126" t="inlineStr"/>
      <c r="H3755" s="125" t="n">
        <v>46128</v>
      </c>
      <c r="I3755" t="inlineStr"/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N3755" t="inlineStr"/>
      <c r="O3755" t="inlineStr"/>
      <c r="P3755" t="inlineStr"/>
      <c r="Q3755" s="112" t="n">
        <v>0</v>
      </c>
      <c r="R3755" s="112" t="n">
        <v>3293.91</v>
      </c>
      <c r="S3755" s="112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D3756" t="inlineStr"/>
      <c r="E3756" t="inlineStr">
        <is>
          <t>LA</t>
        </is>
      </c>
      <c r="F3756" t="inlineStr"/>
      <c r="G3756" s="126" t="inlineStr"/>
      <c r="H3756" s="125" t="n">
        <v>46128</v>
      </c>
      <c r="I3756" t="inlineStr"/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N3756" t="inlineStr"/>
      <c r="O3756" t="inlineStr"/>
      <c r="P3756" t="inlineStr"/>
      <c r="Q3756" s="112" t="n">
        <v>0</v>
      </c>
      <c r="R3756" s="112" t="n">
        <v>498.25</v>
      </c>
      <c r="S3756" s="112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D3757" t="inlineStr"/>
      <c r="E3757" t="inlineStr">
        <is>
          <t>LA</t>
        </is>
      </c>
      <c r="F3757" t="inlineStr"/>
      <c r="G3757" s="126" t="inlineStr"/>
      <c r="H3757" s="125" t="n">
        <v>46135</v>
      </c>
      <c r="I3757" t="inlineStr"/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N3757" t="inlineStr"/>
      <c r="O3757" t="inlineStr"/>
      <c r="P3757" t="inlineStr"/>
      <c r="Q3757" s="112" t="n">
        <v>0</v>
      </c>
      <c r="R3757" s="112" t="n">
        <v>3364.97</v>
      </c>
      <c r="S3757" s="112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D3758" t="inlineStr"/>
      <c r="E3758" t="inlineStr">
        <is>
          <t>LA</t>
        </is>
      </c>
      <c r="F3758" t="inlineStr"/>
      <c r="G3758" s="126" t="inlineStr"/>
      <c r="H3758" s="125" t="n">
        <v>46135</v>
      </c>
      <c r="I3758" t="inlineStr"/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N3758" t="inlineStr"/>
      <c r="O3758" t="inlineStr"/>
      <c r="P3758" t="inlineStr"/>
      <c r="Q3758" s="112" t="n">
        <v>0</v>
      </c>
      <c r="R3758" s="112" t="n">
        <v>2782.34</v>
      </c>
      <c r="S3758" s="112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D3759" t="inlineStr"/>
      <c r="E3759" t="inlineStr">
        <is>
          <t>LA</t>
        </is>
      </c>
      <c r="F3759" t="inlineStr"/>
      <c r="G3759" s="126" t="inlineStr"/>
      <c r="H3759" s="125" t="n">
        <v>46135</v>
      </c>
      <c r="I3759" t="inlineStr"/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N3759" t="inlineStr"/>
      <c r="O3759" t="inlineStr"/>
      <c r="P3759" t="inlineStr"/>
      <c r="Q3759" s="112" t="n">
        <v>0</v>
      </c>
      <c r="R3759" s="112" t="n">
        <v>2601.26</v>
      </c>
      <c r="S3759" s="112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D3760" t="inlineStr"/>
      <c r="E3760" t="inlineStr">
        <is>
          <t>LA</t>
        </is>
      </c>
      <c r="F3760" t="inlineStr"/>
      <c r="G3760" s="126" t="inlineStr"/>
      <c r="H3760" s="125" t="n">
        <v>46135</v>
      </c>
      <c r="I3760" t="inlineStr"/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N3760" t="inlineStr"/>
      <c r="O3760" t="inlineStr"/>
      <c r="P3760" t="inlineStr"/>
      <c r="Q3760" s="112" t="n">
        <v>0</v>
      </c>
      <c r="R3760" s="112" t="n">
        <v>1692.49</v>
      </c>
      <c r="S3760" s="112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D3761" t="inlineStr"/>
      <c r="E3761" t="inlineStr">
        <is>
          <t>LA</t>
        </is>
      </c>
      <c r="F3761" t="inlineStr"/>
      <c r="G3761" s="126" t="inlineStr"/>
      <c r="H3761" s="125" t="n">
        <v>46135</v>
      </c>
      <c r="I3761" t="inlineStr"/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N3761" t="inlineStr"/>
      <c r="O3761" t="inlineStr"/>
      <c r="P3761" t="inlineStr"/>
      <c r="Q3761" s="112" t="n">
        <v>0</v>
      </c>
      <c r="R3761" s="112" t="n">
        <v>268.08</v>
      </c>
      <c r="S3761" s="112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D3762" t="inlineStr"/>
      <c r="E3762" t="inlineStr">
        <is>
          <t>LA</t>
        </is>
      </c>
      <c r="F3762" t="inlineStr"/>
      <c r="G3762" s="126" t="inlineStr"/>
      <c r="H3762" s="125" t="n">
        <v>46142</v>
      </c>
      <c r="I3762" t="inlineStr"/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N3762" t="inlineStr"/>
      <c r="O3762" t="inlineStr"/>
      <c r="P3762" t="inlineStr"/>
      <c r="Q3762" s="112" t="n">
        <v>0</v>
      </c>
      <c r="R3762" s="112" t="n">
        <v>3545.75</v>
      </c>
      <c r="S3762" s="112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D3763" t="inlineStr"/>
      <c r="E3763" t="inlineStr">
        <is>
          <t>LA</t>
        </is>
      </c>
      <c r="F3763" t="inlineStr"/>
      <c r="G3763" s="126" t="inlineStr"/>
      <c r="H3763" s="125" t="n">
        <v>46142</v>
      </c>
      <c r="I3763" t="inlineStr"/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N3763" t="inlineStr"/>
      <c r="O3763" t="inlineStr"/>
      <c r="P3763" t="inlineStr"/>
      <c r="Q3763" s="112" t="n">
        <v>0</v>
      </c>
      <c r="R3763" s="112" t="n">
        <v>3613.02</v>
      </c>
      <c r="S3763" s="112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D3764" t="inlineStr"/>
      <c r="E3764" t="inlineStr">
        <is>
          <t>LA</t>
        </is>
      </c>
      <c r="F3764" t="inlineStr"/>
      <c r="G3764" s="126" t="inlineStr"/>
      <c r="H3764" s="125" t="n">
        <v>46142</v>
      </c>
      <c r="I3764" t="inlineStr"/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N3764" t="inlineStr"/>
      <c r="O3764" t="inlineStr"/>
      <c r="P3764" t="inlineStr"/>
      <c r="Q3764" s="112" t="n">
        <v>0</v>
      </c>
      <c r="R3764" s="112" t="n">
        <v>3100.42</v>
      </c>
      <c r="S3764" s="112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D3765" t="inlineStr"/>
      <c r="E3765" t="inlineStr">
        <is>
          <t>LA</t>
        </is>
      </c>
      <c r="F3765" t="inlineStr"/>
      <c r="G3765" s="126" t="inlineStr"/>
      <c r="H3765" s="125" t="n">
        <v>46142</v>
      </c>
      <c r="I3765" t="inlineStr"/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N3765" t="inlineStr"/>
      <c r="O3765" t="inlineStr"/>
      <c r="P3765" t="inlineStr"/>
      <c r="Q3765" s="112" t="n">
        <v>0</v>
      </c>
      <c r="R3765" s="112" t="n">
        <v>2001.88</v>
      </c>
      <c r="S3765" s="112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D3766" t="inlineStr"/>
      <c r="E3766" t="inlineStr">
        <is>
          <t>LA</t>
        </is>
      </c>
      <c r="F3766" t="inlineStr"/>
      <c r="G3766" s="126" t="inlineStr"/>
      <c r="H3766" s="125" t="n">
        <v>46142</v>
      </c>
      <c r="I3766" t="inlineStr"/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N3766" t="inlineStr"/>
      <c r="O3766" t="inlineStr"/>
      <c r="P3766" t="inlineStr"/>
      <c r="Q3766" s="112" t="n">
        <v>0</v>
      </c>
      <c r="R3766" s="112" t="n">
        <v>3117.31</v>
      </c>
      <c r="S3766" s="112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D3767" t="inlineStr"/>
      <c r="E3767" t="inlineStr">
        <is>
          <t>LA</t>
        </is>
      </c>
      <c r="F3767" t="inlineStr"/>
      <c r="G3767" s="126" t="inlineStr"/>
      <c r="H3767" s="125" t="n">
        <v>46149</v>
      </c>
      <c r="I3767" t="inlineStr"/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N3767" t="inlineStr"/>
      <c r="O3767" t="inlineStr"/>
      <c r="P3767" t="inlineStr"/>
      <c r="Q3767" s="112" t="n">
        <v>0</v>
      </c>
      <c r="R3767" s="112" t="n">
        <v>3276.71</v>
      </c>
      <c r="S3767" s="112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D3768" t="inlineStr"/>
      <c r="E3768" t="inlineStr">
        <is>
          <t>LA</t>
        </is>
      </c>
      <c r="F3768" t="inlineStr"/>
      <c r="G3768" s="126" t="inlineStr"/>
      <c r="H3768" s="125" t="n">
        <v>46149</v>
      </c>
      <c r="I3768" t="inlineStr"/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N3768" t="inlineStr"/>
      <c r="O3768" t="inlineStr"/>
      <c r="P3768" t="inlineStr"/>
      <c r="Q3768" s="112" t="n">
        <v>0</v>
      </c>
      <c r="R3768" s="112" t="n">
        <v>3276.67</v>
      </c>
      <c r="S3768" s="112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D3769" t="inlineStr"/>
      <c r="E3769" t="inlineStr">
        <is>
          <t>LA</t>
        </is>
      </c>
      <c r="F3769" t="inlineStr"/>
      <c r="G3769" s="126" t="inlineStr"/>
      <c r="H3769" s="125" t="n">
        <v>46149</v>
      </c>
      <c r="I3769" t="inlineStr"/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N3769" t="inlineStr"/>
      <c r="O3769" t="inlineStr"/>
      <c r="P3769" t="inlineStr"/>
      <c r="Q3769" s="112" t="n">
        <v>0</v>
      </c>
      <c r="R3769" s="112" t="n">
        <v>2378.98</v>
      </c>
      <c r="S3769" s="112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D3770" t="inlineStr"/>
      <c r="E3770" t="inlineStr">
        <is>
          <t>LA</t>
        </is>
      </c>
      <c r="F3770" t="inlineStr"/>
      <c r="G3770" s="126" t="inlineStr"/>
      <c r="H3770" s="125" t="n">
        <v>46149</v>
      </c>
      <c r="I3770" t="inlineStr"/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N3770" t="inlineStr"/>
      <c r="O3770" t="inlineStr"/>
      <c r="P3770" t="inlineStr"/>
      <c r="Q3770" s="112" t="n">
        <v>0</v>
      </c>
      <c r="R3770" s="112" t="n">
        <v>2131.07</v>
      </c>
      <c r="S3770" s="112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D3771" t="inlineStr"/>
      <c r="E3771" t="inlineStr">
        <is>
          <t>LA</t>
        </is>
      </c>
      <c r="F3771" t="inlineStr"/>
      <c r="G3771" s="126" t="inlineStr"/>
      <c r="H3771" s="125" t="n">
        <v>46156</v>
      </c>
      <c r="I3771" t="inlineStr"/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N3771" t="inlineStr"/>
      <c r="O3771" t="inlineStr"/>
      <c r="P3771" t="inlineStr"/>
      <c r="Q3771" s="112" t="n">
        <v>0</v>
      </c>
      <c r="R3771" s="112" t="n">
        <v>2238.7</v>
      </c>
      <c r="S3771" s="112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D3772" t="inlineStr"/>
      <c r="E3772" t="inlineStr">
        <is>
          <t>LA</t>
        </is>
      </c>
      <c r="F3772" t="inlineStr"/>
      <c r="G3772" s="126" t="inlineStr"/>
      <c r="H3772" s="125" t="n">
        <v>46156</v>
      </c>
      <c r="I3772" t="inlineStr"/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N3772" t="inlineStr"/>
      <c r="O3772" t="inlineStr"/>
      <c r="P3772" t="inlineStr"/>
      <c r="Q3772" s="112" t="n">
        <v>0</v>
      </c>
      <c r="R3772" s="112" t="n">
        <v>2993.94</v>
      </c>
      <c r="S3772" s="112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D3773" t="inlineStr"/>
      <c r="E3773" t="inlineStr">
        <is>
          <t>LA</t>
        </is>
      </c>
      <c r="F3773" t="inlineStr"/>
      <c r="G3773" s="126" t="inlineStr"/>
      <c r="H3773" s="125" t="n">
        <v>46156</v>
      </c>
      <c r="I3773" t="inlineStr"/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N3773" t="inlineStr"/>
      <c r="O3773" t="inlineStr"/>
      <c r="P3773" t="inlineStr"/>
      <c r="Q3773" s="112" t="n">
        <v>0</v>
      </c>
      <c r="R3773" s="112" t="n">
        <v>2813.01</v>
      </c>
      <c r="S3773" s="112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D3774" t="inlineStr"/>
      <c r="E3774" t="inlineStr">
        <is>
          <t>LA</t>
        </is>
      </c>
      <c r="F3774" t="inlineStr"/>
      <c r="G3774" s="126" t="inlineStr"/>
      <c r="H3774" s="125" t="n">
        <v>46156</v>
      </c>
      <c r="I3774" t="inlineStr"/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N3774" t="inlineStr"/>
      <c r="O3774" t="inlineStr"/>
      <c r="P3774" t="inlineStr"/>
      <c r="Q3774" s="112" t="n">
        <v>0</v>
      </c>
      <c r="R3774" s="112" t="n">
        <v>2380.95</v>
      </c>
      <c r="S3774" s="112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D3775" t="inlineStr"/>
      <c r="E3775" t="inlineStr">
        <is>
          <t>LA</t>
        </is>
      </c>
      <c r="F3775" t="inlineStr"/>
      <c r="G3775" s="126" t="inlineStr"/>
      <c r="H3775" s="125" t="n">
        <v>46156</v>
      </c>
      <c r="I3775" t="inlineStr"/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N3775" t="inlineStr"/>
      <c r="O3775" t="inlineStr"/>
      <c r="P3775" t="inlineStr"/>
      <c r="Q3775" s="112" t="n">
        <v>0</v>
      </c>
      <c r="R3775" s="112" t="n">
        <v>2005.6</v>
      </c>
      <c r="S3775" s="112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26" t="n">
        <v>46140</v>
      </c>
      <c r="H3776" s="125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12" t="n">
        <v>0</v>
      </c>
      <c r="R3776" s="112" t="n">
        <v>0</v>
      </c>
      <c r="S3776" s="112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26" t="n">
        <v>46140</v>
      </c>
      <c r="H3777" s="125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12" t="n">
        <v>0</v>
      </c>
      <c r="R3777" s="112" t="n">
        <v>0</v>
      </c>
      <c r="S3777" s="112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26" t="n">
        <v>46140</v>
      </c>
      <c r="H3778" s="125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12" t="n">
        <v>0</v>
      </c>
      <c r="R3778" s="112" t="n">
        <v>0</v>
      </c>
      <c r="S3778" s="112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D3779" t="inlineStr"/>
      <c r="E3779" t="inlineStr">
        <is>
          <t>OC</t>
        </is>
      </c>
      <c r="F3779" t="inlineStr"/>
      <c r="G3779" s="126" t="inlineStr"/>
      <c r="H3779" s="125" t="n">
        <v>46147</v>
      </c>
      <c r="I3779" t="inlineStr"/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N3779" t="inlineStr"/>
      <c r="O3779" t="inlineStr">
        <is>
          <t>12561</t>
        </is>
      </c>
      <c r="P3779" t="inlineStr">
        <is>
          <t>CROSS COUNTRY INFRASTRUCTURE SERVICES INC.</t>
        </is>
      </c>
      <c r="Q3779" s="112" t="n">
        <v>0</v>
      </c>
      <c r="R3779" s="112" t="n">
        <v>48956.07</v>
      </c>
      <c r="S3779" s="112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D3780" t="inlineStr"/>
      <c r="E3780" t="inlineStr">
        <is>
          <t>EQ</t>
        </is>
      </c>
      <c r="F3780" t="inlineStr"/>
      <c r="G3780" s="126" t="inlineStr"/>
      <c r="H3780" s="125" t="n">
        <v>46152</v>
      </c>
      <c r="I3780" t="inlineStr"/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N3780" t="inlineStr"/>
      <c r="O3780" t="inlineStr">
        <is>
          <t>RT1385</t>
        </is>
      </c>
      <c r="P3780" t="inlineStr"/>
      <c r="Q3780" s="112" t="n">
        <v>0</v>
      </c>
      <c r="R3780" s="112" t="n">
        <v>79.14</v>
      </c>
      <c r="S3780" s="112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D3781" t="inlineStr"/>
      <c r="E3781" t="inlineStr">
        <is>
          <t>EQ</t>
        </is>
      </c>
      <c r="F3781" t="inlineStr"/>
      <c r="G3781" s="126" t="inlineStr"/>
      <c r="H3781" s="125" t="n">
        <v>46152</v>
      </c>
      <c r="I3781" t="inlineStr"/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N3781" t="inlineStr"/>
      <c r="O3781" t="inlineStr">
        <is>
          <t>RT1385</t>
        </is>
      </c>
      <c r="P3781" t="inlineStr"/>
      <c r="Q3781" s="112" t="n">
        <v>0</v>
      </c>
      <c r="R3781" s="112" t="n">
        <v>79.14</v>
      </c>
      <c r="S3781" s="112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D3782" t="inlineStr"/>
      <c r="E3782" t="inlineStr">
        <is>
          <t>EQ</t>
        </is>
      </c>
      <c r="F3782" t="inlineStr"/>
      <c r="G3782" s="126" t="inlineStr"/>
      <c r="H3782" s="125" t="n">
        <v>46152</v>
      </c>
      <c r="I3782" t="inlineStr"/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N3782" t="inlineStr"/>
      <c r="O3782" t="inlineStr">
        <is>
          <t>RT1385</t>
        </is>
      </c>
      <c r="P3782" t="inlineStr"/>
      <c r="Q3782" s="112" t="n">
        <v>0</v>
      </c>
      <c r="R3782" s="112" t="n">
        <v>79.14</v>
      </c>
      <c r="S3782" s="112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D3783" t="inlineStr"/>
      <c r="E3783" t="inlineStr">
        <is>
          <t>EQ</t>
        </is>
      </c>
      <c r="F3783" t="inlineStr"/>
      <c r="G3783" s="126" t="inlineStr"/>
      <c r="H3783" s="125" t="n">
        <v>46152</v>
      </c>
      <c r="I3783" t="inlineStr"/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N3783" t="inlineStr"/>
      <c r="O3783" t="inlineStr">
        <is>
          <t>RT1385</t>
        </is>
      </c>
      <c r="P3783" t="inlineStr"/>
      <c r="Q3783" s="112" t="n">
        <v>0</v>
      </c>
      <c r="R3783" s="112" t="n">
        <v>79.14</v>
      </c>
      <c r="S3783" s="112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D3784" t="inlineStr"/>
      <c r="E3784" t="inlineStr">
        <is>
          <t>EQ</t>
        </is>
      </c>
      <c r="F3784" t="inlineStr"/>
      <c r="G3784" s="126" t="inlineStr"/>
      <c r="H3784" s="125" t="n">
        <v>46159</v>
      </c>
      <c r="I3784" t="inlineStr"/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N3784" t="inlineStr"/>
      <c r="O3784" t="inlineStr">
        <is>
          <t>RT1385</t>
        </is>
      </c>
      <c r="P3784" t="inlineStr"/>
      <c r="Q3784" s="112" t="n">
        <v>0</v>
      </c>
      <c r="R3784" s="112" t="n">
        <v>79.14</v>
      </c>
      <c r="S3784" s="112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D3785" t="inlineStr"/>
      <c r="E3785" t="inlineStr">
        <is>
          <t>EQ</t>
        </is>
      </c>
      <c r="F3785" t="inlineStr"/>
      <c r="G3785" s="126" t="inlineStr"/>
      <c r="H3785" s="125" t="n">
        <v>46166</v>
      </c>
      <c r="I3785" t="inlineStr"/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N3785" t="inlineStr"/>
      <c r="O3785" t="inlineStr">
        <is>
          <t>TR428</t>
        </is>
      </c>
      <c r="P3785" t="inlineStr"/>
      <c r="Q3785" s="112" t="n">
        <v>0</v>
      </c>
      <c r="R3785" s="112" t="n">
        <v>15</v>
      </c>
      <c r="S3785" s="112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D3786" t="inlineStr"/>
      <c r="E3786" t="inlineStr">
        <is>
          <t>EQ</t>
        </is>
      </c>
      <c r="F3786" t="inlineStr"/>
      <c r="G3786" s="126" t="inlineStr"/>
      <c r="H3786" s="125" t="n">
        <v>46159</v>
      </c>
      <c r="I3786" t="inlineStr"/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N3786" t="inlineStr"/>
      <c r="O3786" t="inlineStr">
        <is>
          <t>RT1385</t>
        </is>
      </c>
      <c r="P3786" t="inlineStr"/>
      <c r="Q3786" s="112" t="n">
        <v>0</v>
      </c>
      <c r="R3786" s="112" t="n">
        <v>79.14</v>
      </c>
      <c r="S3786" s="112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D3787" t="inlineStr"/>
      <c r="E3787" t="inlineStr">
        <is>
          <t>EQ</t>
        </is>
      </c>
      <c r="F3787" t="inlineStr"/>
      <c r="G3787" s="126" t="inlineStr"/>
      <c r="H3787" s="125" t="n">
        <v>46159</v>
      </c>
      <c r="I3787" t="inlineStr"/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N3787" t="inlineStr"/>
      <c r="O3787" t="inlineStr">
        <is>
          <t>RT1385</t>
        </is>
      </c>
      <c r="P3787" t="inlineStr"/>
      <c r="Q3787" s="112" t="n">
        <v>0</v>
      </c>
      <c r="R3787" s="112" t="n">
        <v>79.14</v>
      </c>
      <c r="S3787" s="112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D3788" t="inlineStr"/>
      <c r="E3788" t="inlineStr">
        <is>
          <t>EQ</t>
        </is>
      </c>
      <c r="F3788" t="inlineStr"/>
      <c r="G3788" s="126" t="inlineStr"/>
      <c r="H3788" s="125" t="n">
        <v>46159</v>
      </c>
      <c r="I3788" t="inlineStr"/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N3788" t="inlineStr"/>
      <c r="O3788" t="inlineStr">
        <is>
          <t>RT1385</t>
        </is>
      </c>
      <c r="P3788" t="inlineStr"/>
      <c r="Q3788" s="112" t="n">
        <v>0</v>
      </c>
      <c r="R3788" s="112" t="n">
        <v>79.14</v>
      </c>
      <c r="S3788" s="112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D3789" t="inlineStr"/>
      <c r="E3789" t="inlineStr">
        <is>
          <t>EQ</t>
        </is>
      </c>
      <c r="F3789" t="inlineStr"/>
      <c r="G3789" s="126" t="inlineStr"/>
      <c r="H3789" s="125" t="n">
        <v>46159</v>
      </c>
      <c r="I3789" t="inlineStr"/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N3789" t="inlineStr"/>
      <c r="O3789" t="inlineStr">
        <is>
          <t>RT1385</t>
        </is>
      </c>
      <c r="P3789" t="inlineStr"/>
      <c r="Q3789" s="112" t="n">
        <v>0</v>
      </c>
      <c r="R3789" s="112" t="n">
        <v>79.14</v>
      </c>
      <c r="S3789" s="112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D3790" t="inlineStr"/>
      <c r="E3790" t="inlineStr">
        <is>
          <t>EQ</t>
        </is>
      </c>
      <c r="F3790" t="inlineStr"/>
      <c r="G3790" s="126" t="inlineStr"/>
      <c r="H3790" s="125" t="n">
        <v>46166</v>
      </c>
      <c r="I3790" t="inlineStr"/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N3790" t="inlineStr"/>
      <c r="O3790" t="inlineStr">
        <is>
          <t>WLD146</t>
        </is>
      </c>
      <c r="P3790" t="inlineStr"/>
      <c r="Q3790" s="112" t="n">
        <v>0</v>
      </c>
      <c r="R3790" s="112" t="n">
        <v>50</v>
      </c>
      <c r="S3790" s="112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D3791" t="inlineStr"/>
      <c r="E3791" t="inlineStr">
        <is>
          <t>EQ</t>
        </is>
      </c>
      <c r="F3791" t="inlineStr"/>
      <c r="G3791" s="126" t="inlineStr"/>
      <c r="H3791" s="125" t="n">
        <v>46166</v>
      </c>
      <c r="I3791" t="inlineStr"/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N3791" t="inlineStr"/>
      <c r="O3791" t="inlineStr">
        <is>
          <t>WLD146</t>
        </is>
      </c>
      <c r="P3791" t="inlineStr"/>
      <c r="Q3791" s="112" t="n">
        <v>0</v>
      </c>
      <c r="R3791" s="112" t="n">
        <v>50</v>
      </c>
      <c r="S3791" s="112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D3792" t="inlineStr"/>
      <c r="E3792" t="inlineStr">
        <is>
          <t>EQ</t>
        </is>
      </c>
      <c r="F3792" t="inlineStr"/>
      <c r="G3792" s="126" t="inlineStr"/>
      <c r="H3792" s="125" t="n">
        <v>46166</v>
      </c>
      <c r="I3792" t="inlineStr"/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N3792" t="inlineStr"/>
      <c r="O3792" t="inlineStr">
        <is>
          <t>WLD146</t>
        </is>
      </c>
      <c r="P3792" t="inlineStr"/>
      <c r="Q3792" s="112" t="n">
        <v>0</v>
      </c>
      <c r="R3792" s="112" t="n">
        <v>50</v>
      </c>
      <c r="S3792" s="112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D3793" t="inlineStr"/>
      <c r="E3793" t="inlineStr">
        <is>
          <t>EQ</t>
        </is>
      </c>
      <c r="F3793" t="inlineStr"/>
      <c r="G3793" s="126" t="inlineStr"/>
      <c r="H3793" s="125" t="n">
        <v>46166</v>
      </c>
      <c r="I3793" t="inlineStr"/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N3793" t="inlineStr"/>
      <c r="O3793" t="inlineStr">
        <is>
          <t>SSAUGKIT1</t>
        </is>
      </c>
      <c r="P3793" t="inlineStr"/>
      <c r="Q3793" s="112" t="n">
        <v>0</v>
      </c>
      <c r="R3793" s="112" t="n">
        <v>35</v>
      </c>
      <c r="S3793" s="112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D3794" t="inlineStr"/>
      <c r="E3794" t="inlineStr">
        <is>
          <t>EQ</t>
        </is>
      </c>
      <c r="F3794" t="inlineStr"/>
      <c r="G3794" s="126" t="inlineStr"/>
      <c r="H3794" s="125" t="n">
        <v>46166</v>
      </c>
      <c r="I3794" t="inlineStr"/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N3794" t="inlineStr"/>
      <c r="O3794" t="inlineStr">
        <is>
          <t>SSAUGKIT1</t>
        </is>
      </c>
      <c r="P3794" t="inlineStr"/>
      <c r="Q3794" s="112" t="n">
        <v>0</v>
      </c>
      <c r="R3794" s="112" t="n">
        <v>35</v>
      </c>
      <c r="S3794" s="112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D3795" t="inlineStr"/>
      <c r="E3795" t="inlineStr">
        <is>
          <t>EQ</t>
        </is>
      </c>
      <c r="F3795" t="inlineStr"/>
      <c r="G3795" s="126" t="inlineStr"/>
      <c r="H3795" s="125" t="n">
        <v>46166</v>
      </c>
      <c r="I3795" t="inlineStr"/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N3795" t="inlineStr"/>
      <c r="O3795" t="inlineStr">
        <is>
          <t>SSAUGKIT1</t>
        </is>
      </c>
      <c r="P3795" t="inlineStr"/>
      <c r="Q3795" s="112" t="n">
        <v>0</v>
      </c>
      <c r="R3795" s="112" t="n">
        <v>35</v>
      </c>
      <c r="S3795" s="112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D3796" t="inlineStr"/>
      <c r="E3796" t="inlineStr">
        <is>
          <t>EQ</t>
        </is>
      </c>
      <c r="F3796" t="inlineStr"/>
      <c r="G3796" s="126" t="inlineStr"/>
      <c r="H3796" s="125" t="n">
        <v>46166</v>
      </c>
      <c r="I3796" t="inlineStr"/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N3796" t="inlineStr"/>
      <c r="O3796" t="inlineStr">
        <is>
          <t>TR428</t>
        </is>
      </c>
      <c r="P3796" t="inlineStr"/>
      <c r="Q3796" s="112" t="n">
        <v>0</v>
      </c>
      <c r="R3796" s="112" t="n">
        <v>15</v>
      </c>
      <c r="S3796" s="112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D3797" t="inlineStr"/>
      <c r="E3797" t="inlineStr">
        <is>
          <t>EQ</t>
        </is>
      </c>
      <c r="F3797" t="inlineStr"/>
      <c r="G3797" s="126" t="inlineStr"/>
      <c r="H3797" s="125" t="n">
        <v>46166</v>
      </c>
      <c r="I3797" t="inlineStr"/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N3797" t="inlineStr"/>
      <c r="O3797" t="inlineStr">
        <is>
          <t>TR428</t>
        </is>
      </c>
      <c r="P3797" t="inlineStr"/>
      <c r="Q3797" s="112" t="n">
        <v>0</v>
      </c>
      <c r="R3797" s="112" t="n">
        <v>15</v>
      </c>
      <c r="S3797" s="112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D3798" t="inlineStr"/>
      <c r="E3798" t="inlineStr">
        <is>
          <t>ER</t>
        </is>
      </c>
      <c r="F3798" t="inlineStr"/>
      <c r="G3798" s="126" t="inlineStr"/>
      <c r="H3798" s="125" t="n">
        <v>46159</v>
      </c>
      <c r="I3798" t="inlineStr"/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N3798" t="inlineStr"/>
      <c r="O3798" t="inlineStr">
        <is>
          <t>RLD291</t>
        </is>
      </c>
      <c r="P3798" t="inlineStr"/>
      <c r="Q3798" s="112" t="n">
        <v>0</v>
      </c>
      <c r="R3798" s="112" t="n">
        <v>186.27</v>
      </c>
      <c r="S3798" s="112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D3799" t="inlineStr"/>
      <c r="E3799" t="inlineStr">
        <is>
          <t>ER</t>
        </is>
      </c>
      <c r="F3799" t="inlineStr"/>
      <c r="G3799" s="126" t="inlineStr"/>
      <c r="H3799" s="125" t="n">
        <v>46152</v>
      </c>
      <c r="I3799" t="inlineStr"/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N3799" t="inlineStr"/>
      <c r="O3799" t="inlineStr">
        <is>
          <t>RLD291</t>
        </is>
      </c>
      <c r="P3799" t="inlineStr"/>
      <c r="Q3799" s="112" t="n">
        <v>0</v>
      </c>
      <c r="R3799" s="112" t="n">
        <v>186.27</v>
      </c>
      <c r="S3799" s="112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D3800" t="inlineStr"/>
      <c r="E3800" t="inlineStr">
        <is>
          <t>ER</t>
        </is>
      </c>
      <c r="F3800" t="inlineStr"/>
      <c r="G3800" s="126" t="inlineStr"/>
      <c r="H3800" s="125" t="n">
        <v>46152</v>
      </c>
      <c r="I3800" t="inlineStr"/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N3800" t="inlineStr"/>
      <c r="O3800" t="inlineStr">
        <is>
          <t>RLD291</t>
        </is>
      </c>
      <c r="P3800" t="inlineStr"/>
      <c r="Q3800" s="112" t="n">
        <v>0</v>
      </c>
      <c r="R3800" s="112" t="n">
        <v>186.27</v>
      </c>
      <c r="S3800" s="112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D3801" t="inlineStr"/>
      <c r="E3801" t="inlineStr">
        <is>
          <t>ER</t>
        </is>
      </c>
      <c r="F3801" t="inlineStr"/>
      <c r="G3801" s="126" t="inlineStr"/>
      <c r="H3801" s="125" t="n">
        <v>46152</v>
      </c>
      <c r="I3801" t="inlineStr"/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N3801" t="inlineStr"/>
      <c r="O3801" t="inlineStr">
        <is>
          <t>RLD291</t>
        </is>
      </c>
      <c r="P3801" t="inlineStr"/>
      <c r="Q3801" s="112" t="n">
        <v>0</v>
      </c>
      <c r="R3801" s="112" t="n">
        <v>186.27</v>
      </c>
      <c r="S3801" s="112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D3802" t="inlineStr"/>
      <c r="E3802" t="inlineStr">
        <is>
          <t>ER</t>
        </is>
      </c>
      <c r="F3802" t="inlineStr"/>
      <c r="G3802" s="126" t="inlineStr"/>
      <c r="H3802" s="125" t="n">
        <v>46152</v>
      </c>
      <c r="I3802" t="inlineStr"/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N3802" t="inlineStr"/>
      <c r="O3802" t="inlineStr">
        <is>
          <t>RLD292</t>
        </is>
      </c>
      <c r="P3802" t="inlineStr"/>
      <c r="Q3802" s="112" t="n">
        <v>0</v>
      </c>
      <c r="R3802" s="112" t="n">
        <v>186.27</v>
      </c>
      <c r="S3802" s="112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D3803" t="inlineStr"/>
      <c r="E3803" t="inlineStr">
        <is>
          <t>ER</t>
        </is>
      </c>
      <c r="F3803" t="inlineStr"/>
      <c r="G3803" s="126" t="inlineStr"/>
      <c r="H3803" s="125" t="n">
        <v>46152</v>
      </c>
      <c r="I3803" t="inlineStr"/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N3803" t="inlineStr"/>
      <c r="O3803" t="inlineStr">
        <is>
          <t>RLD292</t>
        </is>
      </c>
      <c r="P3803" t="inlineStr"/>
      <c r="Q3803" s="112" t="n">
        <v>0</v>
      </c>
      <c r="R3803" s="112" t="n">
        <v>186.27</v>
      </c>
      <c r="S3803" s="112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D3804" t="inlineStr"/>
      <c r="E3804" t="inlineStr">
        <is>
          <t>ER</t>
        </is>
      </c>
      <c r="F3804" t="inlineStr"/>
      <c r="G3804" s="126" t="inlineStr"/>
      <c r="H3804" s="125" t="n">
        <v>46152</v>
      </c>
      <c r="I3804" t="inlineStr"/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N3804" t="inlineStr"/>
      <c r="O3804" t="inlineStr">
        <is>
          <t>RAT439</t>
        </is>
      </c>
      <c r="P3804" t="inlineStr"/>
      <c r="Q3804" s="112" t="n">
        <v>0</v>
      </c>
      <c r="R3804" s="112" t="n">
        <v>62.5</v>
      </c>
      <c r="S3804" s="112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D3805" t="inlineStr"/>
      <c r="E3805" t="inlineStr">
        <is>
          <t>ER</t>
        </is>
      </c>
      <c r="F3805" t="inlineStr"/>
      <c r="G3805" s="126" t="inlineStr"/>
      <c r="H3805" s="125" t="n">
        <v>46152</v>
      </c>
      <c r="I3805" t="inlineStr"/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N3805" t="inlineStr"/>
      <c r="O3805" t="inlineStr">
        <is>
          <t>RAT440</t>
        </is>
      </c>
      <c r="P3805" t="inlineStr"/>
      <c r="Q3805" s="112" t="n">
        <v>0</v>
      </c>
      <c r="R3805" s="112" t="n">
        <v>62.5</v>
      </c>
      <c r="S3805" s="112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D3806" t="inlineStr"/>
      <c r="E3806" t="inlineStr">
        <is>
          <t>ER</t>
        </is>
      </c>
      <c r="F3806" t="inlineStr"/>
      <c r="G3806" s="126" t="inlineStr"/>
      <c r="H3806" s="125" t="n">
        <v>46152</v>
      </c>
      <c r="I3806" t="inlineStr"/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N3806" t="inlineStr"/>
      <c r="O3806" t="inlineStr">
        <is>
          <t>RMS2317</t>
        </is>
      </c>
      <c r="P3806" t="inlineStr"/>
      <c r="Q3806" s="112" t="n">
        <v>0</v>
      </c>
      <c r="R3806" s="112" t="n">
        <v>287.36</v>
      </c>
      <c r="S3806" s="112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D3807" t="inlineStr"/>
      <c r="E3807" t="inlineStr">
        <is>
          <t>ER</t>
        </is>
      </c>
      <c r="F3807" t="inlineStr"/>
      <c r="G3807" s="126" t="inlineStr"/>
      <c r="H3807" s="125" t="n">
        <v>46159</v>
      </c>
      <c r="I3807" t="inlineStr"/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N3807" t="inlineStr"/>
      <c r="O3807" t="inlineStr">
        <is>
          <t>RLD291</t>
        </is>
      </c>
      <c r="P3807" t="inlineStr"/>
      <c r="Q3807" s="112" t="n">
        <v>0</v>
      </c>
      <c r="R3807" s="112" t="n">
        <v>186.27</v>
      </c>
      <c r="S3807" s="112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D3808" t="inlineStr"/>
      <c r="E3808" t="inlineStr">
        <is>
          <t>ER</t>
        </is>
      </c>
      <c r="F3808" t="inlineStr"/>
      <c r="G3808" s="126" t="inlineStr"/>
      <c r="H3808" s="125" t="n">
        <v>46159</v>
      </c>
      <c r="I3808" t="inlineStr"/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N3808" t="inlineStr"/>
      <c r="O3808" t="inlineStr">
        <is>
          <t>RLD291</t>
        </is>
      </c>
      <c r="P3808" t="inlineStr"/>
      <c r="Q3808" s="112" t="n">
        <v>0</v>
      </c>
      <c r="R3808" s="112" t="n">
        <v>186.27</v>
      </c>
      <c r="S3808" s="112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D3809" t="inlineStr"/>
      <c r="E3809" t="inlineStr">
        <is>
          <t>ER</t>
        </is>
      </c>
      <c r="F3809" t="inlineStr"/>
      <c r="G3809" s="126" t="inlineStr"/>
      <c r="H3809" s="125" t="n">
        <v>46159</v>
      </c>
      <c r="I3809" t="inlineStr"/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N3809" t="inlineStr"/>
      <c r="O3809" t="inlineStr">
        <is>
          <t>RLD291</t>
        </is>
      </c>
      <c r="P3809" t="inlineStr"/>
      <c r="Q3809" s="112" t="n">
        <v>0</v>
      </c>
      <c r="R3809" s="112" t="n">
        <v>186.27</v>
      </c>
      <c r="S3809" s="112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D3810" t="inlineStr"/>
      <c r="E3810" t="inlineStr">
        <is>
          <t>ER</t>
        </is>
      </c>
      <c r="F3810" t="inlineStr"/>
      <c r="G3810" s="126" t="inlineStr"/>
      <c r="H3810" s="125" t="n">
        <v>46166</v>
      </c>
      <c r="I3810" t="inlineStr"/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N3810" t="inlineStr"/>
      <c r="O3810" t="inlineStr">
        <is>
          <t>RLD291</t>
        </is>
      </c>
      <c r="P3810" t="inlineStr"/>
      <c r="Q3810" s="112" t="n">
        <v>0</v>
      </c>
      <c r="R3810" s="112" t="n">
        <v>186.27</v>
      </c>
      <c r="S3810" s="112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D3811" t="inlineStr"/>
      <c r="E3811" t="inlineStr">
        <is>
          <t>ER</t>
        </is>
      </c>
      <c r="F3811" t="inlineStr"/>
      <c r="G3811" s="126" t="inlineStr"/>
      <c r="H3811" s="125" t="n">
        <v>46159</v>
      </c>
      <c r="I3811" t="inlineStr"/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N3811" t="inlineStr"/>
      <c r="O3811" t="inlineStr">
        <is>
          <t>RLD292</t>
        </is>
      </c>
      <c r="P3811" t="inlineStr"/>
      <c r="Q3811" s="112" t="n">
        <v>0</v>
      </c>
      <c r="R3811" s="112" t="n">
        <v>186.27</v>
      </c>
      <c r="S3811" s="112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D3812" t="inlineStr"/>
      <c r="E3812" t="inlineStr">
        <is>
          <t>ER</t>
        </is>
      </c>
      <c r="F3812" t="inlineStr"/>
      <c r="G3812" s="126" t="inlineStr"/>
      <c r="H3812" s="125" t="n">
        <v>46159</v>
      </c>
      <c r="I3812" t="inlineStr"/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N3812" t="inlineStr"/>
      <c r="O3812" t="inlineStr">
        <is>
          <t>RLD292</t>
        </is>
      </c>
      <c r="P3812" t="inlineStr"/>
      <c r="Q3812" s="112" t="n">
        <v>0</v>
      </c>
      <c r="R3812" s="112" t="n">
        <v>186.27</v>
      </c>
      <c r="S3812" s="112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D3813" t="inlineStr"/>
      <c r="E3813" t="inlineStr">
        <is>
          <t>ER</t>
        </is>
      </c>
      <c r="F3813" t="inlineStr"/>
      <c r="G3813" s="126" t="inlineStr"/>
      <c r="H3813" s="125" t="n">
        <v>46159</v>
      </c>
      <c r="I3813" t="inlineStr"/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N3813" t="inlineStr"/>
      <c r="O3813" t="inlineStr">
        <is>
          <t>RLD292</t>
        </is>
      </c>
      <c r="P3813" t="inlineStr"/>
      <c r="Q3813" s="112" t="n">
        <v>0</v>
      </c>
      <c r="R3813" s="112" t="n">
        <v>186.27</v>
      </c>
      <c r="S3813" s="112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D3814" t="inlineStr"/>
      <c r="E3814" t="inlineStr">
        <is>
          <t>ER</t>
        </is>
      </c>
      <c r="F3814" t="inlineStr"/>
      <c r="G3814" s="126" t="inlineStr"/>
      <c r="H3814" s="125" t="n">
        <v>46159</v>
      </c>
      <c r="I3814" t="inlineStr"/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N3814" t="inlineStr"/>
      <c r="O3814" t="inlineStr">
        <is>
          <t>RAT439</t>
        </is>
      </c>
      <c r="P3814" t="inlineStr"/>
      <c r="Q3814" s="112" t="n">
        <v>0</v>
      </c>
      <c r="R3814" s="112" t="n">
        <v>62.5</v>
      </c>
      <c r="S3814" s="112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D3815" t="inlineStr"/>
      <c r="E3815" t="inlineStr">
        <is>
          <t>ER</t>
        </is>
      </c>
      <c r="F3815" t="inlineStr"/>
      <c r="G3815" s="126" t="inlineStr"/>
      <c r="H3815" s="125" t="n">
        <v>46159</v>
      </c>
      <c r="I3815" t="inlineStr"/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N3815" t="inlineStr"/>
      <c r="O3815" t="inlineStr">
        <is>
          <t>RAT440</t>
        </is>
      </c>
      <c r="P3815" t="inlineStr"/>
      <c r="Q3815" s="112" t="n">
        <v>0</v>
      </c>
      <c r="R3815" s="112" t="n">
        <v>62.5</v>
      </c>
      <c r="S3815" s="112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D3816" t="inlineStr"/>
      <c r="E3816" t="inlineStr">
        <is>
          <t>ER</t>
        </is>
      </c>
      <c r="F3816" t="inlineStr"/>
      <c r="G3816" s="126" t="inlineStr"/>
      <c r="H3816" s="125" t="n">
        <v>46159</v>
      </c>
      <c r="I3816" t="inlineStr"/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N3816" t="inlineStr"/>
      <c r="O3816" t="inlineStr">
        <is>
          <t>RAT440</t>
        </is>
      </c>
      <c r="P3816" t="inlineStr"/>
      <c r="Q3816" s="112" t="n">
        <v>0</v>
      </c>
      <c r="R3816" s="112" t="n">
        <v>62.5</v>
      </c>
      <c r="S3816" s="112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D3817" t="inlineStr"/>
      <c r="E3817" t="inlineStr">
        <is>
          <t>ER</t>
        </is>
      </c>
      <c r="F3817" t="inlineStr"/>
      <c r="G3817" s="126" t="inlineStr"/>
      <c r="H3817" s="125" t="n">
        <v>46159</v>
      </c>
      <c r="I3817" t="inlineStr"/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N3817" t="inlineStr"/>
      <c r="O3817" t="inlineStr">
        <is>
          <t>RMS2317</t>
        </is>
      </c>
      <c r="P3817" t="inlineStr"/>
      <c r="Q3817" s="112" t="n">
        <v>0</v>
      </c>
      <c r="R3817" s="112" t="n">
        <v>287.36</v>
      </c>
      <c r="S3817" s="112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D3818" t="inlineStr"/>
      <c r="E3818" t="inlineStr">
        <is>
          <t>ER</t>
        </is>
      </c>
      <c r="F3818" t="inlineStr"/>
      <c r="G3818" s="126" t="inlineStr"/>
      <c r="H3818" s="125" t="n">
        <v>46166</v>
      </c>
      <c r="I3818" t="inlineStr"/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N3818" t="inlineStr"/>
      <c r="O3818" t="inlineStr">
        <is>
          <t>RLD291</t>
        </is>
      </c>
      <c r="P3818" t="inlineStr"/>
      <c r="Q3818" s="112" t="n">
        <v>0</v>
      </c>
      <c r="R3818" s="112" t="n">
        <v>186.27</v>
      </c>
      <c r="S3818" s="112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D3819" t="inlineStr"/>
      <c r="E3819" t="inlineStr">
        <is>
          <t>ER</t>
        </is>
      </c>
      <c r="F3819" t="inlineStr"/>
      <c r="G3819" s="126" t="inlineStr"/>
      <c r="H3819" s="125" t="n">
        <v>46166</v>
      </c>
      <c r="I3819" t="inlineStr"/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N3819" t="inlineStr"/>
      <c r="O3819" t="inlineStr">
        <is>
          <t>RLD292</t>
        </is>
      </c>
      <c r="P3819" t="inlineStr"/>
      <c r="Q3819" s="112" t="n">
        <v>0</v>
      </c>
      <c r="R3819" s="112" t="n">
        <v>186.27</v>
      </c>
      <c r="S3819" s="112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D3820" t="inlineStr"/>
      <c r="E3820" t="inlineStr">
        <is>
          <t>ER</t>
        </is>
      </c>
      <c r="F3820" t="inlineStr"/>
      <c r="G3820" s="126" t="inlineStr"/>
      <c r="H3820" s="125" t="n">
        <v>46166</v>
      </c>
      <c r="I3820" t="inlineStr"/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N3820" t="inlineStr"/>
      <c r="O3820" t="inlineStr">
        <is>
          <t>RAT439</t>
        </is>
      </c>
      <c r="P3820" t="inlineStr"/>
      <c r="Q3820" s="112" t="n">
        <v>0</v>
      </c>
      <c r="R3820" s="112" t="n">
        <v>62.5</v>
      </c>
      <c r="S3820" s="112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D3821" t="inlineStr"/>
      <c r="E3821" t="inlineStr">
        <is>
          <t>LA</t>
        </is>
      </c>
      <c r="F3821" t="inlineStr"/>
      <c r="G3821" s="126" t="inlineStr"/>
      <c r="H3821" s="125" t="n">
        <v>46149</v>
      </c>
      <c r="I3821" t="inlineStr"/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N3821" t="inlineStr"/>
      <c r="O3821" t="inlineStr"/>
      <c r="P3821" t="inlineStr"/>
      <c r="Q3821" s="112" t="n">
        <v>0</v>
      </c>
      <c r="R3821" s="112" t="n">
        <v>1592.14</v>
      </c>
      <c r="S3821" s="112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D3822" t="inlineStr"/>
      <c r="E3822" t="inlineStr">
        <is>
          <t>LA</t>
        </is>
      </c>
      <c r="F3822" t="inlineStr"/>
      <c r="G3822" s="126" t="inlineStr"/>
      <c r="H3822" s="125" t="n">
        <v>46149</v>
      </c>
      <c r="I3822" t="inlineStr"/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N3822" t="inlineStr"/>
      <c r="O3822" t="inlineStr"/>
      <c r="P3822" t="inlineStr"/>
      <c r="Q3822" s="112" t="n">
        <v>0</v>
      </c>
      <c r="R3822" s="112" t="n">
        <v>1128.59</v>
      </c>
      <c r="S3822" s="112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D3823" t="inlineStr"/>
      <c r="E3823" t="inlineStr">
        <is>
          <t>LA</t>
        </is>
      </c>
      <c r="F3823" t="inlineStr"/>
      <c r="G3823" s="126" t="inlineStr"/>
      <c r="H3823" s="125" t="n">
        <v>46149</v>
      </c>
      <c r="I3823" t="inlineStr"/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N3823" t="inlineStr"/>
      <c r="O3823" t="inlineStr"/>
      <c r="P3823" t="inlineStr"/>
      <c r="Q3823" s="112" t="n">
        <v>0</v>
      </c>
      <c r="R3823" s="112" t="n">
        <v>2427.61</v>
      </c>
      <c r="S3823" s="112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D3824" t="inlineStr"/>
      <c r="E3824" t="inlineStr">
        <is>
          <t>LA</t>
        </is>
      </c>
      <c r="F3824" t="inlineStr"/>
      <c r="G3824" s="126" t="inlineStr"/>
      <c r="H3824" s="125" t="n">
        <v>46149</v>
      </c>
      <c r="I3824" t="inlineStr"/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N3824" t="inlineStr"/>
      <c r="O3824" t="inlineStr"/>
      <c r="P3824" t="inlineStr"/>
      <c r="Q3824" s="112" t="n">
        <v>0</v>
      </c>
      <c r="R3824" s="112" t="n">
        <v>2427.57</v>
      </c>
      <c r="S3824" s="112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D3825" t="inlineStr"/>
      <c r="E3825" t="inlineStr">
        <is>
          <t>LA</t>
        </is>
      </c>
      <c r="F3825" t="inlineStr"/>
      <c r="G3825" s="126" t="inlineStr"/>
      <c r="H3825" s="125" t="n">
        <v>46149</v>
      </c>
      <c r="I3825" t="inlineStr"/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N3825" t="inlineStr"/>
      <c r="O3825" t="inlineStr"/>
      <c r="P3825" t="inlineStr"/>
      <c r="Q3825" s="112" t="n">
        <v>0</v>
      </c>
      <c r="R3825" s="112" t="n">
        <v>1616.76</v>
      </c>
      <c r="S3825" s="112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D3826" t="inlineStr"/>
      <c r="E3826" t="inlineStr">
        <is>
          <t>LA</t>
        </is>
      </c>
      <c r="F3826" t="inlineStr"/>
      <c r="G3826" s="126" t="inlineStr"/>
      <c r="H3826" s="125" t="n">
        <v>46149</v>
      </c>
      <c r="I3826" t="inlineStr"/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N3826" t="inlineStr"/>
      <c r="O3826" t="inlineStr"/>
      <c r="P3826" t="inlineStr"/>
      <c r="Q3826" s="112" t="n">
        <v>0</v>
      </c>
      <c r="R3826" s="112" t="n">
        <v>3208.9</v>
      </c>
      <c r="S3826" s="112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D3827" t="inlineStr"/>
      <c r="E3827" t="inlineStr">
        <is>
          <t>LA</t>
        </is>
      </c>
      <c r="F3827" t="inlineStr"/>
      <c r="G3827" s="126" t="inlineStr"/>
      <c r="H3827" s="125" t="n">
        <v>46149</v>
      </c>
      <c r="I3827" t="inlineStr"/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N3827" t="inlineStr"/>
      <c r="O3827" t="inlineStr"/>
      <c r="P3827" t="inlineStr"/>
      <c r="Q3827" s="112" t="n">
        <v>0</v>
      </c>
      <c r="R3827" s="112" t="n">
        <v>1592.12</v>
      </c>
      <c r="S3827" s="112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D3828" t="inlineStr"/>
      <c r="E3828" t="inlineStr">
        <is>
          <t>LA</t>
        </is>
      </c>
      <c r="F3828" t="inlineStr"/>
      <c r="G3828" s="126" t="inlineStr"/>
      <c r="H3828" s="125" t="n">
        <v>46156</v>
      </c>
      <c r="I3828" t="inlineStr"/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N3828" t="inlineStr"/>
      <c r="O3828" t="inlineStr"/>
      <c r="P3828" t="inlineStr"/>
      <c r="Q3828" s="112" t="n">
        <v>0</v>
      </c>
      <c r="R3828" s="112" t="n">
        <v>3661.7</v>
      </c>
      <c r="S3828" s="112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D3829" t="inlineStr"/>
      <c r="E3829" t="inlineStr">
        <is>
          <t>LA</t>
        </is>
      </c>
      <c r="F3829" t="inlineStr"/>
      <c r="G3829" s="126" t="inlineStr"/>
      <c r="H3829" s="125" t="n">
        <v>46156</v>
      </c>
      <c r="I3829" t="inlineStr"/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N3829" t="inlineStr"/>
      <c r="O3829" t="inlineStr"/>
      <c r="P3829" t="inlineStr"/>
      <c r="Q3829" s="112" t="n">
        <v>0</v>
      </c>
      <c r="R3829" s="112" t="n">
        <v>1689.37</v>
      </c>
      <c r="S3829" s="112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D3830" t="inlineStr"/>
      <c r="E3830" t="inlineStr">
        <is>
          <t>LA</t>
        </is>
      </c>
      <c r="F3830" t="inlineStr"/>
      <c r="G3830" s="126" t="inlineStr"/>
      <c r="H3830" s="125" t="n">
        <v>46156</v>
      </c>
      <c r="I3830" t="inlineStr"/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N3830" t="inlineStr"/>
      <c r="O3830" t="inlineStr"/>
      <c r="P3830" t="inlineStr"/>
      <c r="Q3830" s="112" t="n">
        <v>0</v>
      </c>
      <c r="R3830" s="112" t="n">
        <v>1850.66</v>
      </c>
      <c r="S3830" s="112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D3831" t="inlineStr"/>
      <c r="E3831" t="inlineStr">
        <is>
          <t>LA</t>
        </is>
      </c>
      <c r="F3831" t="inlineStr"/>
      <c r="G3831" s="126" t="inlineStr"/>
      <c r="H3831" s="125" t="n">
        <v>46156</v>
      </c>
      <c r="I3831" t="inlineStr"/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N3831" t="inlineStr"/>
      <c r="O3831" t="inlineStr"/>
      <c r="P3831" t="inlineStr"/>
      <c r="Q3831" s="112" t="n">
        <v>0</v>
      </c>
      <c r="R3831" s="112" t="n">
        <v>3510.95</v>
      </c>
      <c r="S3831" s="112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D3832" t="inlineStr"/>
      <c r="E3832" t="inlineStr">
        <is>
          <t>LA</t>
        </is>
      </c>
      <c r="F3832" t="inlineStr"/>
      <c r="G3832" s="126" t="inlineStr"/>
      <c r="H3832" s="125" t="n">
        <v>46156</v>
      </c>
      <c r="I3832" t="inlineStr"/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N3832" t="inlineStr"/>
      <c r="O3832" t="inlineStr"/>
      <c r="P3832" t="inlineStr"/>
      <c r="Q3832" s="112" t="n">
        <v>0</v>
      </c>
      <c r="R3832" s="112" t="n">
        <v>1245.74</v>
      </c>
      <c r="S3832" s="112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D3833" t="inlineStr"/>
      <c r="E3833" t="inlineStr">
        <is>
          <t>LA</t>
        </is>
      </c>
      <c r="F3833" t="inlineStr"/>
      <c r="G3833" s="126" t="inlineStr"/>
      <c r="H3833" s="125" t="n">
        <v>46156</v>
      </c>
      <c r="I3833" t="inlineStr"/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N3833" t="inlineStr"/>
      <c r="O3833" t="inlineStr"/>
      <c r="P3833" t="inlineStr"/>
      <c r="Q3833" s="112" t="n">
        <v>0</v>
      </c>
      <c r="R3833" s="112" t="n">
        <v>1245.74</v>
      </c>
      <c r="S3833" s="112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26" t="n">
        <v>46141</v>
      </c>
      <c r="H3834" s="125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12" t="n">
        <v>0</v>
      </c>
      <c r="R3834" s="112" t="n">
        <v>0</v>
      </c>
      <c r="S3834" s="112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26" t="n">
        <v>46140</v>
      </c>
      <c r="H3835" s="125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12" t="n">
        <v>0</v>
      </c>
      <c r="R3835" s="112" t="n">
        <v>0</v>
      </c>
      <c r="S3835" s="112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26" t="n">
        <v>46140</v>
      </c>
      <c r="H3836" s="125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12" t="n">
        <v>0</v>
      </c>
      <c r="R3836" s="112" t="n">
        <v>0</v>
      </c>
      <c r="S3836" s="112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26" t="n">
        <v>46140</v>
      </c>
      <c r="H3837" s="125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12" t="n">
        <v>0</v>
      </c>
      <c r="R3837" s="112" t="n">
        <v>0</v>
      </c>
      <c r="S3837" s="112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26" t="n">
        <v>46140</v>
      </c>
      <c r="H3838" s="125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12" t="n">
        <v>0</v>
      </c>
      <c r="R3838" s="112" t="n">
        <v>0</v>
      </c>
      <c r="S3838" s="112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26" t="n">
        <v>46140</v>
      </c>
      <c r="H3839" s="125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12" t="n">
        <v>0</v>
      </c>
      <c r="R3839" s="112" t="n">
        <v>0</v>
      </c>
      <c r="S3839" s="112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26" t="n">
        <v>46140</v>
      </c>
      <c r="H3840" s="125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12" t="n">
        <v>0</v>
      </c>
      <c r="R3840" s="112" t="n">
        <v>0</v>
      </c>
      <c r="S3840" s="112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26" t="n">
        <v>46140</v>
      </c>
      <c r="H3841" s="125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12" t="n">
        <v>0</v>
      </c>
      <c r="R3841" s="112" t="n">
        <v>0</v>
      </c>
      <c r="S3841" s="112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26" t="n">
        <v>46140</v>
      </c>
      <c r="H3842" s="125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12" t="n">
        <v>0</v>
      </c>
      <c r="R3842" s="112" t="n">
        <v>0</v>
      </c>
      <c r="S3842" s="112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26" t="n">
        <v>46140</v>
      </c>
      <c r="H3843" s="125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12" t="n">
        <v>0</v>
      </c>
      <c r="R3843" s="112" t="n">
        <v>0</v>
      </c>
      <c r="S3843" s="112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26" t="n">
        <v>46140</v>
      </c>
      <c r="H3844" s="125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12" t="n">
        <v>0</v>
      </c>
      <c r="R3844" s="112" t="n">
        <v>0</v>
      </c>
      <c r="S3844" s="112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26" t="n">
        <v>46140</v>
      </c>
      <c r="H3845" s="125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12" t="n">
        <v>0</v>
      </c>
      <c r="R3845" s="112" t="n">
        <v>0</v>
      </c>
      <c r="S3845" s="112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26" t="n">
        <v>46140</v>
      </c>
      <c r="H3846" s="125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12" t="n">
        <v>0</v>
      </c>
      <c r="R3846" s="112" t="n">
        <v>0</v>
      </c>
      <c r="S3846" s="112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26" t="n">
        <v>46127</v>
      </c>
      <c r="H3847" s="125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12" t="n">
        <v>0</v>
      </c>
      <c r="R3847" s="112" t="n">
        <v>0</v>
      </c>
      <c r="S3847" s="112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26" t="n">
        <v>46127</v>
      </c>
      <c r="H3848" s="125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12" t="n">
        <v>0</v>
      </c>
      <c r="R3848" s="112" t="n">
        <v>0</v>
      </c>
      <c r="S3848" s="112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26" t="n">
        <v>46127</v>
      </c>
      <c r="H3849" s="125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12" t="n">
        <v>0</v>
      </c>
      <c r="R3849" s="112" t="n">
        <v>0</v>
      </c>
      <c r="S3849" s="112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D3850" t="inlineStr"/>
      <c r="E3850" t="inlineStr">
        <is>
          <t>OC</t>
        </is>
      </c>
      <c r="F3850" t="inlineStr"/>
      <c r="G3850" s="126" t="inlineStr"/>
      <c r="H3850" s="125" t="n">
        <v>46147</v>
      </c>
      <c r="I3850" t="inlineStr"/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N3850" t="inlineStr"/>
      <c r="O3850" t="inlineStr">
        <is>
          <t>12561</t>
        </is>
      </c>
      <c r="P3850" t="inlineStr">
        <is>
          <t>CROSS COUNTRY INFRASTRUCTURE SERVICES INC.</t>
        </is>
      </c>
      <c r="Q3850" s="112" t="n">
        <v>0</v>
      </c>
      <c r="R3850" s="112" t="n">
        <v>24115.88</v>
      </c>
      <c r="S3850" s="112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D3851" t="inlineStr"/>
      <c r="E3851" t="inlineStr">
        <is>
          <t>OC</t>
        </is>
      </c>
      <c r="F3851" t="inlineStr"/>
      <c r="G3851" s="126" t="inlineStr"/>
      <c r="H3851" s="125" t="n">
        <v>46141</v>
      </c>
      <c r="I3851" t="inlineStr"/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N3851" t="inlineStr"/>
      <c r="O3851" t="inlineStr">
        <is>
          <t>12561</t>
        </is>
      </c>
      <c r="P3851" t="inlineStr">
        <is>
          <t>CROSS COUNTRY INFRASTRUCTURE SERVICES INC.</t>
        </is>
      </c>
      <c r="Q3851" s="112" t="n">
        <v>0</v>
      </c>
      <c r="R3851" s="112" t="n">
        <v>640.1900000000001</v>
      </c>
      <c r="S3851" s="112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D3852" t="inlineStr"/>
      <c r="E3852" t="inlineStr">
        <is>
          <t>EQ</t>
        </is>
      </c>
      <c r="F3852" t="inlineStr"/>
      <c r="G3852" s="126" t="inlineStr"/>
      <c r="H3852" s="125" t="n">
        <v>46159</v>
      </c>
      <c r="I3852" t="inlineStr"/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N3852" t="inlineStr"/>
      <c r="O3852" t="inlineStr">
        <is>
          <t>SSRAKE03</t>
        </is>
      </c>
      <c r="P3852" t="inlineStr"/>
      <c r="Q3852" s="112" t="n">
        <v>0</v>
      </c>
      <c r="R3852" s="112" t="n">
        <v>0</v>
      </c>
      <c r="S3852" s="112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D3853" t="inlineStr"/>
      <c r="E3853" t="inlineStr">
        <is>
          <t>EQ</t>
        </is>
      </c>
      <c r="F3853" t="inlineStr"/>
      <c r="G3853" s="126" t="inlineStr"/>
      <c r="H3853" s="125" t="n">
        <v>46152</v>
      </c>
      <c r="I3853" t="inlineStr"/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N3853" t="inlineStr"/>
      <c r="O3853" t="inlineStr">
        <is>
          <t>SSRAKE03</t>
        </is>
      </c>
      <c r="P3853" t="inlineStr"/>
      <c r="Q3853" s="112" t="n">
        <v>0</v>
      </c>
      <c r="R3853" s="112" t="n">
        <v>0</v>
      </c>
      <c r="S3853" s="112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D3854" t="inlineStr"/>
      <c r="E3854" t="inlineStr">
        <is>
          <t>EQ</t>
        </is>
      </c>
      <c r="F3854" t="inlineStr"/>
      <c r="G3854" s="126" t="inlineStr"/>
      <c r="H3854" s="125" t="n">
        <v>46152</v>
      </c>
      <c r="I3854" t="inlineStr"/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N3854" t="inlineStr"/>
      <c r="O3854" t="inlineStr">
        <is>
          <t>SSRAKE03</t>
        </is>
      </c>
      <c r="P3854" t="inlineStr"/>
      <c r="Q3854" s="112" t="n">
        <v>0</v>
      </c>
      <c r="R3854" s="112" t="n">
        <v>0</v>
      </c>
      <c r="S3854" s="112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D3855" t="inlineStr"/>
      <c r="E3855" t="inlineStr">
        <is>
          <t>EQ</t>
        </is>
      </c>
      <c r="F3855" t="inlineStr"/>
      <c r="G3855" s="126" t="inlineStr"/>
      <c r="H3855" s="125" t="n">
        <v>46152</v>
      </c>
      <c r="I3855" t="inlineStr"/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N3855" t="inlineStr"/>
      <c r="O3855" t="inlineStr">
        <is>
          <t>SSRAKE03</t>
        </is>
      </c>
      <c r="P3855" t="inlineStr"/>
      <c r="Q3855" s="112" t="n">
        <v>0</v>
      </c>
      <c r="R3855" s="112" t="n">
        <v>0</v>
      </c>
      <c r="S3855" s="112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D3856" t="inlineStr"/>
      <c r="E3856" t="inlineStr">
        <is>
          <t>EQ</t>
        </is>
      </c>
      <c r="F3856" t="inlineStr"/>
      <c r="G3856" s="126" t="inlineStr"/>
      <c r="H3856" s="125" t="n">
        <v>46152</v>
      </c>
      <c r="I3856" t="inlineStr"/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N3856" t="inlineStr"/>
      <c r="O3856" t="inlineStr">
        <is>
          <t>SSRAKE03</t>
        </is>
      </c>
      <c r="P3856" t="inlineStr"/>
      <c r="Q3856" s="112" t="n">
        <v>0</v>
      </c>
      <c r="R3856" s="112" t="n">
        <v>0</v>
      </c>
      <c r="S3856" s="112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D3857" t="inlineStr"/>
      <c r="E3857" t="inlineStr">
        <is>
          <t>EQ</t>
        </is>
      </c>
      <c r="F3857" t="inlineStr"/>
      <c r="G3857" s="126" t="inlineStr"/>
      <c r="H3857" s="125" t="n">
        <v>46159</v>
      </c>
      <c r="I3857" t="inlineStr"/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N3857" t="inlineStr"/>
      <c r="O3857" t="inlineStr">
        <is>
          <t>BH235</t>
        </is>
      </c>
      <c r="P3857" t="inlineStr"/>
      <c r="Q3857" s="112" t="n">
        <v>0</v>
      </c>
      <c r="R3857" s="112" t="n">
        <v>125</v>
      </c>
      <c r="S3857" s="112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D3858" t="inlineStr"/>
      <c r="E3858" t="inlineStr">
        <is>
          <t>EQ</t>
        </is>
      </c>
      <c r="F3858" t="inlineStr"/>
      <c r="G3858" s="126" t="inlineStr"/>
      <c r="H3858" s="125" t="n">
        <v>46159</v>
      </c>
      <c r="I3858" t="inlineStr"/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N3858" t="inlineStr"/>
      <c r="O3858" t="inlineStr">
        <is>
          <t>BH235</t>
        </is>
      </c>
      <c r="P3858" t="inlineStr"/>
      <c r="Q3858" s="112" t="n">
        <v>0</v>
      </c>
      <c r="R3858" s="112" t="n">
        <v>125</v>
      </c>
      <c r="S3858" s="112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D3859" t="inlineStr"/>
      <c r="E3859" t="inlineStr">
        <is>
          <t>EQ</t>
        </is>
      </c>
      <c r="F3859" t="inlineStr"/>
      <c r="G3859" s="126" t="inlineStr"/>
      <c r="H3859" s="125" t="n">
        <v>46159</v>
      </c>
      <c r="I3859" t="inlineStr"/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N3859" t="inlineStr"/>
      <c r="O3859" t="inlineStr">
        <is>
          <t>SSRAKE03</t>
        </is>
      </c>
      <c r="P3859" t="inlineStr"/>
      <c r="Q3859" s="112" t="n">
        <v>0</v>
      </c>
      <c r="R3859" s="112" t="n">
        <v>0</v>
      </c>
      <c r="S3859" s="112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D3860" t="inlineStr"/>
      <c r="E3860" t="inlineStr">
        <is>
          <t>EQ</t>
        </is>
      </c>
      <c r="F3860" t="inlineStr"/>
      <c r="G3860" s="126" t="inlineStr"/>
      <c r="H3860" s="125" t="n">
        <v>46159</v>
      </c>
      <c r="I3860" t="inlineStr"/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N3860" t="inlineStr"/>
      <c r="O3860" t="inlineStr">
        <is>
          <t>SSRAKE03</t>
        </is>
      </c>
      <c r="P3860" t="inlineStr"/>
      <c r="Q3860" s="112" t="n">
        <v>0</v>
      </c>
      <c r="R3860" s="112" t="n">
        <v>0</v>
      </c>
      <c r="S3860" s="112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D3861" t="inlineStr"/>
      <c r="E3861" t="inlineStr">
        <is>
          <t>EQ</t>
        </is>
      </c>
      <c r="F3861" t="inlineStr"/>
      <c r="G3861" s="126" t="inlineStr"/>
      <c r="H3861" s="125" t="n">
        <v>46159</v>
      </c>
      <c r="I3861" t="inlineStr"/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N3861" t="inlineStr"/>
      <c r="O3861" t="inlineStr">
        <is>
          <t>SSRAKE03</t>
        </is>
      </c>
      <c r="P3861" t="inlineStr"/>
      <c r="Q3861" s="112" t="n">
        <v>0</v>
      </c>
      <c r="R3861" s="112" t="n">
        <v>0</v>
      </c>
      <c r="S3861" s="112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D3862" t="inlineStr"/>
      <c r="E3862" t="inlineStr">
        <is>
          <t>EQ</t>
        </is>
      </c>
      <c r="F3862" t="inlineStr"/>
      <c r="G3862" s="126" t="inlineStr"/>
      <c r="H3862" s="125" t="n">
        <v>46166</v>
      </c>
      <c r="I3862" t="inlineStr"/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N3862" t="inlineStr"/>
      <c r="O3862" t="inlineStr">
        <is>
          <t>SSRAKE03</t>
        </is>
      </c>
      <c r="P3862" t="inlineStr"/>
      <c r="Q3862" s="112" t="n">
        <v>0</v>
      </c>
      <c r="R3862" s="112" t="n">
        <v>0</v>
      </c>
      <c r="S3862" s="112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D3863" t="inlineStr"/>
      <c r="E3863" t="inlineStr">
        <is>
          <t>EQ</t>
        </is>
      </c>
      <c r="F3863" t="inlineStr"/>
      <c r="G3863" s="126" t="inlineStr"/>
      <c r="H3863" s="125" t="n">
        <v>46159</v>
      </c>
      <c r="I3863" t="inlineStr"/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N3863" t="inlineStr"/>
      <c r="O3863" t="inlineStr">
        <is>
          <t>SSRAKE03</t>
        </is>
      </c>
      <c r="P3863" t="inlineStr"/>
      <c r="Q3863" s="112" t="n">
        <v>0</v>
      </c>
      <c r="R3863" s="112" t="n">
        <v>0</v>
      </c>
      <c r="S3863" s="112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D3864" t="inlineStr"/>
      <c r="E3864" t="inlineStr">
        <is>
          <t>EQ</t>
        </is>
      </c>
      <c r="F3864" t="inlineStr"/>
      <c r="G3864" s="126" t="inlineStr"/>
      <c r="H3864" s="125" t="n">
        <v>46159</v>
      </c>
      <c r="I3864" t="inlineStr"/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N3864" t="inlineStr"/>
      <c r="O3864" t="inlineStr">
        <is>
          <t>SSRAKE03</t>
        </is>
      </c>
      <c r="P3864" t="inlineStr"/>
      <c r="Q3864" s="112" t="n">
        <v>0</v>
      </c>
      <c r="R3864" s="112" t="n">
        <v>0</v>
      </c>
      <c r="S3864" s="112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D3865" t="inlineStr"/>
      <c r="E3865" t="inlineStr">
        <is>
          <t>EQ</t>
        </is>
      </c>
      <c r="F3865" t="inlineStr"/>
      <c r="G3865" s="126" t="inlineStr"/>
      <c r="H3865" s="125" t="n">
        <v>46166</v>
      </c>
      <c r="I3865" t="inlineStr"/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N3865" t="inlineStr"/>
      <c r="O3865" t="inlineStr">
        <is>
          <t>BH235</t>
        </is>
      </c>
      <c r="P3865" t="inlineStr"/>
      <c r="Q3865" s="112" t="n">
        <v>0</v>
      </c>
      <c r="R3865" s="112" t="n">
        <v>125</v>
      </c>
      <c r="S3865" s="112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D3866" t="inlineStr"/>
      <c r="E3866" t="inlineStr">
        <is>
          <t>EQ</t>
        </is>
      </c>
      <c r="F3866" t="inlineStr"/>
      <c r="G3866" s="126" t="inlineStr"/>
      <c r="H3866" s="125" t="n">
        <v>46166</v>
      </c>
      <c r="I3866" t="inlineStr"/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N3866" t="inlineStr"/>
      <c r="O3866" t="inlineStr">
        <is>
          <t>BH235</t>
        </is>
      </c>
      <c r="P3866" t="inlineStr"/>
      <c r="Q3866" s="112" t="n">
        <v>0</v>
      </c>
      <c r="R3866" s="112" t="n">
        <v>125</v>
      </c>
      <c r="S3866" s="112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D3867" t="inlineStr"/>
      <c r="E3867" t="inlineStr">
        <is>
          <t>EQ</t>
        </is>
      </c>
      <c r="F3867" t="inlineStr"/>
      <c r="G3867" s="126" t="inlineStr"/>
      <c r="H3867" s="125" t="n">
        <v>46166</v>
      </c>
      <c r="I3867" t="inlineStr"/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N3867" t="inlineStr"/>
      <c r="O3867" t="inlineStr">
        <is>
          <t>BH235</t>
        </is>
      </c>
      <c r="P3867" t="inlineStr"/>
      <c r="Q3867" s="112" t="n">
        <v>0</v>
      </c>
      <c r="R3867" s="112" t="n">
        <v>125</v>
      </c>
      <c r="S3867" s="112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D3868" t="inlineStr"/>
      <c r="E3868" t="inlineStr">
        <is>
          <t>EQ</t>
        </is>
      </c>
      <c r="F3868" t="inlineStr"/>
      <c r="G3868" s="126" t="inlineStr"/>
      <c r="H3868" s="125" t="n">
        <v>46166</v>
      </c>
      <c r="I3868" t="inlineStr"/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N3868" t="inlineStr"/>
      <c r="O3868" t="inlineStr">
        <is>
          <t>SSRAKE03</t>
        </is>
      </c>
      <c r="P3868" t="inlineStr"/>
      <c r="Q3868" s="112" t="n">
        <v>0</v>
      </c>
      <c r="R3868" s="112" t="n">
        <v>0</v>
      </c>
      <c r="S3868" s="112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D3869" t="inlineStr"/>
      <c r="E3869" t="inlineStr">
        <is>
          <t>EQ</t>
        </is>
      </c>
      <c r="F3869" t="inlineStr"/>
      <c r="G3869" s="126" t="inlineStr"/>
      <c r="H3869" s="125" t="n">
        <v>46166</v>
      </c>
      <c r="I3869" t="inlineStr"/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N3869" t="inlineStr"/>
      <c r="O3869" t="inlineStr">
        <is>
          <t>SSRAKE03</t>
        </is>
      </c>
      <c r="P3869" t="inlineStr"/>
      <c r="Q3869" s="112" t="n">
        <v>0</v>
      </c>
      <c r="R3869" s="112" t="n">
        <v>0</v>
      </c>
      <c r="S3869" s="112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D3870" t="inlineStr"/>
      <c r="E3870" t="inlineStr">
        <is>
          <t>ER</t>
        </is>
      </c>
      <c r="F3870" t="inlineStr"/>
      <c r="G3870" s="126" t="inlineStr"/>
      <c r="H3870" s="125" t="n">
        <v>46166</v>
      </c>
      <c r="I3870" t="inlineStr"/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N3870" t="inlineStr"/>
      <c r="O3870" t="inlineStr">
        <is>
          <t>RLD293</t>
        </is>
      </c>
      <c r="P3870" t="inlineStr"/>
      <c r="Q3870" s="112" t="n">
        <v>0</v>
      </c>
      <c r="R3870" s="112" t="n">
        <v>282.06</v>
      </c>
      <c r="S3870" s="112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D3871" t="inlineStr"/>
      <c r="E3871" t="inlineStr">
        <is>
          <t>ER</t>
        </is>
      </c>
      <c r="F3871" t="inlineStr"/>
      <c r="G3871" s="126" t="inlineStr"/>
      <c r="H3871" s="125" t="n">
        <v>46131</v>
      </c>
      <c r="I3871" t="inlineStr"/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N3871" t="inlineStr"/>
      <c r="O3871" t="inlineStr">
        <is>
          <t>RLD291</t>
        </is>
      </c>
      <c r="P3871" t="inlineStr"/>
      <c r="Q3871" s="112" t="n">
        <v>0</v>
      </c>
      <c r="R3871" s="112" t="n">
        <v>186.27</v>
      </c>
      <c r="S3871" s="112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D3872" t="inlineStr"/>
      <c r="E3872" t="inlineStr">
        <is>
          <t>ER</t>
        </is>
      </c>
      <c r="F3872" t="inlineStr"/>
      <c r="G3872" s="126" t="inlineStr"/>
      <c r="H3872" s="125" t="n">
        <v>46131</v>
      </c>
      <c r="I3872" t="inlineStr"/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N3872" t="inlineStr"/>
      <c r="O3872" t="inlineStr">
        <is>
          <t>RLD291</t>
        </is>
      </c>
      <c r="P3872" t="inlineStr"/>
      <c r="Q3872" s="112" t="n">
        <v>0</v>
      </c>
      <c r="R3872" s="112" t="n">
        <v>186.27</v>
      </c>
      <c r="S3872" s="112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D3873" t="inlineStr"/>
      <c r="E3873" t="inlineStr">
        <is>
          <t>ER</t>
        </is>
      </c>
      <c r="F3873" t="inlineStr"/>
      <c r="G3873" s="126" t="inlineStr"/>
      <c r="H3873" s="125" t="n">
        <v>46131</v>
      </c>
      <c r="I3873" t="inlineStr"/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N3873" t="inlineStr"/>
      <c r="O3873" t="inlineStr">
        <is>
          <t>RLD291</t>
        </is>
      </c>
      <c r="P3873" t="inlineStr"/>
      <c r="Q3873" s="112" t="n">
        <v>0</v>
      </c>
      <c r="R3873" s="112" t="n">
        <v>186.27</v>
      </c>
      <c r="S3873" s="112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D3874" t="inlineStr"/>
      <c r="E3874" t="inlineStr">
        <is>
          <t>ER</t>
        </is>
      </c>
      <c r="F3874" t="inlineStr"/>
      <c r="G3874" s="126" t="inlineStr"/>
      <c r="H3874" s="125" t="n">
        <v>46138</v>
      </c>
      <c r="I3874" t="inlineStr"/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N3874" t="inlineStr"/>
      <c r="O3874" t="inlineStr">
        <is>
          <t>RLD291</t>
        </is>
      </c>
      <c r="P3874" t="inlineStr"/>
      <c r="Q3874" s="112" t="n">
        <v>0</v>
      </c>
      <c r="R3874" s="112" t="n">
        <v>186.27</v>
      </c>
      <c r="S3874" s="112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D3875" t="inlineStr"/>
      <c r="E3875" t="inlineStr">
        <is>
          <t>ER</t>
        </is>
      </c>
      <c r="F3875" t="inlineStr"/>
      <c r="G3875" s="126" t="inlineStr"/>
      <c r="H3875" s="125" t="n">
        <v>46142</v>
      </c>
      <c r="I3875" t="inlineStr"/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N3875" t="inlineStr"/>
      <c r="O3875" t="inlineStr">
        <is>
          <t>RLD293</t>
        </is>
      </c>
      <c r="P3875" t="inlineStr"/>
      <c r="Q3875" s="112" t="n">
        <v>0</v>
      </c>
      <c r="R3875" s="112" t="n">
        <v>282.06</v>
      </c>
      <c r="S3875" s="112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D3876" t="inlineStr"/>
      <c r="E3876" t="inlineStr">
        <is>
          <t>ER</t>
        </is>
      </c>
      <c r="F3876" t="inlineStr"/>
      <c r="G3876" s="126" t="inlineStr"/>
      <c r="H3876" s="125" t="n">
        <v>46142</v>
      </c>
      <c r="I3876" t="inlineStr"/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N3876" t="inlineStr"/>
      <c r="O3876" t="inlineStr">
        <is>
          <t>RLD293</t>
        </is>
      </c>
      <c r="P3876" t="inlineStr"/>
      <c r="Q3876" s="112" t="n">
        <v>0</v>
      </c>
      <c r="R3876" s="112" t="n">
        <v>282.06</v>
      </c>
      <c r="S3876" s="112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D3877" t="inlineStr"/>
      <c r="E3877" t="inlineStr">
        <is>
          <t>ER</t>
        </is>
      </c>
      <c r="F3877" t="inlineStr"/>
      <c r="G3877" s="126" t="inlineStr"/>
      <c r="H3877" s="125" t="n">
        <v>46142</v>
      </c>
      <c r="I3877" t="inlineStr"/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N3877" t="inlineStr"/>
      <c r="O3877" t="inlineStr">
        <is>
          <t>RLD293</t>
        </is>
      </c>
      <c r="P3877" t="inlineStr"/>
      <c r="Q3877" s="112" t="n">
        <v>0</v>
      </c>
      <c r="R3877" s="112" t="n">
        <v>282.06</v>
      </c>
      <c r="S3877" s="112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D3878" t="inlineStr"/>
      <c r="E3878" t="inlineStr">
        <is>
          <t>ER</t>
        </is>
      </c>
      <c r="F3878" t="inlineStr"/>
      <c r="G3878" s="126" t="inlineStr"/>
      <c r="H3878" s="125" t="n">
        <v>46142</v>
      </c>
      <c r="I3878" t="inlineStr"/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N3878" t="inlineStr"/>
      <c r="O3878" t="inlineStr">
        <is>
          <t>RLD293</t>
        </is>
      </c>
      <c r="P3878" t="inlineStr"/>
      <c r="Q3878" s="112" t="n">
        <v>0</v>
      </c>
      <c r="R3878" s="112" t="n">
        <v>282.06</v>
      </c>
      <c r="S3878" s="112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D3879" t="inlineStr"/>
      <c r="E3879" t="inlineStr">
        <is>
          <t>ER</t>
        </is>
      </c>
      <c r="F3879" t="inlineStr"/>
      <c r="G3879" s="126" t="inlineStr"/>
      <c r="H3879" s="125" t="n">
        <v>46142</v>
      </c>
      <c r="I3879" t="inlineStr"/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N3879" t="inlineStr"/>
      <c r="O3879" t="inlineStr">
        <is>
          <t>REX665</t>
        </is>
      </c>
      <c r="P3879" t="inlineStr"/>
      <c r="Q3879" s="112" t="n">
        <v>0</v>
      </c>
      <c r="R3879" s="112" t="n">
        <v>458.33</v>
      </c>
      <c r="S3879" s="112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D3880" t="inlineStr"/>
      <c r="E3880" t="inlineStr">
        <is>
          <t>ER</t>
        </is>
      </c>
      <c r="F3880" t="inlineStr"/>
      <c r="G3880" s="126" t="inlineStr"/>
      <c r="H3880" s="125" t="n">
        <v>46142</v>
      </c>
      <c r="I3880" t="inlineStr"/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N3880" t="inlineStr"/>
      <c r="O3880" t="inlineStr">
        <is>
          <t>REX665</t>
        </is>
      </c>
      <c r="P3880" t="inlineStr"/>
      <c r="Q3880" s="112" t="n">
        <v>0</v>
      </c>
      <c r="R3880" s="112" t="n">
        <v>458.33</v>
      </c>
      <c r="S3880" s="112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D3881" t="inlineStr"/>
      <c r="E3881" t="inlineStr">
        <is>
          <t>ER</t>
        </is>
      </c>
      <c r="F3881" t="inlineStr"/>
      <c r="G3881" s="126" t="inlineStr"/>
      <c r="H3881" s="125" t="n">
        <v>46142</v>
      </c>
      <c r="I3881" t="inlineStr"/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N3881" t="inlineStr"/>
      <c r="O3881" t="inlineStr">
        <is>
          <t>REX665</t>
        </is>
      </c>
      <c r="P3881" t="inlineStr"/>
      <c r="Q3881" s="112" t="n">
        <v>0</v>
      </c>
      <c r="R3881" s="112" t="n">
        <v>458.33</v>
      </c>
      <c r="S3881" s="112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D3882" t="inlineStr"/>
      <c r="E3882" t="inlineStr">
        <is>
          <t>ER</t>
        </is>
      </c>
      <c r="F3882" t="inlineStr"/>
      <c r="G3882" s="126" t="inlineStr"/>
      <c r="H3882" s="125" t="n">
        <v>46152</v>
      </c>
      <c r="I3882" t="inlineStr"/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N3882" t="inlineStr"/>
      <c r="O3882" t="inlineStr">
        <is>
          <t>RLD293</t>
        </is>
      </c>
      <c r="P3882" t="inlineStr"/>
      <c r="Q3882" s="112" t="n">
        <v>0</v>
      </c>
      <c r="R3882" s="112" t="n">
        <v>282.06</v>
      </c>
      <c r="S3882" s="112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D3883" t="inlineStr"/>
      <c r="E3883" t="inlineStr">
        <is>
          <t>ER</t>
        </is>
      </c>
      <c r="F3883" t="inlineStr"/>
      <c r="G3883" s="126" t="inlineStr"/>
      <c r="H3883" s="125" t="n">
        <v>46152</v>
      </c>
      <c r="I3883" t="inlineStr"/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N3883" t="inlineStr"/>
      <c r="O3883" t="inlineStr">
        <is>
          <t>RLD293</t>
        </is>
      </c>
      <c r="P3883" t="inlineStr"/>
      <c r="Q3883" s="112" t="n">
        <v>0</v>
      </c>
      <c r="R3883" s="112" t="n">
        <v>282.06</v>
      </c>
      <c r="S3883" s="112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D3884" t="inlineStr"/>
      <c r="E3884" t="inlineStr">
        <is>
          <t>ER</t>
        </is>
      </c>
      <c r="F3884" t="inlineStr"/>
      <c r="G3884" s="126" t="inlineStr"/>
      <c r="H3884" s="125" t="n">
        <v>46152</v>
      </c>
      <c r="I3884" t="inlineStr"/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N3884" t="inlineStr"/>
      <c r="O3884" t="inlineStr">
        <is>
          <t>RLD293</t>
        </is>
      </c>
      <c r="P3884" t="inlineStr"/>
      <c r="Q3884" s="112" t="n">
        <v>0</v>
      </c>
      <c r="R3884" s="112" t="n">
        <v>282.06</v>
      </c>
      <c r="S3884" s="112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D3885" t="inlineStr"/>
      <c r="E3885" t="inlineStr">
        <is>
          <t>ER</t>
        </is>
      </c>
      <c r="F3885" t="inlineStr"/>
      <c r="G3885" s="126" t="inlineStr"/>
      <c r="H3885" s="125" t="n">
        <v>46152</v>
      </c>
      <c r="I3885" t="inlineStr"/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N3885" t="inlineStr"/>
      <c r="O3885" t="inlineStr">
        <is>
          <t>RLD293</t>
        </is>
      </c>
      <c r="P3885" t="inlineStr"/>
      <c r="Q3885" s="112" t="n">
        <v>0</v>
      </c>
      <c r="R3885" s="112" t="n">
        <v>282.06</v>
      </c>
      <c r="S3885" s="112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D3886" t="inlineStr"/>
      <c r="E3886" t="inlineStr">
        <is>
          <t>ER</t>
        </is>
      </c>
      <c r="F3886" t="inlineStr"/>
      <c r="G3886" s="126" t="inlineStr"/>
      <c r="H3886" s="125" t="n">
        <v>46159</v>
      </c>
      <c r="I3886" t="inlineStr"/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N3886" t="inlineStr"/>
      <c r="O3886" t="inlineStr">
        <is>
          <t>RLD293</t>
        </is>
      </c>
      <c r="P3886" t="inlineStr"/>
      <c r="Q3886" s="112" t="n">
        <v>0</v>
      </c>
      <c r="R3886" s="112" t="n">
        <v>282.06</v>
      </c>
      <c r="S3886" s="112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D3887" t="inlineStr"/>
      <c r="E3887" t="inlineStr">
        <is>
          <t>ER</t>
        </is>
      </c>
      <c r="F3887" t="inlineStr"/>
      <c r="G3887" s="126" t="inlineStr"/>
      <c r="H3887" s="125" t="n">
        <v>46159</v>
      </c>
      <c r="I3887" t="inlineStr"/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N3887" t="inlineStr"/>
      <c r="O3887" t="inlineStr">
        <is>
          <t>RLD293</t>
        </is>
      </c>
      <c r="P3887" t="inlineStr"/>
      <c r="Q3887" s="112" t="n">
        <v>0</v>
      </c>
      <c r="R3887" s="112" t="n">
        <v>282.06</v>
      </c>
      <c r="S3887" s="112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D3888" t="inlineStr"/>
      <c r="E3888" t="inlineStr">
        <is>
          <t>ER</t>
        </is>
      </c>
      <c r="F3888" t="inlineStr"/>
      <c r="G3888" s="126" t="inlineStr"/>
      <c r="H3888" s="125" t="n">
        <v>46159</v>
      </c>
      <c r="I3888" t="inlineStr"/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N3888" t="inlineStr"/>
      <c r="O3888" t="inlineStr">
        <is>
          <t>RLD293</t>
        </is>
      </c>
      <c r="P3888" t="inlineStr"/>
      <c r="Q3888" s="112" t="n">
        <v>0</v>
      </c>
      <c r="R3888" s="112" t="n">
        <v>282.06</v>
      </c>
      <c r="S3888" s="112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D3889" t="inlineStr"/>
      <c r="E3889" t="inlineStr">
        <is>
          <t>ER</t>
        </is>
      </c>
      <c r="F3889" t="inlineStr"/>
      <c r="G3889" s="126" t="inlineStr"/>
      <c r="H3889" s="125" t="n">
        <v>46159</v>
      </c>
      <c r="I3889" t="inlineStr"/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N3889" t="inlineStr"/>
      <c r="O3889" t="inlineStr">
        <is>
          <t>RLD293</t>
        </is>
      </c>
      <c r="P3889" t="inlineStr"/>
      <c r="Q3889" s="112" t="n">
        <v>0</v>
      </c>
      <c r="R3889" s="112" t="n">
        <v>282.06</v>
      </c>
      <c r="S3889" s="112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D3890" t="inlineStr"/>
      <c r="E3890" t="inlineStr">
        <is>
          <t>ER</t>
        </is>
      </c>
      <c r="F3890" t="inlineStr"/>
      <c r="G3890" s="126" t="inlineStr"/>
      <c r="H3890" s="125" t="n">
        <v>46159</v>
      </c>
      <c r="I3890" t="inlineStr"/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N3890" t="inlineStr"/>
      <c r="O3890" t="inlineStr">
        <is>
          <t>RLD293</t>
        </is>
      </c>
      <c r="P3890" t="inlineStr"/>
      <c r="Q3890" s="112" t="n">
        <v>0</v>
      </c>
      <c r="R3890" s="112" t="n">
        <v>282.06</v>
      </c>
      <c r="S3890" s="112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D3891" t="inlineStr"/>
      <c r="E3891" t="inlineStr">
        <is>
          <t>ER</t>
        </is>
      </c>
      <c r="F3891" t="inlineStr"/>
      <c r="G3891" s="126" t="inlineStr"/>
      <c r="H3891" s="125" t="n">
        <v>46159</v>
      </c>
      <c r="I3891" t="inlineStr"/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N3891" t="inlineStr"/>
      <c r="O3891" t="inlineStr">
        <is>
          <t>RLD293</t>
        </is>
      </c>
      <c r="P3891" t="inlineStr"/>
      <c r="Q3891" s="112" t="n">
        <v>0</v>
      </c>
      <c r="R3891" s="112" t="n">
        <v>282.06</v>
      </c>
      <c r="S3891" s="112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D3892" t="inlineStr"/>
      <c r="E3892" t="inlineStr">
        <is>
          <t>ER</t>
        </is>
      </c>
      <c r="F3892" t="inlineStr"/>
      <c r="G3892" s="126" t="inlineStr"/>
      <c r="H3892" s="125" t="n">
        <v>46166</v>
      </c>
      <c r="I3892" t="inlineStr"/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N3892" t="inlineStr"/>
      <c r="O3892" t="inlineStr">
        <is>
          <t>RLD293</t>
        </is>
      </c>
      <c r="P3892" t="inlineStr"/>
      <c r="Q3892" s="112" t="n">
        <v>0</v>
      </c>
      <c r="R3892" s="112" t="n">
        <v>282.06</v>
      </c>
      <c r="S3892" s="112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D3893" t="inlineStr"/>
      <c r="E3893" t="inlineStr">
        <is>
          <t>ER</t>
        </is>
      </c>
      <c r="F3893" t="inlineStr"/>
      <c r="G3893" s="126" t="inlineStr"/>
      <c r="H3893" s="125" t="n">
        <v>46166</v>
      </c>
      <c r="I3893" t="inlineStr"/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N3893" t="inlineStr"/>
      <c r="O3893" t="inlineStr">
        <is>
          <t>RLD293</t>
        </is>
      </c>
      <c r="P3893" t="inlineStr"/>
      <c r="Q3893" s="112" t="n">
        <v>0</v>
      </c>
      <c r="R3893" s="112" t="n">
        <v>282.06</v>
      </c>
      <c r="S3893" s="112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D3894" t="inlineStr"/>
      <c r="E3894" t="inlineStr">
        <is>
          <t>LA</t>
        </is>
      </c>
      <c r="F3894" t="inlineStr"/>
      <c r="G3894" s="126" t="inlineStr"/>
      <c r="H3894" s="125" t="n">
        <v>46142</v>
      </c>
      <c r="I3894" t="inlineStr"/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N3894" t="inlineStr"/>
      <c r="O3894" t="inlineStr"/>
      <c r="P3894" t="inlineStr"/>
      <c r="Q3894" s="112" t="n">
        <v>0</v>
      </c>
      <c r="R3894" s="112" t="n">
        <v>511.88</v>
      </c>
      <c r="S3894" s="112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D3895" t="inlineStr"/>
      <c r="E3895" t="inlineStr">
        <is>
          <t>LA</t>
        </is>
      </c>
      <c r="F3895" t="inlineStr"/>
      <c r="G3895" s="126" t="inlineStr"/>
      <c r="H3895" s="125" t="n">
        <v>46142</v>
      </c>
      <c r="I3895" t="inlineStr"/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N3895" t="inlineStr"/>
      <c r="O3895" t="inlineStr"/>
      <c r="P3895" t="inlineStr"/>
      <c r="Q3895" s="112" t="n">
        <v>0</v>
      </c>
      <c r="R3895" s="112" t="n">
        <v>511.88</v>
      </c>
      <c r="S3895" s="112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26" t="n">
        <v>46141</v>
      </c>
      <c r="H3896" s="125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12" t="n">
        <v>0</v>
      </c>
      <c r="R3896" s="112" t="n">
        <v>0</v>
      </c>
      <c r="S3896" s="112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D3897" t="inlineStr"/>
      <c r="E3897" t="inlineStr">
        <is>
          <t>ER</t>
        </is>
      </c>
      <c r="F3897" t="inlineStr"/>
      <c r="G3897" s="126" t="inlineStr"/>
      <c r="H3897" s="125" t="n">
        <v>46152</v>
      </c>
      <c r="I3897" t="inlineStr"/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N3897" t="inlineStr"/>
      <c r="O3897" t="inlineStr">
        <is>
          <t>RDZ318</t>
        </is>
      </c>
      <c r="P3897" t="inlineStr"/>
      <c r="Q3897" s="112" t="n">
        <v>0</v>
      </c>
      <c r="R3897" s="112" t="n">
        <v>778.74</v>
      </c>
      <c r="S3897" s="112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D3898" t="inlineStr"/>
      <c r="E3898" t="inlineStr">
        <is>
          <t>ER</t>
        </is>
      </c>
      <c r="F3898" t="inlineStr"/>
      <c r="G3898" s="126" t="inlineStr"/>
      <c r="H3898" s="125" t="n">
        <v>46152</v>
      </c>
      <c r="I3898" t="inlineStr"/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N3898" t="inlineStr"/>
      <c r="O3898" t="inlineStr">
        <is>
          <t>RDZ318</t>
        </is>
      </c>
      <c r="P3898" t="inlineStr"/>
      <c r="Q3898" s="112" t="n">
        <v>0</v>
      </c>
      <c r="R3898" s="112" t="n">
        <v>778.74</v>
      </c>
      <c r="S3898" s="112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D3899" t="inlineStr"/>
      <c r="E3899" t="inlineStr">
        <is>
          <t>ER</t>
        </is>
      </c>
      <c r="F3899" t="inlineStr"/>
      <c r="G3899" s="126" t="inlineStr"/>
      <c r="H3899" s="125" t="n">
        <v>46152</v>
      </c>
      <c r="I3899" t="inlineStr"/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N3899" t="inlineStr"/>
      <c r="O3899" t="inlineStr">
        <is>
          <t>RHV96</t>
        </is>
      </c>
      <c r="P3899" t="inlineStr"/>
      <c r="Q3899" s="112" t="n">
        <v>0</v>
      </c>
      <c r="R3899" s="112" t="n">
        <v>200</v>
      </c>
      <c r="S3899" s="112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D3900" t="inlineStr"/>
      <c r="E3900" t="inlineStr">
        <is>
          <t>ER</t>
        </is>
      </c>
      <c r="F3900" t="inlineStr"/>
      <c r="G3900" s="126" t="inlineStr"/>
      <c r="H3900" s="125" t="n">
        <v>46152</v>
      </c>
      <c r="I3900" t="inlineStr"/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N3900" t="inlineStr"/>
      <c r="O3900" t="inlineStr">
        <is>
          <t>REX665</t>
        </is>
      </c>
      <c r="P3900" t="inlineStr"/>
      <c r="Q3900" s="112" t="n">
        <v>0</v>
      </c>
      <c r="R3900" s="112" t="n">
        <v>458.33</v>
      </c>
      <c r="S3900" s="112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D3901" t="inlineStr"/>
      <c r="E3901" t="inlineStr">
        <is>
          <t>ER</t>
        </is>
      </c>
      <c r="F3901" t="inlineStr"/>
      <c r="G3901" s="126" t="inlineStr"/>
      <c r="H3901" s="125" t="n">
        <v>46152</v>
      </c>
      <c r="I3901" t="inlineStr"/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N3901" t="inlineStr"/>
      <c r="O3901" t="inlineStr">
        <is>
          <t>REX665</t>
        </is>
      </c>
      <c r="P3901" t="inlineStr"/>
      <c r="Q3901" s="112" t="n">
        <v>0</v>
      </c>
      <c r="R3901" s="112" t="n">
        <v>458.33</v>
      </c>
      <c r="S3901" s="112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D3902" t="inlineStr"/>
      <c r="E3902" t="inlineStr">
        <is>
          <t>ER</t>
        </is>
      </c>
      <c r="F3902" t="inlineStr"/>
      <c r="G3902" s="126" t="inlineStr"/>
      <c r="H3902" s="125" t="n">
        <v>46152</v>
      </c>
      <c r="I3902" t="inlineStr"/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N3902" t="inlineStr"/>
      <c r="O3902" t="inlineStr">
        <is>
          <t>REX665</t>
        </is>
      </c>
      <c r="P3902" t="inlineStr"/>
      <c r="Q3902" s="112" t="n">
        <v>0</v>
      </c>
      <c r="R3902" s="112" t="n">
        <v>458.33</v>
      </c>
      <c r="S3902" s="112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D3903" t="inlineStr"/>
      <c r="E3903" t="inlineStr">
        <is>
          <t>ER</t>
        </is>
      </c>
      <c r="F3903" t="inlineStr"/>
      <c r="G3903" s="126" t="inlineStr"/>
      <c r="H3903" s="125" t="n">
        <v>46152</v>
      </c>
      <c r="I3903" t="inlineStr"/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N3903" t="inlineStr"/>
      <c r="O3903" t="inlineStr">
        <is>
          <t>RPK482</t>
        </is>
      </c>
      <c r="P3903" t="inlineStr"/>
      <c r="Q3903" s="112" t="n">
        <v>0</v>
      </c>
      <c r="R3903" s="112" t="n">
        <v>300</v>
      </c>
      <c r="S3903" s="112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D3904" t="inlineStr"/>
      <c r="E3904" t="inlineStr">
        <is>
          <t>ER</t>
        </is>
      </c>
      <c r="F3904" t="inlineStr"/>
      <c r="G3904" s="126" t="inlineStr"/>
      <c r="H3904" s="125" t="n">
        <v>46152</v>
      </c>
      <c r="I3904" t="inlineStr"/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N3904" t="inlineStr"/>
      <c r="O3904" t="inlineStr">
        <is>
          <t>RPK482</t>
        </is>
      </c>
      <c r="P3904" t="inlineStr"/>
      <c r="Q3904" s="112" t="n">
        <v>0</v>
      </c>
      <c r="R3904" s="112" t="n">
        <v>300</v>
      </c>
      <c r="S3904" s="112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D3905" t="inlineStr"/>
      <c r="E3905" t="inlineStr">
        <is>
          <t>ER</t>
        </is>
      </c>
      <c r="F3905" t="inlineStr"/>
      <c r="G3905" s="126" t="inlineStr"/>
      <c r="H3905" s="125" t="n">
        <v>46152</v>
      </c>
      <c r="I3905" t="inlineStr"/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N3905" t="inlineStr"/>
      <c r="O3905" t="inlineStr">
        <is>
          <t>RMS2317</t>
        </is>
      </c>
      <c r="P3905" t="inlineStr"/>
      <c r="Q3905" s="112" t="n">
        <v>0</v>
      </c>
      <c r="R3905" s="112" t="n">
        <v>287.36</v>
      </c>
      <c r="S3905" s="112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D3906" t="inlineStr"/>
      <c r="E3906" t="inlineStr">
        <is>
          <t>ER</t>
        </is>
      </c>
      <c r="F3906" t="inlineStr"/>
      <c r="G3906" s="126" t="inlineStr"/>
      <c r="H3906" s="125" t="n">
        <v>46152</v>
      </c>
      <c r="I3906" t="inlineStr"/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N3906" t="inlineStr"/>
      <c r="O3906" t="inlineStr">
        <is>
          <t>RMS2317</t>
        </is>
      </c>
      <c r="P3906" t="inlineStr"/>
      <c r="Q3906" s="112" t="n">
        <v>0</v>
      </c>
      <c r="R3906" s="112" t="n">
        <v>287.36</v>
      </c>
      <c r="S3906" s="112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D3907" t="inlineStr"/>
      <c r="E3907" t="inlineStr">
        <is>
          <t>ER</t>
        </is>
      </c>
      <c r="F3907" t="inlineStr"/>
      <c r="G3907" s="126" t="inlineStr"/>
      <c r="H3907" s="125" t="n">
        <v>46159</v>
      </c>
      <c r="I3907" t="inlineStr"/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N3907" t="inlineStr"/>
      <c r="O3907" t="inlineStr">
        <is>
          <t>RDZ318</t>
        </is>
      </c>
      <c r="P3907" t="inlineStr"/>
      <c r="Q3907" s="112" t="n">
        <v>0</v>
      </c>
      <c r="R3907" s="112" t="n">
        <v>778.74</v>
      </c>
      <c r="S3907" s="112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D3908" t="inlineStr"/>
      <c r="E3908" t="inlineStr">
        <is>
          <t>ER</t>
        </is>
      </c>
      <c r="F3908" t="inlineStr"/>
      <c r="G3908" s="126" t="inlineStr"/>
      <c r="H3908" s="125" t="n">
        <v>46159</v>
      </c>
      <c r="I3908" t="inlineStr"/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N3908" t="inlineStr"/>
      <c r="O3908" t="inlineStr">
        <is>
          <t>RDZ318</t>
        </is>
      </c>
      <c r="P3908" t="inlineStr"/>
      <c r="Q3908" s="112" t="n">
        <v>0</v>
      </c>
      <c r="R3908" s="112" t="n">
        <v>778.74</v>
      </c>
      <c r="S3908" s="112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D3909" t="inlineStr"/>
      <c r="E3909" t="inlineStr">
        <is>
          <t>ER</t>
        </is>
      </c>
      <c r="F3909" t="inlineStr"/>
      <c r="G3909" s="126" t="inlineStr"/>
      <c r="H3909" s="125" t="n">
        <v>46159</v>
      </c>
      <c r="I3909" t="inlineStr"/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N3909" t="inlineStr"/>
      <c r="O3909" t="inlineStr">
        <is>
          <t>RDZ318</t>
        </is>
      </c>
      <c r="P3909" t="inlineStr"/>
      <c r="Q3909" s="112" t="n">
        <v>0</v>
      </c>
      <c r="R3909" s="112" t="n">
        <v>778.74</v>
      </c>
      <c r="S3909" s="112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D3910" t="inlineStr"/>
      <c r="E3910" t="inlineStr">
        <is>
          <t>ER</t>
        </is>
      </c>
      <c r="F3910" t="inlineStr"/>
      <c r="G3910" s="126" t="inlineStr"/>
      <c r="H3910" s="125" t="n">
        <v>46159</v>
      </c>
      <c r="I3910" t="inlineStr"/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N3910" t="inlineStr"/>
      <c r="O3910" t="inlineStr">
        <is>
          <t>RDZ318</t>
        </is>
      </c>
      <c r="P3910" t="inlineStr"/>
      <c r="Q3910" s="112" t="n">
        <v>0</v>
      </c>
      <c r="R3910" s="112" t="n">
        <v>778.74</v>
      </c>
      <c r="S3910" s="112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D3911" t="inlineStr"/>
      <c r="E3911" t="inlineStr">
        <is>
          <t>ER</t>
        </is>
      </c>
      <c r="F3911" t="inlineStr"/>
      <c r="G3911" s="126" t="inlineStr"/>
      <c r="H3911" s="125" t="n">
        <v>46159</v>
      </c>
      <c r="I3911" t="inlineStr"/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N3911" t="inlineStr"/>
      <c r="O3911" t="inlineStr">
        <is>
          <t>RGR114</t>
        </is>
      </c>
      <c r="P3911" t="inlineStr"/>
      <c r="Q3911" s="112" t="n">
        <v>0</v>
      </c>
      <c r="R3911" s="112" t="n">
        <v>604.17</v>
      </c>
      <c r="S3911" s="112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D3912" t="inlineStr"/>
      <c r="E3912" t="inlineStr">
        <is>
          <t>ER</t>
        </is>
      </c>
      <c r="F3912" t="inlineStr"/>
      <c r="G3912" s="126" t="inlineStr"/>
      <c r="H3912" s="125" t="n">
        <v>46159</v>
      </c>
      <c r="I3912" t="inlineStr"/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N3912" t="inlineStr"/>
      <c r="O3912" t="inlineStr">
        <is>
          <t>RGR114</t>
        </is>
      </c>
      <c r="P3912" t="inlineStr"/>
      <c r="Q3912" s="112" t="n">
        <v>0</v>
      </c>
      <c r="R3912" s="112" t="n">
        <v>604.17</v>
      </c>
      <c r="S3912" s="112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D3913" t="inlineStr"/>
      <c r="E3913" t="inlineStr">
        <is>
          <t>ER</t>
        </is>
      </c>
      <c r="F3913" t="inlineStr"/>
      <c r="G3913" s="126" t="inlineStr"/>
      <c r="H3913" s="125" t="n">
        <v>46159</v>
      </c>
      <c r="I3913" t="inlineStr"/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N3913" t="inlineStr"/>
      <c r="O3913" t="inlineStr">
        <is>
          <t>RGR114</t>
        </is>
      </c>
      <c r="P3913" t="inlineStr"/>
      <c r="Q3913" s="112" t="n">
        <v>0</v>
      </c>
      <c r="R3913" s="112" t="n">
        <v>604.17</v>
      </c>
      <c r="S3913" s="112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D3914" t="inlineStr"/>
      <c r="E3914" t="inlineStr">
        <is>
          <t>ER</t>
        </is>
      </c>
      <c r="F3914" t="inlineStr"/>
      <c r="G3914" s="126" t="inlineStr"/>
      <c r="H3914" s="125" t="n">
        <v>46159</v>
      </c>
      <c r="I3914" t="inlineStr"/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N3914" t="inlineStr"/>
      <c r="O3914" t="inlineStr">
        <is>
          <t>RGR114</t>
        </is>
      </c>
      <c r="P3914" t="inlineStr"/>
      <c r="Q3914" s="112" t="n">
        <v>0</v>
      </c>
      <c r="R3914" s="112" t="n">
        <v>604.17</v>
      </c>
      <c r="S3914" s="112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D3915" t="inlineStr"/>
      <c r="E3915" t="inlineStr">
        <is>
          <t>ER</t>
        </is>
      </c>
      <c r="F3915" t="inlineStr"/>
      <c r="G3915" s="126" t="inlineStr"/>
      <c r="H3915" s="125" t="n">
        <v>46159</v>
      </c>
      <c r="I3915" t="inlineStr"/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N3915" t="inlineStr"/>
      <c r="O3915" t="inlineStr">
        <is>
          <t>RHV96</t>
        </is>
      </c>
      <c r="P3915" t="inlineStr"/>
      <c r="Q3915" s="112" t="n">
        <v>0</v>
      </c>
      <c r="R3915" s="112" t="n">
        <v>200</v>
      </c>
      <c r="S3915" s="112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D3916" t="inlineStr"/>
      <c r="E3916" t="inlineStr">
        <is>
          <t>ER</t>
        </is>
      </c>
      <c r="F3916" t="inlineStr"/>
      <c r="G3916" s="126" t="inlineStr"/>
      <c r="H3916" s="125" t="n">
        <v>46159</v>
      </c>
      <c r="I3916" t="inlineStr"/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N3916" t="inlineStr"/>
      <c r="O3916" t="inlineStr">
        <is>
          <t>REX665</t>
        </is>
      </c>
      <c r="P3916" t="inlineStr"/>
      <c r="Q3916" s="112" t="n">
        <v>0</v>
      </c>
      <c r="R3916" s="112" t="n">
        <v>458.33</v>
      </c>
      <c r="S3916" s="112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D3917" t="inlineStr"/>
      <c r="E3917" t="inlineStr">
        <is>
          <t>ER</t>
        </is>
      </c>
      <c r="F3917" t="inlineStr"/>
      <c r="G3917" s="126" t="inlineStr"/>
      <c r="H3917" s="125" t="n">
        <v>46159</v>
      </c>
      <c r="I3917" t="inlineStr"/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N3917" t="inlineStr"/>
      <c r="O3917" t="inlineStr">
        <is>
          <t>REX665</t>
        </is>
      </c>
      <c r="P3917" t="inlineStr"/>
      <c r="Q3917" s="112" t="n">
        <v>0</v>
      </c>
      <c r="R3917" s="112" t="n">
        <v>458.33</v>
      </c>
      <c r="S3917" s="112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D3918" t="inlineStr"/>
      <c r="E3918" t="inlineStr">
        <is>
          <t>ER</t>
        </is>
      </c>
      <c r="F3918" t="inlineStr"/>
      <c r="G3918" s="126" t="inlineStr"/>
      <c r="H3918" s="125" t="n">
        <v>46159</v>
      </c>
      <c r="I3918" t="inlineStr"/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N3918" t="inlineStr"/>
      <c r="O3918" t="inlineStr">
        <is>
          <t>REX665</t>
        </is>
      </c>
      <c r="P3918" t="inlineStr"/>
      <c r="Q3918" s="112" t="n">
        <v>0</v>
      </c>
      <c r="R3918" s="112" t="n">
        <v>458.33</v>
      </c>
      <c r="S3918" s="112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D3919" t="inlineStr"/>
      <c r="E3919" t="inlineStr">
        <is>
          <t>ER</t>
        </is>
      </c>
      <c r="F3919" t="inlineStr"/>
      <c r="G3919" s="126" t="inlineStr"/>
      <c r="H3919" s="125" t="n">
        <v>46159</v>
      </c>
      <c r="I3919" t="inlineStr"/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N3919" t="inlineStr"/>
      <c r="O3919" t="inlineStr">
        <is>
          <t>REX665</t>
        </is>
      </c>
      <c r="P3919" t="inlineStr"/>
      <c r="Q3919" s="112" t="n">
        <v>0</v>
      </c>
      <c r="R3919" s="112" t="n">
        <v>458.33</v>
      </c>
      <c r="S3919" s="112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D3920" t="inlineStr"/>
      <c r="E3920" t="inlineStr">
        <is>
          <t>ER</t>
        </is>
      </c>
      <c r="F3920" t="inlineStr"/>
      <c r="G3920" s="126" t="inlineStr"/>
      <c r="H3920" s="125" t="n">
        <v>46159</v>
      </c>
      <c r="I3920" t="inlineStr"/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N3920" t="inlineStr"/>
      <c r="O3920" t="inlineStr">
        <is>
          <t>REX665</t>
        </is>
      </c>
      <c r="P3920" t="inlineStr"/>
      <c r="Q3920" s="112" t="n">
        <v>0</v>
      </c>
      <c r="R3920" s="112" t="n">
        <v>458.33</v>
      </c>
      <c r="S3920" s="112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D3921" t="inlineStr"/>
      <c r="E3921" t="inlineStr">
        <is>
          <t>ER</t>
        </is>
      </c>
      <c r="F3921" t="inlineStr"/>
      <c r="G3921" s="126" t="inlineStr"/>
      <c r="H3921" s="125" t="n">
        <v>46159</v>
      </c>
      <c r="I3921" t="inlineStr"/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N3921" t="inlineStr"/>
      <c r="O3921" t="inlineStr">
        <is>
          <t>RPK482</t>
        </is>
      </c>
      <c r="P3921" t="inlineStr"/>
      <c r="Q3921" s="112" t="n">
        <v>0</v>
      </c>
      <c r="R3921" s="112" t="n">
        <v>300</v>
      </c>
      <c r="S3921" s="112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D3922" t="inlineStr"/>
      <c r="E3922" t="inlineStr">
        <is>
          <t>ER</t>
        </is>
      </c>
      <c r="F3922" t="inlineStr"/>
      <c r="G3922" s="126" t="inlineStr"/>
      <c r="H3922" s="125" t="n">
        <v>46159</v>
      </c>
      <c r="I3922" t="inlineStr"/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N3922" t="inlineStr"/>
      <c r="O3922" t="inlineStr">
        <is>
          <t>RPK482</t>
        </is>
      </c>
      <c r="P3922" t="inlineStr"/>
      <c r="Q3922" s="112" t="n">
        <v>0</v>
      </c>
      <c r="R3922" s="112" t="n">
        <v>300</v>
      </c>
      <c r="S3922" s="112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D3923" t="inlineStr"/>
      <c r="E3923" t="inlineStr">
        <is>
          <t>ER</t>
        </is>
      </c>
      <c r="F3923" t="inlineStr"/>
      <c r="G3923" s="126" t="inlineStr"/>
      <c r="H3923" s="125" t="n">
        <v>46159</v>
      </c>
      <c r="I3923" t="inlineStr"/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N3923" t="inlineStr"/>
      <c r="O3923" t="inlineStr">
        <is>
          <t>RPK482</t>
        </is>
      </c>
      <c r="P3923" t="inlineStr"/>
      <c r="Q3923" s="112" t="n">
        <v>0</v>
      </c>
      <c r="R3923" s="112" t="n">
        <v>300</v>
      </c>
      <c r="S3923" s="112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D3924" t="inlineStr"/>
      <c r="E3924" t="inlineStr">
        <is>
          <t>ER</t>
        </is>
      </c>
      <c r="F3924" t="inlineStr"/>
      <c r="G3924" s="126" t="inlineStr"/>
      <c r="H3924" s="125" t="n">
        <v>46159</v>
      </c>
      <c r="I3924" t="inlineStr"/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N3924" t="inlineStr"/>
      <c r="O3924" t="inlineStr">
        <is>
          <t>RPK482</t>
        </is>
      </c>
      <c r="P3924" t="inlineStr"/>
      <c r="Q3924" s="112" t="n">
        <v>0</v>
      </c>
      <c r="R3924" s="112" t="n">
        <v>300</v>
      </c>
      <c r="S3924" s="112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D3925" t="inlineStr"/>
      <c r="E3925" t="inlineStr">
        <is>
          <t>ER</t>
        </is>
      </c>
      <c r="F3925" t="inlineStr"/>
      <c r="G3925" s="126" t="inlineStr"/>
      <c r="H3925" s="125" t="n">
        <v>46159</v>
      </c>
      <c r="I3925" t="inlineStr"/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N3925" t="inlineStr"/>
      <c r="O3925" t="inlineStr">
        <is>
          <t>RMS2317</t>
        </is>
      </c>
      <c r="P3925" t="inlineStr"/>
      <c r="Q3925" s="112" t="n">
        <v>0</v>
      </c>
      <c r="R3925" s="112" t="n">
        <v>287.36</v>
      </c>
      <c r="S3925" s="112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D3926" t="inlineStr"/>
      <c r="E3926" t="inlineStr">
        <is>
          <t>ER</t>
        </is>
      </c>
      <c r="F3926" t="inlineStr"/>
      <c r="G3926" s="126" t="inlineStr"/>
      <c r="H3926" s="125" t="n">
        <v>46159</v>
      </c>
      <c r="I3926" t="inlineStr"/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N3926" t="inlineStr"/>
      <c r="O3926" t="inlineStr">
        <is>
          <t>RMS2317</t>
        </is>
      </c>
      <c r="P3926" t="inlineStr"/>
      <c r="Q3926" s="112" t="n">
        <v>0</v>
      </c>
      <c r="R3926" s="112" t="n">
        <v>287.36</v>
      </c>
      <c r="S3926" s="112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D3927" t="inlineStr"/>
      <c r="E3927" t="inlineStr">
        <is>
          <t>ER</t>
        </is>
      </c>
      <c r="F3927" t="inlineStr"/>
      <c r="G3927" s="126" t="inlineStr"/>
      <c r="H3927" s="125" t="n">
        <v>46159</v>
      </c>
      <c r="I3927" t="inlineStr"/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N3927" t="inlineStr"/>
      <c r="O3927" t="inlineStr">
        <is>
          <t>RMS2317</t>
        </is>
      </c>
      <c r="P3927" t="inlineStr"/>
      <c r="Q3927" s="112" t="n">
        <v>0</v>
      </c>
      <c r="R3927" s="112" t="n">
        <v>287.36</v>
      </c>
      <c r="S3927" s="112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D3928" t="inlineStr"/>
      <c r="E3928" t="inlineStr">
        <is>
          <t>ER</t>
        </is>
      </c>
      <c r="F3928" t="inlineStr"/>
      <c r="G3928" s="126" t="inlineStr"/>
      <c r="H3928" s="125" t="n">
        <v>46159</v>
      </c>
      <c r="I3928" t="inlineStr"/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N3928" t="inlineStr"/>
      <c r="O3928" t="inlineStr">
        <is>
          <t>RMS2317</t>
        </is>
      </c>
      <c r="P3928" t="inlineStr"/>
      <c r="Q3928" s="112" t="n">
        <v>0</v>
      </c>
      <c r="R3928" s="112" t="n">
        <v>287.36</v>
      </c>
      <c r="S3928" s="112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D3929" t="inlineStr"/>
      <c r="E3929" t="inlineStr">
        <is>
          <t>ER</t>
        </is>
      </c>
      <c r="F3929" t="inlineStr"/>
      <c r="G3929" s="126" t="inlineStr"/>
      <c r="H3929" s="125" t="n">
        <v>46166</v>
      </c>
      <c r="I3929" t="inlineStr"/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N3929" t="inlineStr"/>
      <c r="O3929" t="inlineStr">
        <is>
          <t>RMS2317</t>
        </is>
      </c>
      <c r="P3929" t="inlineStr"/>
      <c r="Q3929" s="112" t="n">
        <v>0</v>
      </c>
      <c r="R3929" s="112" t="n">
        <v>287.36</v>
      </c>
      <c r="S3929" s="112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D3930" t="inlineStr"/>
      <c r="E3930" t="inlineStr">
        <is>
          <t>ER</t>
        </is>
      </c>
      <c r="F3930" t="inlineStr"/>
      <c r="G3930" s="126" t="inlineStr"/>
      <c r="H3930" s="125" t="n">
        <v>46166</v>
      </c>
      <c r="I3930" t="inlineStr"/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N3930" t="inlineStr"/>
      <c r="O3930" t="inlineStr">
        <is>
          <t>RDZ318</t>
        </is>
      </c>
      <c r="P3930" t="inlineStr"/>
      <c r="Q3930" s="112" t="n">
        <v>0</v>
      </c>
      <c r="R3930" s="112" t="n">
        <v>778.74</v>
      </c>
      <c r="S3930" s="112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D3931" t="inlineStr"/>
      <c r="E3931" t="inlineStr">
        <is>
          <t>ER</t>
        </is>
      </c>
      <c r="F3931" t="inlineStr"/>
      <c r="G3931" s="126" t="inlineStr"/>
      <c r="H3931" s="125" t="n">
        <v>46166</v>
      </c>
      <c r="I3931" t="inlineStr"/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N3931" t="inlineStr"/>
      <c r="O3931" t="inlineStr">
        <is>
          <t>RDZ318</t>
        </is>
      </c>
      <c r="P3931" t="inlineStr"/>
      <c r="Q3931" s="112" t="n">
        <v>0</v>
      </c>
      <c r="R3931" s="112" t="n">
        <v>778.74</v>
      </c>
      <c r="S3931" s="112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D3932" t="inlineStr"/>
      <c r="E3932" t="inlineStr">
        <is>
          <t>ER</t>
        </is>
      </c>
      <c r="F3932" t="inlineStr"/>
      <c r="G3932" s="126" t="inlineStr"/>
      <c r="H3932" s="125" t="n">
        <v>46166</v>
      </c>
      <c r="I3932" t="inlineStr"/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N3932" t="inlineStr"/>
      <c r="O3932" t="inlineStr">
        <is>
          <t>RGR114</t>
        </is>
      </c>
      <c r="P3932" t="inlineStr"/>
      <c r="Q3932" s="112" t="n">
        <v>0</v>
      </c>
      <c r="R3932" s="112" t="n">
        <v>604.17</v>
      </c>
      <c r="S3932" s="112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D3933" t="inlineStr"/>
      <c r="E3933" t="inlineStr">
        <is>
          <t>ER</t>
        </is>
      </c>
      <c r="F3933" t="inlineStr"/>
      <c r="G3933" s="126" t="inlineStr"/>
      <c r="H3933" s="125" t="n">
        <v>46166</v>
      </c>
      <c r="I3933" t="inlineStr"/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N3933" t="inlineStr"/>
      <c r="O3933" t="inlineStr">
        <is>
          <t>RGR114</t>
        </is>
      </c>
      <c r="P3933" t="inlineStr"/>
      <c r="Q3933" s="112" t="n">
        <v>0</v>
      </c>
      <c r="R3933" s="112" t="n">
        <v>604.17</v>
      </c>
      <c r="S3933" s="112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D3934" t="inlineStr"/>
      <c r="E3934" t="inlineStr">
        <is>
          <t>ER</t>
        </is>
      </c>
      <c r="F3934" t="inlineStr"/>
      <c r="G3934" s="126" t="inlineStr"/>
      <c r="H3934" s="125" t="n">
        <v>46166</v>
      </c>
      <c r="I3934" t="inlineStr"/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N3934" t="inlineStr"/>
      <c r="O3934" t="inlineStr">
        <is>
          <t>RGR114</t>
        </is>
      </c>
      <c r="P3934" t="inlineStr"/>
      <c r="Q3934" s="112" t="n">
        <v>0</v>
      </c>
      <c r="R3934" s="112" t="n">
        <v>604.17</v>
      </c>
      <c r="S3934" s="112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D3935" t="inlineStr"/>
      <c r="E3935" t="inlineStr">
        <is>
          <t>ER</t>
        </is>
      </c>
      <c r="F3935" t="inlineStr"/>
      <c r="G3935" s="126" t="inlineStr"/>
      <c r="H3935" s="125" t="n">
        <v>46166</v>
      </c>
      <c r="I3935" t="inlineStr"/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N3935" t="inlineStr"/>
      <c r="O3935" t="inlineStr">
        <is>
          <t>RHV96</t>
        </is>
      </c>
      <c r="P3935" t="inlineStr"/>
      <c r="Q3935" s="112" t="n">
        <v>0</v>
      </c>
      <c r="R3935" s="112" t="n">
        <v>200</v>
      </c>
      <c r="S3935" s="112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D3936" t="inlineStr"/>
      <c r="E3936" t="inlineStr">
        <is>
          <t>ER</t>
        </is>
      </c>
      <c r="F3936" t="inlineStr"/>
      <c r="G3936" s="126" t="inlineStr"/>
      <c r="H3936" s="125" t="n">
        <v>46166</v>
      </c>
      <c r="I3936" t="inlineStr"/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N3936" t="inlineStr"/>
      <c r="O3936" t="inlineStr">
        <is>
          <t>REX665</t>
        </is>
      </c>
      <c r="P3936" t="inlineStr"/>
      <c r="Q3936" s="112" t="n">
        <v>0</v>
      </c>
      <c r="R3936" s="112" t="n">
        <v>458.33</v>
      </c>
      <c r="S3936" s="112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D3937" t="inlineStr"/>
      <c r="E3937" t="inlineStr">
        <is>
          <t>ER</t>
        </is>
      </c>
      <c r="F3937" t="inlineStr"/>
      <c r="G3937" s="126" t="inlineStr"/>
      <c r="H3937" s="125" t="n">
        <v>46166</v>
      </c>
      <c r="I3937" t="inlineStr"/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N3937" t="inlineStr"/>
      <c r="O3937" t="inlineStr">
        <is>
          <t>REX665</t>
        </is>
      </c>
      <c r="P3937" t="inlineStr"/>
      <c r="Q3937" s="112" t="n">
        <v>0</v>
      </c>
      <c r="R3937" s="112" t="n">
        <v>458.33</v>
      </c>
      <c r="S3937" s="112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D3938" t="inlineStr"/>
      <c r="E3938" t="inlineStr">
        <is>
          <t>ER</t>
        </is>
      </c>
      <c r="F3938" t="inlineStr"/>
      <c r="G3938" s="126" t="inlineStr"/>
      <c r="H3938" s="125" t="n">
        <v>46166</v>
      </c>
      <c r="I3938" t="inlineStr"/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N3938" t="inlineStr"/>
      <c r="O3938" t="inlineStr">
        <is>
          <t>REX665</t>
        </is>
      </c>
      <c r="P3938" t="inlineStr"/>
      <c r="Q3938" s="112" t="n">
        <v>0</v>
      </c>
      <c r="R3938" s="112" t="n">
        <v>458.33</v>
      </c>
      <c r="S3938" s="112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D3939" t="inlineStr"/>
      <c r="E3939" t="inlineStr">
        <is>
          <t>ER</t>
        </is>
      </c>
      <c r="F3939" t="inlineStr"/>
      <c r="G3939" s="126" t="inlineStr"/>
      <c r="H3939" s="125" t="n">
        <v>46166</v>
      </c>
      <c r="I3939" t="inlineStr"/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N3939" t="inlineStr"/>
      <c r="O3939" t="inlineStr">
        <is>
          <t>RPK482</t>
        </is>
      </c>
      <c r="P3939" t="inlineStr"/>
      <c r="Q3939" s="112" t="n">
        <v>0</v>
      </c>
      <c r="R3939" s="112" t="n">
        <v>300</v>
      </c>
      <c r="S3939" s="112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D3940" t="inlineStr"/>
      <c r="E3940" t="inlineStr">
        <is>
          <t>ER</t>
        </is>
      </c>
      <c r="F3940" t="inlineStr"/>
      <c r="G3940" s="126" t="inlineStr"/>
      <c r="H3940" s="125" t="n">
        <v>46166</v>
      </c>
      <c r="I3940" t="inlineStr"/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N3940" t="inlineStr"/>
      <c r="O3940" t="inlineStr">
        <is>
          <t>RPK482</t>
        </is>
      </c>
      <c r="P3940" t="inlineStr"/>
      <c r="Q3940" s="112" t="n">
        <v>0</v>
      </c>
      <c r="R3940" s="112" t="n">
        <v>300</v>
      </c>
      <c r="S3940" s="112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D3941" t="inlineStr"/>
      <c r="E3941" t="inlineStr">
        <is>
          <t>ER</t>
        </is>
      </c>
      <c r="F3941" t="inlineStr"/>
      <c r="G3941" s="126" t="inlineStr"/>
      <c r="H3941" s="125" t="n">
        <v>46166</v>
      </c>
      <c r="I3941" t="inlineStr"/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N3941" t="inlineStr"/>
      <c r="O3941" t="inlineStr">
        <is>
          <t>RPK482</t>
        </is>
      </c>
      <c r="P3941" t="inlineStr"/>
      <c r="Q3941" s="112" t="n">
        <v>0</v>
      </c>
      <c r="R3941" s="112" t="n">
        <v>300</v>
      </c>
      <c r="S3941" s="112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D3942" t="inlineStr"/>
      <c r="E3942" t="inlineStr">
        <is>
          <t>ER</t>
        </is>
      </c>
      <c r="F3942" t="inlineStr"/>
      <c r="G3942" s="126" t="inlineStr"/>
      <c r="H3942" s="125" t="n">
        <v>46166</v>
      </c>
      <c r="I3942" t="inlineStr"/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N3942" t="inlineStr"/>
      <c r="O3942" t="inlineStr">
        <is>
          <t>RMS2317</t>
        </is>
      </c>
      <c r="P3942" t="inlineStr"/>
      <c r="Q3942" s="112" t="n">
        <v>0</v>
      </c>
      <c r="R3942" s="112" t="n">
        <v>287.36</v>
      </c>
      <c r="S3942" s="112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D3943" t="inlineStr"/>
      <c r="E3943" t="inlineStr">
        <is>
          <t>ER</t>
        </is>
      </c>
      <c r="F3943" t="inlineStr"/>
      <c r="G3943" s="126" t="inlineStr"/>
      <c r="H3943" s="125" t="n">
        <v>46152</v>
      </c>
      <c r="I3943" t="inlineStr"/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N3943" t="inlineStr"/>
      <c r="O3943" t="inlineStr">
        <is>
          <t>RGR114</t>
        </is>
      </c>
      <c r="P3943" t="inlineStr"/>
      <c r="Q3943" s="112" t="n">
        <v>0</v>
      </c>
      <c r="R3943" s="112" t="n">
        <v>604.17</v>
      </c>
      <c r="S3943" s="112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D3944" t="inlineStr"/>
      <c r="E3944" t="inlineStr">
        <is>
          <t>ER</t>
        </is>
      </c>
      <c r="F3944" t="inlineStr"/>
      <c r="G3944" s="126" t="inlineStr"/>
      <c r="H3944" s="125" t="n">
        <v>46152</v>
      </c>
      <c r="I3944" t="inlineStr"/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N3944" t="inlineStr"/>
      <c r="O3944" t="inlineStr">
        <is>
          <t>RGR114</t>
        </is>
      </c>
      <c r="P3944" t="inlineStr"/>
      <c r="Q3944" s="112" t="n">
        <v>0</v>
      </c>
      <c r="R3944" s="112" t="n">
        <v>604.17</v>
      </c>
      <c r="S3944" s="112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D3945" t="inlineStr"/>
      <c r="E3945" t="inlineStr">
        <is>
          <t>LA</t>
        </is>
      </c>
      <c r="F3945" t="inlineStr"/>
      <c r="G3945" s="126" t="inlineStr"/>
      <c r="H3945" s="125" t="n">
        <v>46128</v>
      </c>
      <c r="I3945" t="inlineStr"/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N3945" t="inlineStr"/>
      <c r="O3945" t="inlineStr"/>
      <c r="P3945" t="inlineStr"/>
      <c r="Q3945" s="112" t="n">
        <v>0</v>
      </c>
      <c r="R3945" s="112" t="n">
        <v>1162.7</v>
      </c>
      <c r="S3945" s="112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D3946" t="inlineStr"/>
      <c r="E3946" t="inlineStr">
        <is>
          <t>LA</t>
        </is>
      </c>
      <c r="F3946" t="inlineStr"/>
      <c r="G3946" s="126" t="inlineStr"/>
      <c r="H3946" s="125" t="n">
        <v>46149</v>
      </c>
      <c r="I3946" t="inlineStr"/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N3946" t="inlineStr"/>
      <c r="O3946" t="inlineStr"/>
      <c r="P3946" t="inlineStr"/>
      <c r="Q3946" s="112" t="n">
        <v>0</v>
      </c>
      <c r="R3946" s="112" t="n">
        <v>969.22</v>
      </c>
      <c r="S3946" s="112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D3947" t="inlineStr"/>
      <c r="E3947" t="inlineStr">
        <is>
          <t>LA</t>
        </is>
      </c>
      <c r="F3947" t="inlineStr"/>
      <c r="G3947" s="126" t="inlineStr"/>
      <c r="H3947" s="125" t="n">
        <v>46149</v>
      </c>
      <c r="I3947" t="inlineStr"/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N3947" t="inlineStr"/>
      <c r="O3947" t="inlineStr"/>
      <c r="P3947" t="inlineStr"/>
      <c r="Q3947" s="112" t="n">
        <v>0</v>
      </c>
      <c r="R3947" s="112" t="n">
        <v>1710.42</v>
      </c>
      <c r="S3947" s="112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D3948" t="inlineStr"/>
      <c r="E3948" t="inlineStr">
        <is>
          <t>ER</t>
        </is>
      </c>
      <c r="F3948" t="inlineStr"/>
      <c r="G3948" s="126" t="inlineStr"/>
      <c r="H3948" s="125" t="n">
        <v>46131</v>
      </c>
      <c r="I3948" t="inlineStr"/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N3948" t="inlineStr"/>
      <c r="O3948" t="inlineStr">
        <is>
          <t>RMS2321</t>
        </is>
      </c>
      <c r="P3948" t="inlineStr"/>
      <c r="Q3948" s="112" t="n">
        <v>0</v>
      </c>
      <c r="R3948" s="112" t="n">
        <v>1077.59</v>
      </c>
      <c r="S3948" s="112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D3949" t="inlineStr"/>
      <c r="E3949" t="inlineStr">
        <is>
          <t>ER</t>
        </is>
      </c>
      <c r="F3949" t="inlineStr"/>
      <c r="G3949" s="126" t="inlineStr"/>
      <c r="H3949" s="125" t="n">
        <v>46131</v>
      </c>
      <c r="I3949" t="inlineStr"/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N3949" t="inlineStr"/>
      <c r="O3949" t="inlineStr">
        <is>
          <t>RFT892</t>
        </is>
      </c>
      <c r="P3949" t="inlineStr"/>
      <c r="Q3949" s="112" t="n">
        <v>0</v>
      </c>
      <c r="R3949" s="112" t="n">
        <v>508.33</v>
      </c>
      <c r="S3949" s="112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D3950" t="inlineStr"/>
      <c r="E3950" t="inlineStr">
        <is>
          <t>ER</t>
        </is>
      </c>
      <c r="F3950" t="inlineStr"/>
      <c r="G3950" s="126" t="inlineStr"/>
      <c r="H3950" s="125" t="n">
        <v>46131</v>
      </c>
      <c r="I3950" t="inlineStr"/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N3950" t="inlineStr"/>
      <c r="O3950" t="inlineStr">
        <is>
          <t>RFT892</t>
        </is>
      </c>
      <c r="P3950" t="inlineStr"/>
      <c r="Q3950" s="112" t="n">
        <v>0</v>
      </c>
      <c r="R3950" s="112" t="n">
        <v>508.33</v>
      </c>
      <c r="S3950" s="112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D3951" t="inlineStr"/>
      <c r="E3951" t="inlineStr">
        <is>
          <t>ER</t>
        </is>
      </c>
      <c r="F3951" t="inlineStr"/>
      <c r="G3951" s="126" t="inlineStr"/>
      <c r="H3951" s="125" t="n">
        <v>46131</v>
      </c>
      <c r="I3951" t="inlineStr"/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N3951" t="inlineStr"/>
      <c r="O3951" t="inlineStr">
        <is>
          <t>RFT892</t>
        </is>
      </c>
      <c r="P3951" t="inlineStr"/>
      <c r="Q3951" s="112" t="n">
        <v>0</v>
      </c>
      <c r="R3951" s="112" t="n">
        <v>508.33</v>
      </c>
      <c r="S3951" s="112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D3952" t="inlineStr"/>
      <c r="E3952" t="inlineStr">
        <is>
          <t>ER</t>
        </is>
      </c>
      <c r="F3952" t="inlineStr"/>
      <c r="G3952" s="126" t="inlineStr"/>
      <c r="H3952" s="125" t="n">
        <v>46131</v>
      </c>
      <c r="I3952" t="inlineStr"/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N3952" t="inlineStr"/>
      <c r="O3952" t="inlineStr">
        <is>
          <t>RFT892</t>
        </is>
      </c>
      <c r="P3952" t="inlineStr"/>
      <c r="Q3952" s="112" t="n">
        <v>0</v>
      </c>
      <c r="R3952" s="112" t="n">
        <v>508.33</v>
      </c>
      <c r="S3952" s="112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D3953" t="inlineStr"/>
      <c r="E3953" t="inlineStr">
        <is>
          <t>ER</t>
        </is>
      </c>
      <c r="F3953" t="inlineStr"/>
      <c r="G3953" s="126" t="inlineStr"/>
      <c r="H3953" s="125" t="n">
        <v>46131</v>
      </c>
      <c r="I3953" t="inlineStr"/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N3953" t="inlineStr"/>
      <c r="O3953" t="inlineStr">
        <is>
          <t>RFT892</t>
        </is>
      </c>
      <c r="P3953" t="inlineStr"/>
      <c r="Q3953" s="112" t="n">
        <v>0</v>
      </c>
      <c r="R3953" s="112" t="n">
        <v>508.33</v>
      </c>
      <c r="S3953" s="112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D3954" t="inlineStr"/>
      <c r="E3954" t="inlineStr">
        <is>
          <t>ER</t>
        </is>
      </c>
      <c r="F3954" t="inlineStr"/>
      <c r="G3954" s="126" t="inlineStr"/>
      <c r="H3954" s="125" t="n">
        <v>46131</v>
      </c>
      <c r="I3954" t="inlineStr"/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N3954" t="inlineStr"/>
      <c r="O3954" t="inlineStr">
        <is>
          <t>RFT892</t>
        </is>
      </c>
      <c r="P3954" t="inlineStr"/>
      <c r="Q3954" s="112" t="n">
        <v>0</v>
      </c>
      <c r="R3954" s="112" t="n">
        <v>508.33</v>
      </c>
      <c r="S3954" s="112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D3955" t="inlineStr"/>
      <c r="E3955" t="inlineStr">
        <is>
          <t>ER</t>
        </is>
      </c>
      <c r="F3955" t="inlineStr"/>
      <c r="G3955" s="126" t="inlineStr"/>
      <c r="H3955" s="125" t="n">
        <v>46131</v>
      </c>
      <c r="I3955" t="inlineStr"/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N3955" t="inlineStr"/>
      <c r="O3955" t="inlineStr">
        <is>
          <t>RMS2321</t>
        </is>
      </c>
      <c r="P3955" t="inlineStr"/>
      <c r="Q3955" s="112" t="n">
        <v>0</v>
      </c>
      <c r="R3955" s="112" t="n">
        <v>1077.59</v>
      </c>
      <c r="S3955" s="112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D3956" t="inlineStr"/>
      <c r="E3956" t="inlineStr">
        <is>
          <t>ER</t>
        </is>
      </c>
      <c r="F3956" t="inlineStr"/>
      <c r="G3956" s="126" t="inlineStr"/>
      <c r="H3956" s="125" t="n">
        <v>46131</v>
      </c>
      <c r="I3956" t="inlineStr"/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N3956" t="inlineStr"/>
      <c r="O3956" t="inlineStr">
        <is>
          <t>RMS2321</t>
        </is>
      </c>
      <c r="P3956" t="inlineStr"/>
      <c r="Q3956" s="112" t="n">
        <v>0</v>
      </c>
      <c r="R3956" s="112" t="n">
        <v>1077.59</v>
      </c>
      <c r="S3956" s="112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D3957" t="inlineStr"/>
      <c r="E3957" t="inlineStr">
        <is>
          <t>ER</t>
        </is>
      </c>
      <c r="F3957" t="inlineStr"/>
      <c r="G3957" s="126" t="inlineStr"/>
      <c r="H3957" s="125" t="n">
        <v>46131</v>
      </c>
      <c r="I3957" t="inlineStr"/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N3957" t="inlineStr"/>
      <c r="O3957" t="inlineStr">
        <is>
          <t>RMS2321</t>
        </is>
      </c>
      <c r="P3957" t="inlineStr"/>
      <c r="Q3957" s="112" t="n">
        <v>0</v>
      </c>
      <c r="R3957" s="112" t="n">
        <v>1077.59</v>
      </c>
      <c r="S3957" s="112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D3958" t="inlineStr"/>
      <c r="E3958" t="inlineStr">
        <is>
          <t>ER</t>
        </is>
      </c>
      <c r="F3958" t="inlineStr"/>
      <c r="G3958" s="126" t="inlineStr"/>
      <c r="H3958" s="125" t="n">
        <v>46142</v>
      </c>
      <c r="I3958" t="inlineStr"/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N3958" t="inlineStr"/>
      <c r="O3958" t="inlineStr">
        <is>
          <t>RFT890</t>
        </is>
      </c>
      <c r="P3958" t="inlineStr"/>
      <c r="Q3958" s="112" t="n">
        <v>0</v>
      </c>
      <c r="R3958" s="112" t="n">
        <v>500</v>
      </c>
      <c r="S3958" s="112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D3959" t="inlineStr"/>
      <c r="E3959" t="inlineStr">
        <is>
          <t>ER</t>
        </is>
      </c>
      <c r="F3959" t="inlineStr"/>
      <c r="G3959" s="126" t="inlineStr"/>
      <c r="H3959" s="125" t="n">
        <v>46142</v>
      </c>
      <c r="I3959" t="inlineStr"/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N3959" t="inlineStr"/>
      <c r="O3959" t="inlineStr">
        <is>
          <t>RFT892</t>
        </is>
      </c>
      <c r="P3959" t="inlineStr"/>
      <c r="Q3959" s="112" t="n">
        <v>0</v>
      </c>
      <c r="R3959" s="112" t="n">
        <v>508.33</v>
      </c>
      <c r="S3959" s="112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D3960" t="inlineStr"/>
      <c r="E3960" t="inlineStr">
        <is>
          <t>ER</t>
        </is>
      </c>
      <c r="F3960" t="inlineStr"/>
      <c r="G3960" s="126" t="inlineStr"/>
      <c r="H3960" s="125" t="n">
        <v>46142</v>
      </c>
      <c r="I3960" t="inlineStr"/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N3960" t="inlineStr"/>
      <c r="O3960" t="inlineStr">
        <is>
          <t>RFT892</t>
        </is>
      </c>
      <c r="P3960" t="inlineStr"/>
      <c r="Q3960" s="112" t="n">
        <v>0</v>
      </c>
      <c r="R3960" s="112" t="n">
        <v>508.33</v>
      </c>
      <c r="S3960" s="112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D3961" t="inlineStr"/>
      <c r="E3961" t="inlineStr">
        <is>
          <t>ER</t>
        </is>
      </c>
      <c r="F3961" t="inlineStr"/>
      <c r="G3961" s="126" t="inlineStr"/>
      <c r="H3961" s="125" t="n">
        <v>46142</v>
      </c>
      <c r="I3961" t="inlineStr"/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N3961" t="inlineStr"/>
      <c r="O3961" t="inlineStr">
        <is>
          <t>RFT892</t>
        </is>
      </c>
      <c r="P3961" t="inlineStr"/>
      <c r="Q3961" s="112" t="n">
        <v>0</v>
      </c>
      <c r="R3961" s="112" t="n">
        <v>508.33</v>
      </c>
      <c r="S3961" s="112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D3962" t="inlineStr"/>
      <c r="E3962" t="inlineStr">
        <is>
          <t>ER</t>
        </is>
      </c>
      <c r="F3962" t="inlineStr"/>
      <c r="G3962" s="126" t="inlineStr"/>
      <c r="H3962" s="125" t="n">
        <v>46142</v>
      </c>
      <c r="I3962" t="inlineStr"/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N3962" t="inlineStr"/>
      <c r="O3962" t="inlineStr">
        <is>
          <t>RFT892</t>
        </is>
      </c>
      <c r="P3962" t="inlineStr"/>
      <c r="Q3962" s="112" t="n">
        <v>0</v>
      </c>
      <c r="R3962" s="112" t="n">
        <v>508.33</v>
      </c>
      <c r="S3962" s="112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D3963" t="inlineStr"/>
      <c r="E3963" t="inlineStr">
        <is>
          <t>ER</t>
        </is>
      </c>
      <c r="F3963" t="inlineStr"/>
      <c r="G3963" s="126" t="inlineStr"/>
      <c r="H3963" s="125" t="n">
        <v>46142</v>
      </c>
      <c r="I3963" t="inlineStr"/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N3963" t="inlineStr"/>
      <c r="O3963" t="inlineStr">
        <is>
          <t>RFT891</t>
        </is>
      </c>
      <c r="P3963" t="inlineStr"/>
      <c r="Q3963" s="112" t="n">
        <v>0</v>
      </c>
      <c r="R3963" s="112" t="n">
        <v>500</v>
      </c>
      <c r="S3963" s="112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D3964" t="inlineStr"/>
      <c r="E3964" t="inlineStr">
        <is>
          <t>ER</t>
        </is>
      </c>
      <c r="F3964" t="inlineStr"/>
      <c r="G3964" s="126" t="inlineStr"/>
      <c r="H3964" s="125" t="n">
        <v>46142</v>
      </c>
      <c r="I3964" t="inlineStr"/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N3964" t="inlineStr"/>
      <c r="O3964" t="inlineStr">
        <is>
          <t>RFT891</t>
        </is>
      </c>
      <c r="P3964" t="inlineStr"/>
      <c r="Q3964" s="112" t="n">
        <v>0</v>
      </c>
      <c r="R3964" s="112" t="n">
        <v>500</v>
      </c>
      <c r="S3964" s="112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D3965" t="inlineStr"/>
      <c r="E3965" t="inlineStr">
        <is>
          <t>ER</t>
        </is>
      </c>
      <c r="F3965" t="inlineStr"/>
      <c r="G3965" s="126" t="inlineStr"/>
      <c r="H3965" s="125" t="n">
        <v>46142</v>
      </c>
      <c r="I3965" t="inlineStr"/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N3965" t="inlineStr"/>
      <c r="O3965" t="inlineStr">
        <is>
          <t>RFT891</t>
        </is>
      </c>
      <c r="P3965" t="inlineStr"/>
      <c r="Q3965" s="112" t="n">
        <v>0</v>
      </c>
      <c r="R3965" s="112" t="n">
        <v>500</v>
      </c>
      <c r="S3965" s="112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D3966" t="inlineStr"/>
      <c r="E3966" t="inlineStr">
        <is>
          <t>ER</t>
        </is>
      </c>
      <c r="F3966" t="inlineStr"/>
      <c r="G3966" s="126" t="inlineStr"/>
      <c r="H3966" s="125" t="n">
        <v>46142</v>
      </c>
      <c r="I3966" t="inlineStr"/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N3966" t="inlineStr"/>
      <c r="O3966" t="inlineStr">
        <is>
          <t>RFT891</t>
        </is>
      </c>
      <c r="P3966" t="inlineStr"/>
      <c r="Q3966" s="112" t="n">
        <v>0</v>
      </c>
      <c r="R3966" s="112" t="n">
        <v>500</v>
      </c>
      <c r="S3966" s="112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D3967" t="inlineStr"/>
      <c r="E3967" t="inlineStr">
        <is>
          <t>ER</t>
        </is>
      </c>
      <c r="F3967" t="inlineStr"/>
      <c r="G3967" s="126" t="inlineStr"/>
      <c r="H3967" s="125" t="n">
        <v>46142</v>
      </c>
      <c r="I3967" t="inlineStr"/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N3967" t="inlineStr"/>
      <c r="O3967" t="inlineStr">
        <is>
          <t>RMS2319</t>
        </is>
      </c>
      <c r="P3967" t="inlineStr"/>
      <c r="Q3967" s="112" t="n">
        <v>0</v>
      </c>
      <c r="R3967" s="112" t="n">
        <v>179.6</v>
      </c>
      <c r="S3967" s="112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D3968" t="inlineStr"/>
      <c r="E3968" t="inlineStr">
        <is>
          <t>ER</t>
        </is>
      </c>
      <c r="F3968" t="inlineStr"/>
      <c r="G3968" s="126" t="inlineStr"/>
      <c r="H3968" s="125" t="n">
        <v>46142</v>
      </c>
      <c r="I3968" t="inlineStr"/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N3968" t="inlineStr"/>
      <c r="O3968" t="inlineStr">
        <is>
          <t>RMS2319</t>
        </is>
      </c>
      <c r="P3968" t="inlineStr"/>
      <c r="Q3968" s="112" t="n">
        <v>0</v>
      </c>
      <c r="R3968" s="112" t="n">
        <v>179.6</v>
      </c>
      <c r="S3968" s="112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D3969" t="inlineStr"/>
      <c r="E3969" t="inlineStr">
        <is>
          <t>ER</t>
        </is>
      </c>
      <c r="F3969" t="inlineStr"/>
      <c r="G3969" s="126" t="inlineStr"/>
      <c r="H3969" s="125" t="n">
        <v>46142</v>
      </c>
      <c r="I3969" t="inlineStr"/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N3969" t="inlineStr"/>
      <c r="O3969" t="inlineStr">
        <is>
          <t>RMS2319</t>
        </is>
      </c>
      <c r="P3969" t="inlineStr"/>
      <c r="Q3969" s="112" t="n">
        <v>0</v>
      </c>
      <c r="R3969" s="112" t="n">
        <v>179.6</v>
      </c>
      <c r="S3969" s="112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D3970" t="inlineStr"/>
      <c r="E3970" t="inlineStr">
        <is>
          <t>ER</t>
        </is>
      </c>
      <c r="F3970" t="inlineStr"/>
      <c r="G3970" s="126" t="inlineStr"/>
      <c r="H3970" s="125" t="n">
        <v>46142</v>
      </c>
      <c r="I3970" t="inlineStr"/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N3970" t="inlineStr"/>
      <c r="O3970" t="inlineStr">
        <is>
          <t>RMS2319</t>
        </is>
      </c>
      <c r="P3970" t="inlineStr"/>
      <c r="Q3970" s="112" t="n">
        <v>0</v>
      </c>
      <c r="R3970" s="112" t="n">
        <v>179.6</v>
      </c>
      <c r="S3970" s="112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D3971" t="inlineStr"/>
      <c r="E3971" t="inlineStr">
        <is>
          <t>ER</t>
        </is>
      </c>
      <c r="F3971" t="inlineStr"/>
      <c r="G3971" s="126" t="inlineStr"/>
      <c r="H3971" s="125" t="n">
        <v>46142</v>
      </c>
      <c r="I3971" t="inlineStr"/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N3971" t="inlineStr"/>
      <c r="O3971" t="inlineStr">
        <is>
          <t>RMS2321</t>
        </is>
      </c>
      <c r="P3971" t="inlineStr"/>
      <c r="Q3971" s="112" t="n">
        <v>0</v>
      </c>
      <c r="R3971" s="112" t="n">
        <v>1077.59</v>
      </c>
      <c r="S3971" s="112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D3972" t="inlineStr"/>
      <c r="E3972" t="inlineStr">
        <is>
          <t>ER</t>
        </is>
      </c>
      <c r="F3972" t="inlineStr"/>
      <c r="G3972" s="126" t="inlineStr"/>
      <c r="H3972" s="125" t="n">
        <v>46142</v>
      </c>
      <c r="I3972" t="inlineStr"/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N3972" t="inlineStr"/>
      <c r="O3972" t="inlineStr">
        <is>
          <t>RMS2321</t>
        </is>
      </c>
      <c r="P3972" t="inlineStr"/>
      <c r="Q3972" s="112" t="n">
        <v>0</v>
      </c>
      <c r="R3972" s="112" t="n">
        <v>1077.59</v>
      </c>
      <c r="S3972" s="112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D3973" t="inlineStr"/>
      <c r="E3973" t="inlineStr">
        <is>
          <t>ER</t>
        </is>
      </c>
      <c r="F3973" t="inlineStr"/>
      <c r="G3973" s="126" t="inlineStr"/>
      <c r="H3973" s="125" t="n">
        <v>46142</v>
      </c>
      <c r="I3973" t="inlineStr"/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N3973" t="inlineStr"/>
      <c r="O3973" t="inlineStr">
        <is>
          <t>RMS2321</t>
        </is>
      </c>
      <c r="P3973" t="inlineStr"/>
      <c r="Q3973" s="112" t="n">
        <v>0</v>
      </c>
      <c r="R3973" s="112" t="n">
        <v>1077.59</v>
      </c>
      <c r="S3973" s="112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D3974" t="inlineStr"/>
      <c r="E3974" t="inlineStr">
        <is>
          <t>ER</t>
        </is>
      </c>
      <c r="F3974" t="inlineStr"/>
      <c r="G3974" s="126" t="inlineStr"/>
      <c r="H3974" s="125" t="n">
        <v>46142</v>
      </c>
      <c r="I3974" t="inlineStr"/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N3974" t="inlineStr"/>
      <c r="O3974" t="inlineStr">
        <is>
          <t>RMS2321</t>
        </is>
      </c>
      <c r="P3974" t="inlineStr"/>
      <c r="Q3974" s="112" t="n">
        <v>0</v>
      </c>
      <c r="R3974" s="112" t="n">
        <v>1077.59</v>
      </c>
      <c r="S3974" s="112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D3975" t="inlineStr"/>
      <c r="E3975" t="inlineStr">
        <is>
          <t>ER</t>
        </is>
      </c>
      <c r="F3975" t="inlineStr"/>
      <c r="G3975" s="126" t="inlineStr"/>
      <c r="H3975" s="125" t="n">
        <v>46142</v>
      </c>
      <c r="I3975" t="inlineStr"/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N3975" t="inlineStr"/>
      <c r="O3975" t="inlineStr">
        <is>
          <t>RMS2320</t>
        </is>
      </c>
      <c r="P3975" t="inlineStr"/>
      <c r="Q3975" s="112" t="n">
        <v>0</v>
      </c>
      <c r="R3975" s="112" t="n">
        <v>1077.59</v>
      </c>
      <c r="S3975" s="112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D3976" t="inlineStr"/>
      <c r="E3976" t="inlineStr">
        <is>
          <t>ER</t>
        </is>
      </c>
      <c r="F3976" t="inlineStr"/>
      <c r="G3976" s="126" t="inlineStr"/>
      <c r="H3976" s="125" t="n">
        <v>46142</v>
      </c>
      <c r="I3976" t="inlineStr"/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N3976" t="inlineStr"/>
      <c r="O3976" t="inlineStr">
        <is>
          <t>RMS2320</t>
        </is>
      </c>
      <c r="P3976" t="inlineStr"/>
      <c r="Q3976" s="112" t="n">
        <v>0</v>
      </c>
      <c r="R3976" s="112" t="n">
        <v>1077.59</v>
      </c>
      <c r="S3976" s="112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D3977" t="inlineStr"/>
      <c r="E3977" t="inlineStr">
        <is>
          <t>ER</t>
        </is>
      </c>
      <c r="F3977" t="inlineStr"/>
      <c r="G3977" s="126" t="inlineStr"/>
      <c r="H3977" s="125" t="n">
        <v>46142</v>
      </c>
      <c r="I3977" t="inlineStr"/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N3977" t="inlineStr"/>
      <c r="O3977" t="inlineStr">
        <is>
          <t>RMS2320</t>
        </is>
      </c>
      <c r="P3977" t="inlineStr"/>
      <c r="Q3977" s="112" t="n">
        <v>0</v>
      </c>
      <c r="R3977" s="112" t="n">
        <v>1077.59</v>
      </c>
      <c r="S3977" s="112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D3978" t="inlineStr"/>
      <c r="E3978" t="inlineStr">
        <is>
          <t>ER</t>
        </is>
      </c>
      <c r="F3978" t="inlineStr"/>
      <c r="G3978" s="126" t="inlineStr"/>
      <c r="H3978" s="125" t="n">
        <v>46142</v>
      </c>
      <c r="I3978" t="inlineStr"/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N3978" t="inlineStr"/>
      <c r="O3978" t="inlineStr">
        <is>
          <t>RMS2320</t>
        </is>
      </c>
      <c r="P3978" t="inlineStr"/>
      <c r="Q3978" s="112" t="n">
        <v>0</v>
      </c>
      <c r="R3978" s="112" t="n">
        <v>1077.59</v>
      </c>
      <c r="S3978" s="112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D3979" t="inlineStr"/>
      <c r="E3979" t="inlineStr">
        <is>
          <t>ER</t>
        </is>
      </c>
      <c r="F3979" t="inlineStr"/>
      <c r="G3979" s="126" t="inlineStr"/>
      <c r="H3979" s="125" t="n">
        <v>46152</v>
      </c>
      <c r="I3979" t="inlineStr"/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N3979" t="inlineStr"/>
      <c r="O3979" t="inlineStr">
        <is>
          <t>RFT890</t>
        </is>
      </c>
      <c r="P3979" t="inlineStr"/>
      <c r="Q3979" s="112" t="n">
        <v>0</v>
      </c>
      <c r="R3979" s="112" t="n">
        <v>500</v>
      </c>
      <c r="S3979" s="112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D3980" t="inlineStr"/>
      <c r="E3980" t="inlineStr">
        <is>
          <t>ER</t>
        </is>
      </c>
      <c r="F3980" t="inlineStr"/>
      <c r="G3980" s="126" t="inlineStr"/>
      <c r="H3980" s="125" t="n">
        <v>46152</v>
      </c>
      <c r="I3980" t="inlineStr"/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N3980" t="inlineStr"/>
      <c r="O3980" t="inlineStr">
        <is>
          <t>RFT890</t>
        </is>
      </c>
      <c r="P3980" t="inlineStr"/>
      <c r="Q3980" s="112" t="n">
        <v>0</v>
      </c>
      <c r="R3980" s="112" t="n">
        <v>500</v>
      </c>
      <c r="S3980" s="112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D3981" t="inlineStr"/>
      <c r="E3981" t="inlineStr">
        <is>
          <t>ER</t>
        </is>
      </c>
      <c r="F3981" t="inlineStr"/>
      <c r="G3981" s="126" t="inlineStr"/>
      <c r="H3981" s="125" t="n">
        <v>46152</v>
      </c>
      <c r="I3981" t="inlineStr"/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N3981" t="inlineStr"/>
      <c r="O3981" t="inlineStr">
        <is>
          <t>RFT890</t>
        </is>
      </c>
      <c r="P3981" t="inlineStr"/>
      <c r="Q3981" s="112" t="n">
        <v>0</v>
      </c>
      <c r="R3981" s="112" t="n">
        <v>500</v>
      </c>
      <c r="S3981" s="112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D3982" t="inlineStr"/>
      <c r="E3982" t="inlineStr">
        <is>
          <t>ER</t>
        </is>
      </c>
      <c r="F3982" t="inlineStr"/>
      <c r="G3982" s="126" t="inlineStr"/>
      <c r="H3982" s="125" t="n">
        <v>46152</v>
      </c>
      <c r="I3982" t="inlineStr"/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N3982" t="inlineStr"/>
      <c r="O3982" t="inlineStr">
        <is>
          <t>RFT890</t>
        </is>
      </c>
      <c r="P3982" t="inlineStr"/>
      <c r="Q3982" s="112" t="n">
        <v>0</v>
      </c>
      <c r="R3982" s="112" t="n">
        <v>500</v>
      </c>
      <c r="S3982" s="112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D3983" t="inlineStr"/>
      <c r="E3983" t="inlineStr">
        <is>
          <t>ER</t>
        </is>
      </c>
      <c r="F3983" t="inlineStr"/>
      <c r="G3983" s="126" t="inlineStr"/>
      <c r="H3983" s="125" t="n">
        <v>46152</v>
      </c>
      <c r="I3983" t="inlineStr"/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N3983" t="inlineStr"/>
      <c r="O3983" t="inlineStr">
        <is>
          <t>RFT892</t>
        </is>
      </c>
      <c r="P3983" t="inlineStr"/>
      <c r="Q3983" s="112" t="n">
        <v>0</v>
      </c>
      <c r="R3983" s="112" t="n">
        <v>508.33</v>
      </c>
      <c r="S3983" s="112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D3984" t="inlineStr"/>
      <c r="E3984" t="inlineStr">
        <is>
          <t>ER</t>
        </is>
      </c>
      <c r="F3984" t="inlineStr"/>
      <c r="G3984" s="126" t="inlineStr"/>
      <c r="H3984" s="125" t="n">
        <v>46152</v>
      </c>
      <c r="I3984" t="inlineStr"/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N3984" t="inlineStr"/>
      <c r="O3984" t="inlineStr">
        <is>
          <t>RFT892</t>
        </is>
      </c>
      <c r="P3984" t="inlineStr"/>
      <c r="Q3984" s="112" t="n">
        <v>0</v>
      </c>
      <c r="R3984" s="112" t="n">
        <v>508.33</v>
      </c>
      <c r="S3984" s="112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D3985" t="inlineStr"/>
      <c r="E3985" t="inlineStr">
        <is>
          <t>ER</t>
        </is>
      </c>
      <c r="F3985" t="inlineStr"/>
      <c r="G3985" s="126" t="inlineStr"/>
      <c r="H3985" s="125" t="n">
        <v>46152</v>
      </c>
      <c r="I3985" t="inlineStr"/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N3985" t="inlineStr"/>
      <c r="O3985" t="inlineStr">
        <is>
          <t>RFT892</t>
        </is>
      </c>
      <c r="P3985" t="inlineStr"/>
      <c r="Q3985" s="112" t="n">
        <v>0</v>
      </c>
      <c r="R3985" s="112" t="n">
        <v>508.33</v>
      </c>
      <c r="S3985" s="112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D3986" t="inlineStr"/>
      <c r="E3986" t="inlineStr">
        <is>
          <t>ER</t>
        </is>
      </c>
      <c r="F3986" t="inlineStr"/>
      <c r="G3986" s="126" t="inlineStr"/>
      <c r="H3986" s="125" t="n">
        <v>46152</v>
      </c>
      <c r="I3986" t="inlineStr"/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N3986" t="inlineStr"/>
      <c r="O3986" t="inlineStr">
        <is>
          <t>RFT892</t>
        </is>
      </c>
      <c r="P3986" t="inlineStr"/>
      <c r="Q3986" s="112" t="n">
        <v>0</v>
      </c>
      <c r="R3986" s="112" t="n">
        <v>508.33</v>
      </c>
      <c r="S3986" s="112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D3987" t="inlineStr"/>
      <c r="E3987" t="inlineStr">
        <is>
          <t>ER</t>
        </is>
      </c>
      <c r="F3987" t="inlineStr"/>
      <c r="G3987" s="126" t="inlineStr"/>
      <c r="H3987" s="125" t="n">
        <v>46152</v>
      </c>
      <c r="I3987" t="inlineStr"/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N3987" t="inlineStr"/>
      <c r="O3987" t="inlineStr">
        <is>
          <t>RFT891</t>
        </is>
      </c>
      <c r="P3987" t="inlineStr"/>
      <c r="Q3987" s="112" t="n">
        <v>0</v>
      </c>
      <c r="R3987" s="112" t="n">
        <v>500</v>
      </c>
      <c r="S3987" s="112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D3988" t="inlineStr"/>
      <c r="E3988" t="inlineStr">
        <is>
          <t>ER</t>
        </is>
      </c>
      <c r="F3988" t="inlineStr"/>
      <c r="G3988" s="126" t="inlineStr"/>
      <c r="H3988" s="125" t="n">
        <v>46152</v>
      </c>
      <c r="I3988" t="inlineStr"/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N3988" t="inlineStr"/>
      <c r="O3988" t="inlineStr">
        <is>
          <t>RFT891</t>
        </is>
      </c>
      <c r="P3988" t="inlineStr"/>
      <c r="Q3988" s="112" t="n">
        <v>0</v>
      </c>
      <c r="R3988" s="112" t="n">
        <v>500</v>
      </c>
      <c r="S3988" s="112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D3989" t="inlineStr"/>
      <c r="E3989" t="inlineStr">
        <is>
          <t>ER</t>
        </is>
      </c>
      <c r="F3989" t="inlineStr"/>
      <c r="G3989" s="126" t="inlineStr"/>
      <c r="H3989" s="125" t="n">
        <v>46152</v>
      </c>
      <c r="I3989" t="inlineStr"/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N3989" t="inlineStr"/>
      <c r="O3989" t="inlineStr">
        <is>
          <t>RFT891</t>
        </is>
      </c>
      <c r="P3989" t="inlineStr"/>
      <c r="Q3989" s="112" t="n">
        <v>0</v>
      </c>
      <c r="R3989" s="112" t="n">
        <v>500</v>
      </c>
      <c r="S3989" s="112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D3990" t="inlineStr"/>
      <c r="E3990" t="inlineStr">
        <is>
          <t>ER</t>
        </is>
      </c>
      <c r="F3990" t="inlineStr"/>
      <c r="G3990" s="126" t="inlineStr"/>
      <c r="H3990" s="125" t="n">
        <v>46152</v>
      </c>
      <c r="I3990" t="inlineStr"/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N3990" t="inlineStr"/>
      <c r="O3990" t="inlineStr">
        <is>
          <t>RFT891</t>
        </is>
      </c>
      <c r="P3990" t="inlineStr"/>
      <c r="Q3990" s="112" t="n">
        <v>0</v>
      </c>
      <c r="R3990" s="112" t="n">
        <v>500</v>
      </c>
      <c r="S3990" s="112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D3991" t="inlineStr"/>
      <c r="E3991" t="inlineStr">
        <is>
          <t>ER</t>
        </is>
      </c>
      <c r="F3991" t="inlineStr"/>
      <c r="G3991" s="126" t="inlineStr"/>
      <c r="H3991" s="125" t="n">
        <v>46152</v>
      </c>
      <c r="I3991" t="inlineStr"/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N3991" t="inlineStr"/>
      <c r="O3991" t="inlineStr">
        <is>
          <t>RMS2319</t>
        </is>
      </c>
      <c r="P3991" t="inlineStr"/>
      <c r="Q3991" s="112" t="n">
        <v>0</v>
      </c>
      <c r="R3991" s="112" t="n">
        <v>179.6</v>
      </c>
      <c r="S3991" s="112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D3992" t="inlineStr"/>
      <c r="E3992" t="inlineStr">
        <is>
          <t>ER</t>
        </is>
      </c>
      <c r="F3992" t="inlineStr"/>
      <c r="G3992" s="126" t="inlineStr"/>
      <c r="H3992" s="125" t="n">
        <v>46152</v>
      </c>
      <c r="I3992" t="inlineStr"/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N3992" t="inlineStr"/>
      <c r="O3992" t="inlineStr">
        <is>
          <t>RMS2319</t>
        </is>
      </c>
      <c r="P3992" t="inlineStr"/>
      <c r="Q3992" s="112" t="n">
        <v>0</v>
      </c>
      <c r="R3992" s="112" t="n">
        <v>179.6</v>
      </c>
      <c r="S3992" s="112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D3993" t="inlineStr"/>
      <c r="E3993" t="inlineStr">
        <is>
          <t>ER</t>
        </is>
      </c>
      <c r="F3993" t="inlineStr"/>
      <c r="G3993" s="126" t="inlineStr"/>
      <c r="H3993" s="125" t="n">
        <v>46152</v>
      </c>
      <c r="I3993" t="inlineStr"/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N3993" t="inlineStr"/>
      <c r="O3993" t="inlineStr">
        <is>
          <t>RMS2319</t>
        </is>
      </c>
      <c r="P3993" t="inlineStr"/>
      <c r="Q3993" s="112" t="n">
        <v>0</v>
      </c>
      <c r="R3993" s="112" t="n">
        <v>179.6</v>
      </c>
      <c r="S3993" s="112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D3994" t="inlineStr"/>
      <c r="E3994" t="inlineStr">
        <is>
          <t>ER</t>
        </is>
      </c>
      <c r="F3994" t="inlineStr"/>
      <c r="G3994" s="126" t="inlineStr"/>
      <c r="H3994" s="125" t="n">
        <v>46152</v>
      </c>
      <c r="I3994" t="inlineStr"/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N3994" t="inlineStr"/>
      <c r="O3994" t="inlineStr">
        <is>
          <t>RMS2319</t>
        </is>
      </c>
      <c r="P3994" t="inlineStr"/>
      <c r="Q3994" s="112" t="n">
        <v>0</v>
      </c>
      <c r="R3994" s="112" t="n">
        <v>179.6</v>
      </c>
      <c r="S3994" s="112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D3995" t="inlineStr"/>
      <c r="E3995" t="inlineStr">
        <is>
          <t>ER</t>
        </is>
      </c>
      <c r="F3995" t="inlineStr"/>
      <c r="G3995" s="126" t="inlineStr"/>
      <c r="H3995" s="125" t="n">
        <v>46152</v>
      </c>
      <c r="I3995" t="inlineStr"/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N3995" t="inlineStr"/>
      <c r="O3995" t="inlineStr">
        <is>
          <t>RMS2321</t>
        </is>
      </c>
      <c r="P3995" t="inlineStr"/>
      <c r="Q3995" s="112" t="n">
        <v>0</v>
      </c>
      <c r="R3995" s="112" t="n">
        <v>1077.59</v>
      </c>
      <c r="S3995" s="112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D3996" t="inlineStr"/>
      <c r="E3996" t="inlineStr">
        <is>
          <t>ER</t>
        </is>
      </c>
      <c r="F3996" t="inlineStr"/>
      <c r="G3996" s="126" t="inlineStr"/>
      <c r="H3996" s="125" t="n">
        <v>46152</v>
      </c>
      <c r="I3996" t="inlineStr"/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N3996" t="inlineStr"/>
      <c r="O3996" t="inlineStr">
        <is>
          <t>RMS2321</t>
        </is>
      </c>
      <c r="P3996" t="inlineStr"/>
      <c r="Q3996" s="112" t="n">
        <v>0</v>
      </c>
      <c r="R3996" s="112" t="n">
        <v>1077.59</v>
      </c>
      <c r="S3996" s="112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D3997" t="inlineStr"/>
      <c r="E3997" t="inlineStr">
        <is>
          <t>ER</t>
        </is>
      </c>
      <c r="F3997" t="inlineStr"/>
      <c r="G3997" s="126" t="inlineStr"/>
      <c r="H3997" s="125" t="n">
        <v>46152</v>
      </c>
      <c r="I3997" t="inlineStr"/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N3997" t="inlineStr"/>
      <c r="O3997" t="inlineStr">
        <is>
          <t>RMS2321</t>
        </is>
      </c>
      <c r="P3997" t="inlineStr"/>
      <c r="Q3997" s="112" t="n">
        <v>0</v>
      </c>
      <c r="R3997" s="112" t="n">
        <v>1077.59</v>
      </c>
      <c r="S3997" s="112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D3998" t="inlineStr"/>
      <c r="E3998" t="inlineStr">
        <is>
          <t>ER</t>
        </is>
      </c>
      <c r="F3998" t="inlineStr"/>
      <c r="G3998" s="126" t="inlineStr"/>
      <c r="H3998" s="125" t="n">
        <v>46152</v>
      </c>
      <c r="I3998" t="inlineStr"/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N3998" t="inlineStr"/>
      <c r="O3998" t="inlineStr">
        <is>
          <t>RMS2321</t>
        </is>
      </c>
      <c r="P3998" t="inlineStr"/>
      <c r="Q3998" s="112" t="n">
        <v>0</v>
      </c>
      <c r="R3998" s="112" t="n">
        <v>1077.59</v>
      </c>
      <c r="S3998" s="112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D3999" t="inlineStr"/>
      <c r="E3999" t="inlineStr">
        <is>
          <t>ER</t>
        </is>
      </c>
      <c r="F3999" t="inlineStr"/>
      <c r="G3999" s="126" t="inlineStr"/>
      <c r="H3999" s="125" t="n">
        <v>46152</v>
      </c>
      <c r="I3999" t="inlineStr"/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N3999" t="inlineStr"/>
      <c r="O3999" t="inlineStr">
        <is>
          <t>RMS2320</t>
        </is>
      </c>
      <c r="P3999" t="inlineStr"/>
      <c r="Q3999" s="112" t="n">
        <v>0</v>
      </c>
      <c r="R3999" s="112" t="n">
        <v>1077.59</v>
      </c>
      <c r="S3999" s="112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D4000" t="inlineStr"/>
      <c r="E4000" t="inlineStr">
        <is>
          <t>ER</t>
        </is>
      </c>
      <c r="F4000" t="inlineStr"/>
      <c r="G4000" s="126" t="inlineStr"/>
      <c r="H4000" s="125" t="n">
        <v>46152</v>
      </c>
      <c r="I4000" t="inlineStr"/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N4000" t="inlineStr"/>
      <c r="O4000" t="inlineStr">
        <is>
          <t>RMS2320</t>
        </is>
      </c>
      <c r="P4000" t="inlineStr"/>
      <c r="Q4000" s="112" t="n">
        <v>0</v>
      </c>
      <c r="R4000" s="112" t="n">
        <v>1077.59</v>
      </c>
      <c r="S4000" s="112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D4001" t="inlineStr"/>
      <c r="E4001" t="inlineStr">
        <is>
          <t>ER</t>
        </is>
      </c>
      <c r="F4001" t="inlineStr"/>
      <c r="G4001" s="126" t="inlineStr"/>
      <c r="H4001" s="125" t="n">
        <v>46152</v>
      </c>
      <c r="I4001" t="inlineStr"/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N4001" t="inlineStr"/>
      <c r="O4001" t="inlineStr">
        <is>
          <t>RMS2320</t>
        </is>
      </c>
      <c r="P4001" t="inlineStr"/>
      <c r="Q4001" s="112" t="n">
        <v>0</v>
      </c>
      <c r="R4001" s="112" t="n">
        <v>1077.59</v>
      </c>
      <c r="S4001" s="112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D4002" t="inlineStr"/>
      <c r="E4002" t="inlineStr">
        <is>
          <t>ER</t>
        </is>
      </c>
      <c r="F4002" t="inlineStr"/>
      <c r="G4002" s="126" t="inlineStr"/>
      <c r="H4002" s="125" t="n">
        <v>46152</v>
      </c>
      <c r="I4002" t="inlineStr"/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N4002" t="inlineStr"/>
      <c r="O4002" t="inlineStr">
        <is>
          <t>RMS2320</t>
        </is>
      </c>
      <c r="P4002" t="inlineStr"/>
      <c r="Q4002" s="112" t="n">
        <v>0</v>
      </c>
      <c r="R4002" s="112" t="n">
        <v>1077.59</v>
      </c>
      <c r="S4002" s="112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D4003" t="inlineStr"/>
      <c r="E4003" t="inlineStr">
        <is>
          <t>ER</t>
        </is>
      </c>
      <c r="F4003" t="inlineStr"/>
      <c r="G4003" s="126" t="inlineStr"/>
      <c r="H4003" s="125" t="n">
        <v>46159</v>
      </c>
      <c r="I4003" t="inlineStr"/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N4003" t="inlineStr"/>
      <c r="O4003" t="inlineStr">
        <is>
          <t>RFT890</t>
        </is>
      </c>
      <c r="P4003" t="inlineStr"/>
      <c r="Q4003" s="112" t="n">
        <v>0</v>
      </c>
      <c r="R4003" s="112" t="n">
        <v>500</v>
      </c>
      <c r="S4003" s="112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D4004" t="inlineStr"/>
      <c r="E4004" t="inlineStr">
        <is>
          <t>ER</t>
        </is>
      </c>
      <c r="F4004" t="inlineStr"/>
      <c r="G4004" s="126" t="inlineStr"/>
      <c r="H4004" s="125" t="n">
        <v>46159</v>
      </c>
      <c r="I4004" t="inlineStr"/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N4004" t="inlineStr"/>
      <c r="O4004" t="inlineStr">
        <is>
          <t>RFT890</t>
        </is>
      </c>
      <c r="P4004" t="inlineStr"/>
      <c r="Q4004" s="112" t="n">
        <v>0</v>
      </c>
      <c r="R4004" s="112" t="n">
        <v>500</v>
      </c>
      <c r="S4004" s="112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D4005" t="inlineStr"/>
      <c r="E4005" t="inlineStr">
        <is>
          <t>ER</t>
        </is>
      </c>
      <c r="F4005" t="inlineStr"/>
      <c r="G4005" s="126" t="inlineStr"/>
      <c r="H4005" s="125" t="n">
        <v>46159</v>
      </c>
      <c r="I4005" t="inlineStr"/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N4005" t="inlineStr"/>
      <c r="O4005" t="inlineStr">
        <is>
          <t>RFT890</t>
        </is>
      </c>
      <c r="P4005" t="inlineStr"/>
      <c r="Q4005" s="112" t="n">
        <v>0</v>
      </c>
      <c r="R4005" s="112" t="n">
        <v>500</v>
      </c>
      <c r="S4005" s="112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D4006" t="inlineStr"/>
      <c r="E4006" t="inlineStr">
        <is>
          <t>ER</t>
        </is>
      </c>
      <c r="F4006" t="inlineStr"/>
      <c r="G4006" s="126" t="inlineStr"/>
      <c r="H4006" s="125" t="n">
        <v>46159</v>
      </c>
      <c r="I4006" t="inlineStr"/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N4006" t="inlineStr"/>
      <c r="O4006" t="inlineStr">
        <is>
          <t>RFT890</t>
        </is>
      </c>
      <c r="P4006" t="inlineStr"/>
      <c r="Q4006" s="112" t="n">
        <v>0</v>
      </c>
      <c r="R4006" s="112" t="n">
        <v>500</v>
      </c>
      <c r="S4006" s="112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D4007" t="inlineStr"/>
      <c r="E4007" t="inlineStr">
        <is>
          <t>ER</t>
        </is>
      </c>
      <c r="F4007" t="inlineStr"/>
      <c r="G4007" s="126" t="inlineStr"/>
      <c r="H4007" s="125" t="n">
        <v>46159</v>
      </c>
      <c r="I4007" t="inlineStr"/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N4007" t="inlineStr"/>
      <c r="O4007" t="inlineStr">
        <is>
          <t>RFT890</t>
        </is>
      </c>
      <c r="P4007" t="inlineStr"/>
      <c r="Q4007" s="112" t="n">
        <v>0</v>
      </c>
      <c r="R4007" s="112" t="n">
        <v>500</v>
      </c>
      <c r="S4007" s="112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D4008" t="inlineStr"/>
      <c r="E4008" t="inlineStr">
        <is>
          <t>ER</t>
        </is>
      </c>
      <c r="F4008" t="inlineStr"/>
      <c r="G4008" s="126" t="inlineStr"/>
      <c r="H4008" s="125" t="n">
        <v>46159</v>
      </c>
      <c r="I4008" t="inlineStr"/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N4008" t="inlineStr"/>
      <c r="O4008" t="inlineStr">
        <is>
          <t>RFT890</t>
        </is>
      </c>
      <c r="P4008" t="inlineStr"/>
      <c r="Q4008" s="112" t="n">
        <v>0</v>
      </c>
      <c r="R4008" s="112" t="n">
        <v>500</v>
      </c>
      <c r="S4008" s="112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D4009" t="inlineStr"/>
      <c r="E4009" t="inlineStr">
        <is>
          <t>ER</t>
        </is>
      </c>
      <c r="F4009" t="inlineStr"/>
      <c r="G4009" s="126" t="inlineStr"/>
      <c r="H4009" s="125" t="n">
        <v>46159</v>
      </c>
      <c r="I4009" t="inlineStr"/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N4009" t="inlineStr"/>
      <c r="O4009" t="inlineStr">
        <is>
          <t>RFT892</t>
        </is>
      </c>
      <c r="P4009" t="inlineStr"/>
      <c r="Q4009" s="112" t="n">
        <v>0</v>
      </c>
      <c r="R4009" s="112" t="n">
        <v>508.33</v>
      </c>
      <c r="S4009" s="112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D4010" t="inlineStr"/>
      <c r="E4010" t="inlineStr">
        <is>
          <t>ER</t>
        </is>
      </c>
      <c r="F4010" t="inlineStr"/>
      <c r="G4010" s="126" t="inlineStr"/>
      <c r="H4010" s="125" t="n">
        <v>46159</v>
      </c>
      <c r="I4010" t="inlineStr"/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N4010" t="inlineStr"/>
      <c r="O4010" t="inlineStr">
        <is>
          <t>RFT892</t>
        </is>
      </c>
      <c r="P4010" t="inlineStr"/>
      <c r="Q4010" s="112" t="n">
        <v>0</v>
      </c>
      <c r="R4010" s="112" t="n">
        <v>508.33</v>
      </c>
      <c r="S4010" s="112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D4011" t="inlineStr"/>
      <c r="E4011" t="inlineStr">
        <is>
          <t>ER</t>
        </is>
      </c>
      <c r="F4011" t="inlineStr"/>
      <c r="G4011" s="126" t="inlineStr"/>
      <c r="H4011" s="125" t="n">
        <v>46159</v>
      </c>
      <c r="I4011" t="inlineStr"/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N4011" t="inlineStr"/>
      <c r="O4011" t="inlineStr">
        <is>
          <t>RFT892</t>
        </is>
      </c>
      <c r="P4011" t="inlineStr"/>
      <c r="Q4011" s="112" t="n">
        <v>0</v>
      </c>
      <c r="R4011" s="112" t="n">
        <v>508.33</v>
      </c>
      <c r="S4011" s="112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D4012" t="inlineStr"/>
      <c r="E4012" t="inlineStr">
        <is>
          <t>ER</t>
        </is>
      </c>
      <c r="F4012" t="inlineStr"/>
      <c r="G4012" s="126" t="inlineStr"/>
      <c r="H4012" s="125" t="n">
        <v>46159</v>
      </c>
      <c r="I4012" t="inlineStr"/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N4012" t="inlineStr"/>
      <c r="O4012" t="inlineStr">
        <is>
          <t>RFT892</t>
        </is>
      </c>
      <c r="P4012" t="inlineStr"/>
      <c r="Q4012" s="112" t="n">
        <v>0</v>
      </c>
      <c r="R4012" s="112" t="n">
        <v>508.33</v>
      </c>
      <c r="S4012" s="112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D4013" t="inlineStr"/>
      <c r="E4013" t="inlineStr">
        <is>
          <t>ER</t>
        </is>
      </c>
      <c r="F4013" t="inlineStr"/>
      <c r="G4013" s="126" t="inlineStr"/>
      <c r="H4013" s="125" t="n">
        <v>46159</v>
      </c>
      <c r="I4013" t="inlineStr"/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N4013" t="inlineStr"/>
      <c r="O4013" t="inlineStr">
        <is>
          <t>RFT892</t>
        </is>
      </c>
      <c r="P4013" t="inlineStr"/>
      <c r="Q4013" s="112" t="n">
        <v>0</v>
      </c>
      <c r="R4013" s="112" t="n">
        <v>508.33</v>
      </c>
      <c r="S4013" s="112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D4014" t="inlineStr"/>
      <c r="E4014" t="inlineStr">
        <is>
          <t>ER</t>
        </is>
      </c>
      <c r="F4014" t="inlineStr"/>
      <c r="G4014" s="126" t="inlineStr"/>
      <c r="H4014" s="125" t="n">
        <v>46159</v>
      </c>
      <c r="I4014" t="inlineStr"/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N4014" t="inlineStr"/>
      <c r="O4014" t="inlineStr">
        <is>
          <t>RFT892</t>
        </is>
      </c>
      <c r="P4014" t="inlineStr"/>
      <c r="Q4014" s="112" t="n">
        <v>0</v>
      </c>
      <c r="R4014" s="112" t="n">
        <v>508.33</v>
      </c>
      <c r="S4014" s="112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D4015" t="inlineStr"/>
      <c r="E4015" t="inlineStr">
        <is>
          <t>ER</t>
        </is>
      </c>
      <c r="F4015" t="inlineStr"/>
      <c r="G4015" s="126" t="inlineStr"/>
      <c r="H4015" s="125" t="n">
        <v>46159</v>
      </c>
      <c r="I4015" t="inlineStr"/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N4015" t="inlineStr"/>
      <c r="O4015" t="inlineStr">
        <is>
          <t>RFT891</t>
        </is>
      </c>
      <c r="P4015" t="inlineStr"/>
      <c r="Q4015" s="112" t="n">
        <v>0</v>
      </c>
      <c r="R4015" s="112" t="n">
        <v>500</v>
      </c>
      <c r="S4015" s="112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D4016" t="inlineStr"/>
      <c r="E4016" t="inlineStr">
        <is>
          <t>ER</t>
        </is>
      </c>
      <c r="F4016" t="inlineStr"/>
      <c r="G4016" s="126" t="inlineStr"/>
      <c r="H4016" s="125" t="n">
        <v>46159</v>
      </c>
      <c r="I4016" t="inlineStr"/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N4016" t="inlineStr"/>
      <c r="O4016" t="inlineStr">
        <is>
          <t>RFT891</t>
        </is>
      </c>
      <c r="P4016" t="inlineStr"/>
      <c r="Q4016" s="112" t="n">
        <v>0</v>
      </c>
      <c r="R4016" s="112" t="n">
        <v>500</v>
      </c>
      <c r="S4016" s="112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D4017" t="inlineStr"/>
      <c r="E4017" t="inlineStr">
        <is>
          <t>ER</t>
        </is>
      </c>
      <c r="F4017" t="inlineStr"/>
      <c r="G4017" s="126" t="inlineStr"/>
      <c r="H4017" s="125" t="n">
        <v>46159</v>
      </c>
      <c r="I4017" t="inlineStr"/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N4017" t="inlineStr"/>
      <c r="O4017" t="inlineStr">
        <is>
          <t>RFT891</t>
        </is>
      </c>
      <c r="P4017" t="inlineStr"/>
      <c r="Q4017" s="112" t="n">
        <v>0</v>
      </c>
      <c r="R4017" s="112" t="n">
        <v>500</v>
      </c>
      <c r="S4017" s="112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D4018" t="inlineStr"/>
      <c r="E4018" t="inlineStr">
        <is>
          <t>ER</t>
        </is>
      </c>
      <c r="F4018" t="inlineStr"/>
      <c r="G4018" s="126" t="inlineStr"/>
      <c r="H4018" s="125" t="n">
        <v>46159</v>
      </c>
      <c r="I4018" t="inlineStr"/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N4018" t="inlineStr"/>
      <c r="O4018" t="inlineStr">
        <is>
          <t>RFT891</t>
        </is>
      </c>
      <c r="P4018" t="inlineStr"/>
      <c r="Q4018" s="112" t="n">
        <v>0</v>
      </c>
      <c r="R4018" s="112" t="n">
        <v>500</v>
      </c>
      <c r="S4018" s="112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D4019" t="inlineStr"/>
      <c r="E4019" t="inlineStr">
        <is>
          <t>ER</t>
        </is>
      </c>
      <c r="F4019" t="inlineStr"/>
      <c r="G4019" s="126" t="inlineStr"/>
      <c r="H4019" s="125" t="n">
        <v>46159</v>
      </c>
      <c r="I4019" t="inlineStr"/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N4019" t="inlineStr"/>
      <c r="O4019" t="inlineStr">
        <is>
          <t>RFT891</t>
        </is>
      </c>
      <c r="P4019" t="inlineStr"/>
      <c r="Q4019" s="112" t="n">
        <v>0</v>
      </c>
      <c r="R4019" s="112" t="n">
        <v>500</v>
      </c>
      <c r="S4019" s="112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D4020" t="inlineStr"/>
      <c r="E4020" t="inlineStr">
        <is>
          <t>ER</t>
        </is>
      </c>
      <c r="F4020" t="inlineStr"/>
      <c r="G4020" s="126" t="inlineStr"/>
      <c r="H4020" s="125" t="n">
        <v>46159</v>
      </c>
      <c r="I4020" t="inlineStr"/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N4020" t="inlineStr"/>
      <c r="O4020" t="inlineStr">
        <is>
          <t>RFT891</t>
        </is>
      </c>
      <c r="P4020" t="inlineStr"/>
      <c r="Q4020" s="112" t="n">
        <v>0</v>
      </c>
      <c r="R4020" s="112" t="n">
        <v>500</v>
      </c>
      <c r="S4020" s="112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D4021" t="inlineStr"/>
      <c r="E4021" t="inlineStr">
        <is>
          <t>ER</t>
        </is>
      </c>
      <c r="F4021" t="inlineStr"/>
      <c r="G4021" s="126" t="inlineStr"/>
      <c r="H4021" s="125" t="n">
        <v>46159</v>
      </c>
      <c r="I4021" t="inlineStr"/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N4021" t="inlineStr"/>
      <c r="O4021" t="inlineStr">
        <is>
          <t>RMS2319</t>
        </is>
      </c>
      <c r="P4021" t="inlineStr"/>
      <c r="Q4021" s="112" t="n">
        <v>0</v>
      </c>
      <c r="R4021" s="112" t="n">
        <v>179.6</v>
      </c>
      <c r="S4021" s="112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D4022" t="inlineStr"/>
      <c r="E4022" t="inlineStr">
        <is>
          <t>ER</t>
        </is>
      </c>
      <c r="F4022" t="inlineStr"/>
      <c r="G4022" s="126" t="inlineStr"/>
      <c r="H4022" s="125" t="n">
        <v>46159</v>
      </c>
      <c r="I4022" t="inlineStr"/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N4022" t="inlineStr"/>
      <c r="O4022" t="inlineStr">
        <is>
          <t>RMS2319</t>
        </is>
      </c>
      <c r="P4022" t="inlineStr"/>
      <c r="Q4022" s="112" t="n">
        <v>0</v>
      </c>
      <c r="R4022" s="112" t="n">
        <v>179.6</v>
      </c>
      <c r="S4022" s="112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D4023" t="inlineStr"/>
      <c r="E4023" t="inlineStr">
        <is>
          <t>ER</t>
        </is>
      </c>
      <c r="F4023" t="inlineStr"/>
      <c r="G4023" s="126" t="inlineStr"/>
      <c r="H4023" s="125" t="n">
        <v>46159</v>
      </c>
      <c r="I4023" t="inlineStr"/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N4023" t="inlineStr"/>
      <c r="O4023" t="inlineStr">
        <is>
          <t>RMS2319</t>
        </is>
      </c>
      <c r="P4023" t="inlineStr"/>
      <c r="Q4023" s="112" t="n">
        <v>0</v>
      </c>
      <c r="R4023" s="112" t="n">
        <v>179.6</v>
      </c>
      <c r="S4023" s="112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D4024" t="inlineStr"/>
      <c r="E4024" t="inlineStr">
        <is>
          <t>ER</t>
        </is>
      </c>
      <c r="F4024" t="inlineStr"/>
      <c r="G4024" s="126" t="inlineStr"/>
      <c r="H4024" s="125" t="n">
        <v>46159</v>
      </c>
      <c r="I4024" t="inlineStr"/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N4024" t="inlineStr"/>
      <c r="O4024" t="inlineStr">
        <is>
          <t>RMS2319</t>
        </is>
      </c>
      <c r="P4024" t="inlineStr"/>
      <c r="Q4024" s="112" t="n">
        <v>0</v>
      </c>
      <c r="R4024" s="112" t="n">
        <v>179.6</v>
      </c>
      <c r="S4024" s="112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D4025" t="inlineStr"/>
      <c r="E4025" t="inlineStr">
        <is>
          <t>ER</t>
        </is>
      </c>
      <c r="F4025" t="inlineStr"/>
      <c r="G4025" s="126" t="inlineStr"/>
      <c r="H4025" s="125" t="n">
        <v>46159</v>
      </c>
      <c r="I4025" t="inlineStr"/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N4025" t="inlineStr"/>
      <c r="O4025" t="inlineStr">
        <is>
          <t>RMS2319</t>
        </is>
      </c>
      <c r="P4025" t="inlineStr"/>
      <c r="Q4025" s="112" t="n">
        <v>0</v>
      </c>
      <c r="R4025" s="112" t="n">
        <v>179.6</v>
      </c>
      <c r="S4025" s="112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D4026" t="inlineStr"/>
      <c r="E4026" t="inlineStr">
        <is>
          <t>ER</t>
        </is>
      </c>
      <c r="F4026" t="inlineStr"/>
      <c r="G4026" s="126" t="inlineStr"/>
      <c r="H4026" s="125" t="n">
        <v>46159</v>
      </c>
      <c r="I4026" t="inlineStr"/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N4026" t="inlineStr"/>
      <c r="O4026" t="inlineStr">
        <is>
          <t>RMS2319</t>
        </is>
      </c>
      <c r="P4026" t="inlineStr"/>
      <c r="Q4026" s="112" t="n">
        <v>0</v>
      </c>
      <c r="R4026" s="112" t="n">
        <v>179.6</v>
      </c>
      <c r="S4026" s="112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D4027" t="inlineStr"/>
      <c r="E4027" t="inlineStr">
        <is>
          <t>ER</t>
        </is>
      </c>
      <c r="F4027" t="inlineStr"/>
      <c r="G4027" s="126" t="inlineStr"/>
      <c r="H4027" s="125" t="n">
        <v>46159</v>
      </c>
      <c r="I4027" t="inlineStr"/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N4027" t="inlineStr"/>
      <c r="O4027" t="inlineStr">
        <is>
          <t>RMS2321</t>
        </is>
      </c>
      <c r="P4027" t="inlineStr"/>
      <c r="Q4027" s="112" t="n">
        <v>0</v>
      </c>
      <c r="R4027" s="112" t="n">
        <v>1077.59</v>
      </c>
      <c r="S4027" s="112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D4028" t="inlineStr"/>
      <c r="E4028" t="inlineStr">
        <is>
          <t>ER</t>
        </is>
      </c>
      <c r="F4028" t="inlineStr"/>
      <c r="G4028" s="126" t="inlineStr"/>
      <c r="H4028" s="125" t="n">
        <v>46159</v>
      </c>
      <c r="I4028" t="inlineStr"/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N4028" t="inlineStr"/>
      <c r="O4028" t="inlineStr">
        <is>
          <t>RMS2321</t>
        </is>
      </c>
      <c r="P4028" t="inlineStr"/>
      <c r="Q4028" s="112" t="n">
        <v>0</v>
      </c>
      <c r="R4028" s="112" t="n">
        <v>1077.59</v>
      </c>
      <c r="S4028" s="112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D4029" t="inlineStr"/>
      <c r="E4029" t="inlineStr">
        <is>
          <t>ER</t>
        </is>
      </c>
      <c r="F4029" t="inlineStr"/>
      <c r="G4029" s="126" t="inlineStr"/>
      <c r="H4029" s="125" t="n">
        <v>46159</v>
      </c>
      <c r="I4029" t="inlineStr"/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N4029" t="inlineStr"/>
      <c r="O4029" t="inlineStr">
        <is>
          <t>RMS2321</t>
        </is>
      </c>
      <c r="P4029" t="inlineStr"/>
      <c r="Q4029" s="112" t="n">
        <v>0</v>
      </c>
      <c r="R4029" s="112" t="n">
        <v>1077.59</v>
      </c>
      <c r="S4029" s="112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D4030" t="inlineStr"/>
      <c r="E4030" t="inlineStr">
        <is>
          <t>ER</t>
        </is>
      </c>
      <c r="F4030" t="inlineStr"/>
      <c r="G4030" s="126" t="inlineStr"/>
      <c r="H4030" s="125" t="n">
        <v>46159</v>
      </c>
      <c r="I4030" t="inlineStr"/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N4030" t="inlineStr"/>
      <c r="O4030" t="inlineStr">
        <is>
          <t>RMS2321</t>
        </is>
      </c>
      <c r="P4030" t="inlineStr"/>
      <c r="Q4030" s="112" t="n">
        <v>0</v>
      </c>
      <c r="R4030" s="112" t="n">
        <v>1077.59</v>
      </c>
      <c r="S4030" s="112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D4031" t="inlineStr"/>
      <c r="E4031" t="inlineStr">
        <is>
          <t>ER</t>
        </is>
      </c>
      <c r="F4031" t="inlineStr"/>
      <c r="G4031" s="126" t="inlineStr"/>
      <c r="H4031" s="125" t="n">
        <v>46159</v>
      </c>
      <c r="I4031" t="inlineStr"/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N4031" t="inlineStr"/>
      <c r="O4031" t="inlineStr">
        <is>
          <t>RMS2321</t>
        </is>
      </c>
      <c r="P4031" t="inlineStr"/>
      <c r="Q4031" s="112" t="n">
        <v>0</v>
      </c>
      <c r="R4031" s="112" t="n">
        <v>1077.59</v>
      </c>
      <c r="S4031" s="112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D4032" t="inlineStr"/>
      <c r="E4032" t="inlineStr">
        <is>
          <t>ER</t>
        </is>
      </c>
      <c r="F4032" t="inlineStr"/>
      <c r="G4032" s="126" t="inlineStr"/>
      <c r="H4032" s="125" t="n">
        <v>46159</v>
      </c>
      <c r="I4032" t="inlineStr"/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N4032" t="inlineStr"/>
      <c r="O4032" t="inlineStr">
        <is>
          <t>RMS2321</t>
        </is>
      </c>
      <c r="P4032" t="inlineStr"/>
      <c r="Q4032" s="112" t="n">
        <v>0</v>
      </c>
      <c r="R4032" s="112" t="n">
        <v>1077.59</v>
      </c>
      <c r="S4032" s="112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D4033" t="inlineStr"/>
      <c r="E4033" t="inlineStr">
        <is>
          <t>ER</t>
        </is>
      </c>
      <c r="F4033" t="inlineStr"/>
      <c r="G4033" s="126" t="inlineStr"/>
      <c r="H4033" s="125" t="n">
        <v>46159</v>
      </c>
      <c r="I4033" t="inlineStr"/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N4033" t="inlineStr"/>
      <c r="O4033" t="inlineStr">
        <is>
          <t>RMS2320</t>
        </is>
      </c>
      <c r="P4033" t="inlineStr"/>
      <c r="Q4033" s="112" t="n">
        <v>0</v>
      </c>
      <c r="R4033" s="112" t="n">
        <v>1077.59</v>
      </c>
      <c r="S4033" s="112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D4034" t="inlineStr"/>
      <c r="E4034" t="inlineStr">
        <is>
          <t>ER</t>
        </is>
      </c>
      <c r="F4034" t="inlineStr"/>
      <c r="G4034" s="126" t="inlineStr"/>
      <c r="H4034" s="125" t="n">
        <v>46159</v>
      </c>
      <c r="I4034" t="inlineStr"/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N4034" t="inlineStr"/>
      <c r="O4034" t="inlineStr">
        <is>
          <t>RMS2320</t>
        </is>
      </c>
      <c r="P4034" t="inlineStr"/>
      <c r="Q4034" s="112" t="n">
        <v>0</v>
      </c>
      <c r="R4034" s="112" t="n">
        <v>1077.59</v>
      </c>
      <c r="S4034" s="112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D4035" t="inlineStr"/>
      <c r="E4035" t="inlineStr">
        <is>
          <t>ER</t>
        </is>
      </c>
      <c r="F4035" t="inlineStr"/>
      <c r="G4035" s="126" t="inlineStr"/>
      <c r="H4035" s="125" t="n">
        <v>46159</v>
      </c>
      <c r="I4035" t="inlineStr"/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N4035" t="inlineStr"/>
      <c r="O4035" t="inlineStr">
        <is>
          <t>RMS2320</t>
        </is>
      </c>
      <c r="P4035" t="inlineStr"/>
      <c r="Q4035" s="112" t="n">
        <v>0</v>
      </c>
      <c r="R4035" s="112" t="n">
        <v>1077.59</v>
      </c>
      <c r="S4035" s="112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D4036" t="inlineStr"/>
      <c r="E4036" t="inlineStr">
        <is>
          <t>ER</t>
        </is>
      </c>
      <c r="F4036" t="inlineStr"/>
      <c r="G4036" s="126" t="inlineStr"/>
      <c r="H4036" s="125" t="n">
        <v>46159</v>
      </c>
      <c r="I4036" t="inlineStr"/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N4036" t="inlineStr"/>
      <c r="O4036" t="inlineStr">
        <is>
          <t>RMS2320</t>
        </is>
      </c>
      <c r="P4036" t="inlineStr"/>
      <c r="Q4036" s="112" t="n">
        <v>0</v>
      </c>
      <c r="R4036" s="112" t="n">
        <v>1077.59</v>
      </c>
      <c r="S4036" s="112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D4037" t="inlineStr"/>
      <c r="E4037" t="inlineStr">
        <is>
          <t>ER</t>
        </is>
      </c>
      <c r="F4037" t="inlineStr"/>
      <c r="G4037" s="126" t="inlineStr"/>
      <c r="H4037" s="125" t="n">
        <v>46159</v>
      </c>
      <c r="I4037" t="inlineStr"/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N4037" t="inlineStr"/>
      <c r="O4037" t="inlineStr">
        <is>
          <t>RMS2320</t>
        </is>
      </c>
      <c r="P4037" t="inlineStr"/>
      <c r="Q4037" s="112" t="n">
        <v>0</v>
      </c>
      <c r="R4037" s="112" t="n">
        <v>1077.59</v>
      </c>
      <c r="S4037" s="112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D4038" t="inlineStr"/>
      <c r="E4038" t="inlineStr">
        <is>
          <t>ER</t>
        </is>
      </c>
      <c r="F4038" t="inlineStr"/>
      <c r="G4038" s="126" t="inlineStr"/>
      <c r="H4038" s="125" t="n">
        <v>46159</v>
      </c>
      <c r="I4038" t="inlineStr"/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N4038" t="inlineStr"/>
      <c r="O4038" t="inlineStr">
        <is>
          <t>RMS2320</t>
        </is>
      </c>
      <c r="P4038" t="inlineStr"/>
      <c r="Q4038" s="112" t="n">
        <v>0</v>
      </c>
      <c r="R4038" s="112" t="n">
        <v>1077.59</v>
      </c>
      <c r="S4038" s="112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D4039" t="inlineStr"/>
      <c r="E4039" t="inlineStr">
        <is>
          <t>ER</t>
        </is>
      </c>
      <c r="F4039" t="inlineStr"/>
      <c r="G4039" s="126" t="inlineStr"/>
      <c r="H4039" s="125" t="n">
        <v>46166</v>
      </c>
      <c r="I4039" t="inlineStr"/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N4039" t="inlineStr"/>
      <c r="O4039" t="inlineStr">
        <is>
          <t>RFT890</t>
        </is>
      </c>
      <c r="P4039" t="inlineStr"/>
      <c r="Q4039" s="112" t="n">
        <v>0</v>
      </c>
      <c r="R4039" s="112" t="n">
        <v>500</v>
      </c>
      <c r="S4039" s="112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D4040" t="inlineStr"/>
      <c r="E4040" t="inlineStr">
        <is>
          <t>ER</t>
        </is>
      </c>
      <c r="F4040" t="inlineStr"/>
      <c r="G4040" s="126" t="inlineStr"/>
      <c r="H4040" s="125" t="n">
        <v>46166</v>
      </c>
      <c r="I4040" t="inlineStr"/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N4040" t="inlineStr"/>
      <c r="O4040" t="inlineStr">
        <is>
          <t>RFT890</t>
        </is>
      </c>
      <c r="P4040" t="inlineStr"/>
      <c r="Q4040" s="112" t="n">
        <v>0</v>
      </c>
      <c r="R4040" s="112" t="n">
        <v>500</v>
      </c>
      <c r="S4040" s="112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D4041" t="inlineStr"/>
      <c r="E4041" t="inlineStr">
        <is>
          <t>ER</t>
        </is>
      </c>
      <c r="F4041" t="inlineStr"/>
      <c r="G4041" s="126" t="inlineStr"/>
      <c r="H4041" s="125" t="n">
        <v>46166</v>
      </c>
      <c r="I4041" t="inlineStr"/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N4041" t="inlineStr"/>
      <c r="O4041" t="inlineStr">
        <is>
          <t>RFT890</t>
        </is>
      </c>
      <c r="P4041" t="inlineStr"/>
      <c r="Q4041" s="112" t="n">
        <v>0</v>
      </c>
      <c r="R4041" s="112" t="n">
        <v>500</v>
      </c>
      <c r="S4041" s="112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D4042" t="inlineStr"/>
      <c r="E4042" t="inlineStr">
        <is>
          <t>ER</t>
        </is>
      </c>
      <c r="F4042" t="inlineStr"/>
      <c r="G4042" s="126" t="inlineStr"/>
      <c r="H4042" s="125" t="n">
        <v>46166</v>
      </c>
      <c r="I4042" t="inlineStr"/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N4042" t="inlineStr"/>
      <c r="O4042" t="inlineStr">
        <is>
          <t>RFT892</t>
        </is>
      </c>
      <c r="P4042" t="inlineStr"/>
      <c r="Q4042" s="112" t="n">
        <v>0</v>
      </c>
      <c r="R4042" s="112" t="n">
        <v>508.33</v>
      </c>
      <c r="S4042" s="112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D4043" t="inlineStr"/>
      <c r="E4043" t="inlineStr">
        <is>
          <t>ER</t>
        </is>
      </c>
      <c r="F4043" t="inlineStr"/>
      <c r="G4043" s="126" t="inlineStr"/>
      <c r="H4043" s="125" t="n">
        <v>46166</v>
      </c>
      <c r="I4043" t="inlineStr"/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N4043" t="inlineStr"/>
      <c r="O4043" t="inlineStr">
        <is>
          <t>RFT892</t>
        </is>
      </c>
      <c r="P4043" t="inlineStr"/>
      <c r="Q4043" s="112" t="n">
        <v>0</v>
      </c>
      <c r="R4043" s="112" t="n">
        <v>508.33</v>
      </c>
      <c r="S4043" s="112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D4044" t="inlineStr"/>
      <c r="E4044" t="inlineStr">
        <is>
          <t>ER</t>
        </is>
      </c>
      <c r="F4044" t="inlineStr"/>
      <c r="G4044" s="126" t="inlineStr"/>
      <c r="H4044" s="125" t="n">
        <v>46166</v>
      </c>
      <c r="I4044" t="inlineStr"/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N4044" t="inlineStr"/>
      <c r="O4044" t="inlineStr">
        <is>
          <t>RFT892</t>
        </is>
      </c>
      <c r="P4044" t="inlineStr"/>
      <c r="Q4044" s="112" t="n">
        <v>0</v>
      </c>
      <c r="R4044" s="112" t="n">
        <v>508.33</v>
      </c>
      <c r="S4044" s="112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D4045" t="inlineStr"/>
      <c r="E4045" t="inlineStr">
        <is>
          <t>ER</t>
        </is>
      </c>
      <c r="F4045" t="inlineStr"/>
      <c r="G4045" s="126" t="inlineStr"/>
      <c r="H4045" s="125" t="n">
        <v>46166</v>
      </c>
      <c r="I4045" t="inlineStr"/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N4045" t="inlineStr"/>
      <c r="O4045" t="inlineStr">
        <is>
          <t>RFT891</t>
        </is>
      </c>
      <c r="P4045" t="inlineStr"/>
      <c r="Q4045" s="112" t="n">
        <v>0</v>
      </c>
      <c r="R4045" s="112" t="n">
        <v>500</v>
      </c>
      <c r="S4045" s="112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D4046" t="inlineStr"/>
      <c r="E4046" t="inlineStr">
        <is>
          <t>ER</t>
        </is>
      </c>
      <c r="F4046" t="inlineStr"/>
      <c r="G4046" s="126" t="inlineStr"/>
      <c r="H4046" s="125" t="n">
        <v>46166</v>
      </c>
      <c r="I4046" t="inlineStr"/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N4046" t="inlineStr"/>
      <c r="O4046" t="inlineStr">
        <is>
          <t>RFT891</t>
        </is>
      </c>
      <c r="P4046" t="inlineStr"/>
      <c r="Q4046" s="112" t="n">
        <v>0</v>
      </c>
      <c r="R4046" s="112" t="n">
        <v>500</v>
      </c>
      <c r="S4046" s="112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D4047" t="inlineStr"/>
      <c r="E4047" t="inlineStr">
        <is>
          <t>ER</t>
        </is>
      </c>
      <c r="F4047" t="inlineStr"/>
      <c r="G4047" s="126" t="inlineStr"/>
      <c r="H4047" s="125" t="n">
        <v>46166</v>
      </c>
      <c r="I4047" t="inlineStr"/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N4047" t="inlineStr"/>
      <c r="O4047" t="inlineStr">
        <is>
          <t>RFT891</t>
        </is>
      </c>
      <c r="P4047" t="inlineStr"/>
      <c r="Q4047" s="112" t="n">
        <v>0</v>
      </c>
      <c r="R4047" s="112" t="n">
        <v>500</v>
      </c>
      <c r="S4047" s="112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D4048" t="inlineStr"/>
      <c r="E4048" t="inlineStr">
        <is>
          <t>ER</t>
        </is>
      </c>
      <c r="F4048" t="inlineStr"/>
      <c r="G4048" s="126" t="inlineStr"/>
      <c r="H4048" s="125" t="n">
        <v>46166</v>
      </c>
      <c r="I4048" t="inlineStr"/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N4048" t="inlineStr"/>
      <c r="O4048" t="inlineStr">
        <is>
          <t>RMS2319</t>
        </is>
      </c>
      <c r="P4048" t="inlineStr"/>
      <c r="Q4048" s="112" t="n">
        <v>0</v>
      </c>
      <c r="R4048" s="112" t="n">
        <v>179.6</v>
      </c>
      <c r="S4048" s="112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D4049" t="inlineStr"/>
      <c r="E4049" t="inlineStr">
        <is>
          <t>ER</t>
        </is>
      </c>
      <c r="F4049" t="inlineStr"/>
      <c r="G4049" s="126" t="inlineStr"/>
      <c r="H4049" s="125" t="n">
        <v>46166</v>
      </c>
      <c r="I4049" t="inlineStr"/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N4049" t="inlineStr"/>
      <c r="O4049" t="inlineStr">
        <is>
          <t>RMS2319</t>
        </is>
      </c>
      <c r="P4049" t="inlineStr"/>
      <c r="Q4049" s="112" t="n">
        <v>0</v>
      </c>
      <c r="R4049" s="112" t="n">
        <v>179.6</v>
      </c>
      <c r="S4049" s="112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D4050" t="inlineStr"/>
      <c r="E4050" t="inlineStr">
        <is>
          <t>ER</t>
        </is>
      </c>
      <c r="F4050" t="inlineStr"/>
      <c r="G4050" s="126" t="inlineStr"/>
      <c r="H4050" s="125" t="n">
        <v>46166</v>
      </c>
      <c r="I4050" t="inlineStr"/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N4050" t="inlineStr"/>
      <c r="O4050" t="inlineStr">
        <is>
          <t>RMS2319</t>
        </is>
      </c>
      <c r="P4050" t="inlineStr"/>
      <c r="Q4050" s="112" t="n">
        <v>0</v>
      </c>
      <c r="R4050" s="112" t="n">
        <v>179.6</v>
      </c>
      <c r="S4050" s="112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D4051" t="inlineStr"/>
      <c r="E4051" t="inlineStr">
        <is>
          <t>ER</t>
        </is>
      </c>
      <c r="F4051" t="inlineStr"/>
      <c r="G4051" s="126" t="inlineStr"/>
      <c r="H4051" s="125" t="n">
        <v>46166</v>
      </c>
      <c r="I4051" t="inlineStr"/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N4051" t="inlineStr"/>
      <c r="O4051" t="inlineStr">
        <is>
          <t>RMS2321</t>
        </is>
      </c>
      <c r="P4051" t="inlineStr"/>
      <c r="Q4051" s="112" t="n">
        <v>0</v>
      </c>
      <c r="R4051" s="112" t="n">
        <v>1077.59</v>
      </c>
      <c r="S4051" s="112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D4052" t="inlineStr"/>
      <c r="E4052" t="inlineStr">
        <is>
          <t>ER</t>
        </is>
      </c>
      <c r="F4052" t="inlineStr"/>
      <c r="G4052" s="126" t="inlineStr"/>
      <c r="H4052" s="125" t="n">
        <v>46166</v>
      </c>
      <c r="I4052" t="inlineStr"/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N4052" t="inlineStr"/>
      <c r="O4052" t="inlineStr">
        <is>
          <t>RMS2321</t>
        </is>
      </c>
      <c r="P4052" t="inlineStr"/>
      <c r="Q4052" s="112" t="n">
        <v>0</v>
      </c>
      <c r="R4052" s="112" t="n">
        <v>1077.59</v>
      </c>
      <c r="S4052" s="112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D4053" t="inlineStr"/>
      <c r="E4053" t="inlineStr">
        <is>
          <t>ER</t>
        </is>
      </c>
      <c r="F4053" t="inlineStr"/>
      <c r="G4053" s="126" t="inlineStr"/>
      <c r="H4053" s="125" t="n">
        <v>46166</v>
      </c>
      <c r="I4053" t="inlineStr"/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N4053" t="inlineStr"/>
      <c r="O4053" t="inlineStr">
        <is>
          <t>RMS2321</t>
        </is>
      </c>
      <c r="P4053" t="inlineStr"/>
      <c r="Q4053" s="112" t="n">
        <v>0</v>
      </c>
      <c r="R4053" s="112" t="n">
        <v>1077.59</v>
      </c>
      <c r="S4053" s="112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D4054" t="inlineStr"/>
      <c r="E4054" t="inlineStr">
        <is>
          <t>ER</t>
        </is>
      </c>
      <c r="F4054" t="inlineStr"/>
      <c r="G4054" s="126" t="inlineStr"/>
      <c r="H4054" s="125" t="n">
        <v>46166</v>
      </c>
      <c r="I4054" t="inlineStr"/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N4054" t="inlineStr"/>
      <c r="O4054" t="inlineStr">
        <is>
          <t>RMS2320</t>
        </is>
      </c>
      <c r="P4054" t="inlineStr"/>
      <c r="Q4054" s="112" t="n">
        <v>0</v>
      </c>
      <c r="R4054" s="112" t="n">
        <v>1077.59</v>
      </c>
      <c r="S4054" s="112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D4055" t="inlineStr"/>
      <c r="E4055" t="inlineStr">
        <is>
          <t>ER</t>
        </is>
      </c>
      <c r="F4055" t="inlineStr"/>
      <c r="G4055" s="126" t="inlineStr"/>
      <c r="H4055" s="125" t="n">
        <v>46166</v>
      </c>
      <c r="I4055" t="inlineStr"/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N4055" t="inlineStr"/>
      <c r="O4055" t="inlineStr">
        <is>
          <t>RMS2320</t>
        </is>
      </c>
      <c r="P4055" t="inlineStr"/>
      <c r="Q4055" s="112" t="n">
        <v>0</v>
      </c>
      <c r="R4055" s="112" t="n">
        <v>1077.59</v>
      </c>
      <c r="S4055" s="112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D4056" t="inlineStr"/>
      <c r="E4056" t="inlineStr">
        <is>
          <t>ER</t>
        </is>
      </c>
      <c r="F4056" t="inlineStr"/>
      <c r="G4056" s="126" t="inlineStr"/>
      <c r="H4056" s="125" t="n">
        <v>46166</v>
      </c>
      <c r="I4056" t="inlineStr"/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N4056" t="inlineStr"/>
      <c r="O4056" t="inlineStr">
        <is>
          <t>RMS2320</t>
        </is>
      </c>
      <c r="P4056" t="inlineStr"/>
      <c r="Q4056" s="112" t="n">
        <v>0</v>
      </c>
      <c r="R4056" s="112" t="n">
        <v>1077.59</v>
      </c>
      <c r="S4056" s="112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D4057" t="inlineStr"/>
      <c r="E4057" t="inlineStr">
        <is>
          <t>ER</t>
        </is>
      </c>
      <c r="F4057" t="inlineStr"/>
      <c r="G4057" s="126" t="inlineStr"/>
      <c r="H4057" s="125" t="n">
        <v>46142</v>
      </c>
      <c r="I4057" t="inlineStr"/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N4057" t="inlineStr"/>
      <c r="O4057" t="inlineStr">
        <is>
          <t>RFT890</t>
        </is>
      </c>
      <c r="P4057" t="inlineStr"/>
      <c r="Q4057" s="112" t="n">
        <v>0</v>
      </c>
      <c r="R4057" s="112" t="n">
        <v>500</v>
      </c>
      <c r="S4057" s="112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D4058" t="inlineStr"/>
      <c r="E4058" t="inlineStr">
        <is>
          <t>ER</t>
        </is>
      </c>
      <c r="F4058" t="inlineStr"/>
      <c r="G4058" s="126" t="inlineStr"/>
      <c r="H4058" s="125" t="n">
        <v>46131</v>
      </c>
      <c r="I4058" t="inlineStr"/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N4058" t="inlineStr"/>
      <c r="O4058" t="inlineStr">
        <is>
          <t>RMS2321</t>
        </is>
      </c>
      <c r="P4058" t="inlineStr"/>
      <c r="Q4058" s="112" t="n">
        <v>0</v>
      </c>
      <c r="R4058" s="112" t="n">
        <v>1077.59</v>
      </c>
      <c r="S4058" s="112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D4059" t="inlineStr"/>
      <c r="E4059" t="inlineStr">
        <is>
          <t>ER</t>
        </is>
      </c>
      <c r="F4059" t="inlineStr"/>
      <c r="G4059" s="126" t="inlineStr"/>
      <c r="H4059" s="125" t="n">
        <v>46131</v>
      </c>
      <c r="I4059" t="inlineStr"/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N4059" t="inlineStr"/>
      <c r="O4059" t="inlineStr">
        <is>
          <t>RMS2321</t>
        </is>
      </c>
      <c r="P4059" t="inlineStr"/>
      <c r="Q4059" s="112" t="n">
        <v>0</v>
      </c>
      <c r="R4059" s="112" t="n">
        <v>1077.59</v>
      </c>
      <c r="S4059" s="112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D4060" t="inlineStr"/>
      <c r="E4060" t="inlineStr">
        <is>
          <t>ER</t>
        </is>
      </c>
      <c r="F4060" t="inlineStr"/>
      <c r="G4060" s="126" t="inlineStr"/>
      <c r="H4060" s="125" t="n">
        <v>46138</v>
      </c>
      <c r="I4060" t="inlineStr"/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N4060" t="inlineStr"/>
      <c r="O4060" t="inlineStr">
        <is>
          <t>RFT892</t>
        </is>
      </c>
      <c r="P4060" t="inlineStr"/>
      <c r="Q4060" s="112" t="n">
        <v>0</v>
      </c>
      <c r="R4060" s="112" t="n">
        <v>508.33</v>
      </c>
      <c r="S4060" s="112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D4061" t="inlineStr"/>
      <c r="E4061" t="inlineStr">
        <is>
          <t>ER</t>
        </is>
      </c>
      <c r="F4061" t="inlineStr"/>
      <c r="G4061" s="126" t="inlineStr"/>
      <c r="H4061" s="125" t="n">
        <v>46138</v>
      </c>
      <c r="I4061" t="inlineStr"/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N4061" t="inlineStr"/>
      <c r="O4061" t="inlineStr">
        <is>
          <t>RFT892</t>
        </is>
      </c>
      <c r="P4061" t="inlineStr"/>
      <c r="Q4061" s="112" t="n">
        <v>0</v>
      </c>
      <c r="R4061" s="112" t="n">
        <v>508.33</v>
      </c>
      <c r="S4061" s="112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D4062" t="inlineStr"/>
      <c r="E4062" t="inlineStr">
        <is>
          <t>ER</t>
        </is>
      </c>
      <c r="F4062" t="inlineStr"/>
      <c r="G4062" s="126" t="inlineStr"/>
      <c r="H4062" s="125" t="n">
        <v>46138</v>
      </c>
      <c r="I4062" t="inlineStr"/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N4062" t="inlineStr"/>
      <c r="O4062" t="inlineStr">
        <is>
          <t>RFT892</t>
        </is>
      </c>
      <c r="P4062" t="inlineStr"/>
      <c r="Q4062" s="112" t="n">
        <v>0</v>
      </c>
      <c r="R4062" s="112" t="n">
        <v>508.33</v>
      </c>
      <c r="S4062" s="112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D4063" t="inlineStr"/>
      <c r="E4063" t="inlineStr">
        <is>
          <t>ER</t>
        </is>
      </c>
      <c r="F4063" t="inlineStr"/>
      <c r="G4063" s="126" t="inlineStr"/>
      <c r="H4063" s="125" t="n">
        <v>46138</v>
      </c>
      <c r="I4063" t="inlineStr"/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N4063" t="inlineStr"/>
      <c r="O4063" t="inlineStr">
        <is>
          <t>RMS2321</t>
        </is>
      </c>
      <c r="P4063" t="inlineStr"/>
      <c r="Q4063" s="112" t="n">
        <v>0</v>
      </c>
      <c r="R4063" s="112" t="n">
        <v>1077.59</v>
      </c>
      <c r="S4063" s="112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D4064" t="inlineStr"/>
      <c r="E4064" t="inlineStr">
        <is>
          <t>ER</t>
        </is>
      </c>
      <c r="F4064" t="inlineStr"/>
      <c r="G4064" s="126" t="inlineStr"/>
      <c r="H4064" s="125" t="n">
        <v>46138</v>
      </c>
      <c r="I4064" t="inlineStr"/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N4064" t="inlineStr"/>
      <c r="O4064" t="inlineStr">
        <is>
          <t>RMS2321</t>
        </is>
      </c>
      <c r="P4064" t="inlineStr"/>
      <c r="Q4064" s="112" t="n">
        <v>0</v>
      </c>
      <c r="R4064" s="112" t="n">
        <v>1077.59</v>
      </c>
      <c r="S4064" s="112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D4065" t="inlineStr"/>
      <c r="E4065" t="inlineStr">
        <is>
          <t>ER</t>
        </is>
      </c>
      <c r="F4065" t="inlineStr"/>
      <c r="G4065" s="126" t="inlineStr"/>
      <c r="H4065" s="125" t="n">
        <v>46138</v>
      </c>
      <c r="I4065" t="inlineStr"/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N4065" t="inlineStr"/>
      <c r="O4065" t="inlineStr">
        <is>
          <t>RMS2321</t>
        </is>
      </c>
      <c r="P4065" t="inlineStr"/>
      <c r="Q4065" s="112" t="n">
        <v>0</v>
      </c>
      <c r="R4065" s="112" t="n">
        <v>1077.59</v>
      </c>
      <c r="S4065" s="112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D4066" t="inlineStr"/>
      <c r="E4066" t="inlineStr">
        <is>
          <t>ER</t>
        </is>
      </c>
      <c r="F4066" t="inlineStr"/>
      <c r="G4066" s="126" t="inlineStr"/>
      <c r="H4066" s="125" t="n">
        <v>46142</v>
      </c>
      <c r="I4066" t="inlineStr"/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N4066" t="inlineStr"/>
      <c r="O4066" t="inlineStr">
        <is>
          <t>RFT890</t>
        </is>
      </c>
      <c r="P4066" t="inlineStr"/>
      <c r="Q4066" s="112" t="n">
        <v>0</v>
      </c>
      <c r="R4066" s="112" t="n">
        <v>500</v>
      </c>
      <c r="S4066" s="112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D4067" t="inlineStr"/>
      <c r="E4067" t="inlineStr">
        <is>
          <t>ER</t>
        </is>
      </c>
      <c r="F4067" t="inlineStr"/>
      <c r="G4067" s="126" t="inlineStr"/>
      <c r="H4067" s="125" t="n">
        <v>46142</v>
      </c>
      <c r="I4067" t="inlineStr"/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N4067" t="inlineStr"/>
      <c r="O4067" t="inlineStr">
        <is>
          <t>RFT890</t>
        </is>
      </c>
      <c r="P4067" t="inlineStr"/>
      <c r="Q4067" s="112" t="n">
        <v>0</v>
      </c>
      <c r="R4067" s="112" t="n">
        <v>500</v>
      </c>
      <c r="S4067" s="112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D4068" t="inlineStr"/>
      <c r="E4068" t="inlineStr">
        <is>
          <t>LA</t>
        </is>
      </c>
      <c r="F4068" t="inlineStr"/>
      <c r="G4068" s="126" t="inlineStr"/>
      <c r="H4068" s="125" t="n">
        <v>46121</v>
      </c>
      <c r="I4068" t="inlineStr"/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N4068" t="inlineStr"/>
      <c r="O4068" t="inlineStr"/>
      <c r="P4068" t="inlineStr"/>
      <c r="Q4068" s="112" t="n">
        <v>0</v>
      </c>
      <c r="R4068" s="112" t="n">
        <v>1154.91</v>
      </c>
      <c r="S4068" s="112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D4069" t="inlineStr"/>
      <c r="E4069" t="inlineStr">
        <is>
          <t>LA</t>
        </is>
      </c>
      <c r="F4069" t="inlineStr"/>
      <c r="G4069" s="126" t="inlineStr"/>
      <c r="H4069" s="125" t="n">
        <v>46128</v>
      </c>
      <c r="I4069" t="inlineStr"/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N4069" t="inlineStr"/>
      <c r="O4069" t="inlineStr"/>
      <c r="P4069" t="inlineStr"/>
      <c r="Q4069" s="112" t="n">
        <v>0</v>
      </c>
      <c r="R4069" s="112" t="n">
        <v>1723.05</v>
      </c>
      <c r="S4069" s="112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D4070" t="inlineStr"/>
      <c r="E4070" t="inlineStr">
        <is>
          <t>LA</t>
        </is>
      </c>
      <c r="F4070" t="inlineStr"/>
      <c r="G4070" s="126" t="inlineStr"/>
      <c r="H4070" s="125" t="n">
        <v>46128</v>
      </c>
      <c r="I4070" t="inlineStr"/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N4070" t="inlineStr"/>
      <c r="O4070" t="inlineStr"/>
      <c r="P4070" t="inlineStr"/>
      <c r="Q4070" s="112" t="n">
        <v>0</v>
      </c>
      <c r="R4070" s="112" t="n">
        <v>1723.05</v>
      </c>
      <c r="S4070" s="112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D4071" t="inlineStr"/>
      <c r="E4071" t="inlineStr">
        <is>
          <t>LA</t>
        </is>
      </c>
      <c r="F4071" t="inlineStr"/>
      <c r="G4071" s="126" t="inlineStr"/>
      <c r="H4071" s="125" t="n">
        <v>46128</v>
      </c>
      <c r="I4071" t="inlineStr"/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N4071" t="inlineStr"/>
      <c r="O4071" t="inlineStr"/>
      <c r="P4071" t="inlineStr"/>
      <c r="Q4071" s="112" t="n">
        <v>0</v>
      </c>
      <c r="R4071" s="112" t="n">
        <v>702.1900000000001</v>
      </c>
      <c r="S4071" s="112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D4072" t="inlineStr"/>
      <c r="E4072" t="inlineStr">
        <is>
          <t>LA</t>
        </is>
      </c>
      <c r="F4072" t="inlineStr"/>
      <c r="G4072" s="126" t="inlineStr"/>
      <c r="H4072" s="125" t="n">
        <v>46128</v>
      </c>
      <c r="I4072" t="inlineStr"/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N4072" t="inlineStr"/>
      <c r="O4072" t="inlineStr"/>
      <c r="P4072" t="inlineStr"/>
      <c r="Q4072" s="112" t="n">
        <v>0</v>
      </c>
      <c r="R4072" s="112" t="n">
        <v>1470.19</v>
      </c>
      <c r="S4072" s="112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D4073" t="inlineStr"/>
      <c r="E4073" t="inlineStr">
        <is>
          <t>LA</t>
        </is>
      </c>
      <c r="F4073" t="inlineStr"/>
      <c r="G4073" s="126" t="inlineStr"/>
      <c r="H4073" s="125" t="n">
        <v>46128</v>
      </c>
      <c r="I4073" t="inlineStr"/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N4073" t="inlineStr"/>
      <c r="O4073" t="inlineStr"/>
      <c r="P4073" t="inlineStr"/>
      <c r="Q4073" s="112" t="n">
        <v>0</v>
      </c>
      <c r="R4073" s="112" t="n">
        <v>2557.1</v>
      </c>
      <c r="S4073" s="112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D4074" t="inlineStr"/>
      <c r="E4074" t="inlineStr">
        <is>
          <t>LA</t>
        </is>
      </c>
      <c r="F4074" t="inlineStr"/>
      <c r="G4074" s="126" t="inlineStr"/>
      <c r="H4074" s="125" t="n">
        <v>46135</v>
      </c>
      <c r="I4074" t="inlineStr"/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N4074" t="inlineStr"/>
      <c r="O4074" t="inlineStr"/>
      <c r="P4074" t="inlineStr"/>
      <c r="Q4074" s="112" t="n">
        <v>0</v>
      </c>
      <c r="R4074" s="112" t="n">
        <v>1846.14</v>
      </c>
      <c r="S4074" s="112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D4075" t="inlineStr"/>
      <c r="E4075" t="inlineStr">
        <is>
          <t>LA</t>
        </is>
      </c>
      <c r="F4075" t="inlineStr"/>
      <c r="G4075" s="126" t="inlineStr"/>
      <c r="H4075" s="125" t="n">
        <v>46135</v>
      </c>
      <c r="I4075" t="inlineStr"/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N4075" t="inlineStr"/>
      <c r="O4075" t="inlineStr"/>
      <c r="P4075" t="inlineStr"/>
      <c r="Q4075" s="112" t="n">
        <v>0</v>
      </c>
      <c r="R4075" s="112" t="n">
        <v>1268.88</v>
      </c>
      <c r="S4075" s="112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D4076" t="inlineStr"/>
      <c r="E4076" t="inlineStr">
        <is>
          <t>LA</t>
        </is>
      </c>
      <c r="F4076" t="inlineStr"/>
      <c r="G4076" s="126" t="inlineStr"/>
      <c r="H4076" s="125" t="n">
        <v>46135</v>
      </c>
      <c r="I4076" t="inlineStr"/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N4076" t="inlineStr"/>
      <c r="O4076" t="inlineStr"/>
      <c r="P4076" t="inlineStr"/>
      <c r="Q4076" s="112" t="n">
        <v>0</v>
      </c>
      <c r="R4076" s="112" t="n">
        <v>1268.82</v>
      </c>
      <c r="S4076" s="112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D4077" t="inlineStr"/>
      <c r="E4077" t="inlineStr">
        <is>
          <t>LA</t>
        </is>
      </c>
      <c r="F4077" t="inlineStr"/>
      <c r="G4077" s="126" t="inlineStr"/>
      <c r="H4077" s="125" t="n">
        <v>46135</v>
      </c>
      <c r="I4077" t="inlineStr"/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N4077" t="inlineStr"/>
      <c r="O4077" t="inlineStr"/>
      <c r="P4077" t="inlineStr"/>
      <c r="Q4077" s="112" t="n">
        <v>0</v>
      </c>
      <c r="R4077" s="112" t="n">
        <v>457.24</v>
      </c>
      <c r="S4077" s="112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D4078" t="inlineStr"/>
      <c r="E4078" t="inlineStr">
        <is>
          <t>LA</t>
        </is>
      </c>
      <c r="F4078" t="inlineStr"/>
      <c r="G4078" s="126" t="inlineStr"/>
      <c r="H4078" s="125" t="n">
        <v>46142</v>
      </c>
      <c r="I4078" t="inlineStr"/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N4078" t="inlineStr"/>
      <c r="O4078" t="inlineStr"/>
      <c r="P4078" t="inlineStr"/>
      <c r="Q4078" s="112" t="n">
        <v>0</v>
      </c>
      <c r="R4078" s="112" t="n">
        <v>528.77</v>
      </c>
      <c r="S4078" s="112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D4079" t="inlineStr"/>
      <c r="E4079" t="inlineStr">
        <is>
          <t>LA</t>
        </is>
      </c>
      <c r="F4079" t="inlineStr"/>
      <c r="G4079" s="126" t="inlineStr"/>
      <c r="H4079" s="125" t="n">
        <v>46142</v>
      </c>
      <c r="I4079" t="inlineStr"/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N4079" t="inlineStr"/>
      <c r="O4079" t="inlineStr"/>
      <c r="P4079" t="inlineStr"/>
      <c r="Q4079" s="112" t="n">
        <v>0</v>
      </c>
      <c r="R4079" s="112" t="n">
        <v>1085.02</v>
      </c>
      <c r="S4079" s="112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D4080" t="inlineStr"/>
      <c r="E4080" t="inlineStr">
        <is>
          <t>LA</t>
        </is>
      </c>
      <c r="F4080" t="inlineStr"/>
      <c r="G4080" s="126" t="inlineStr"/>
      <c r="H4080" s="125" t="n">
        <v>46156</v>
      </c>
      <c r="I4080" t="inlineStr"/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N4080" t="inlineStr"/>
      <c r="O4080" t="inlineStr"/>
      <c r="P4080" t="inlineStr"/>
      <c r="Q4080" s="112" t="n">
        <v>0</v>
      </c>
      <c r="R4080" s="112" t="n">
        <v>1381.75</v>
      </c>
      <c r="S4080" s="112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D4081" t="inlineStr"/>
      <c r="E4081" t="inlineStr">
        <is>
          <t>LA</t>
        </is>
      </c>
      <c r="F4081" t="inlineStr"/>
      <c r="G4081" s="126" t="inlineStr"/>
      <c r="H4081" s="125" t="n">
        <v>46156</v>
      </c>
      <c r="I4081" t="inlineStr"/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N4081" t="inlineStr"/>
      <c r="O4081" t="inlineStr"/>
      <c r="P4081" t="inlineStr"/>
      <c r="Q4081" s="112" t="n">
        <v>0</v>
      </c>
      <c r="R4081" s="112" t="n">
        <v>1079.67</v>
      </c>
      <c r="S4081" s="112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D4082" t="inlineStr"/>
      <c r="E4082" t="inlineStr">
        <is>
          <t>LA</t>
        </is>
      </c>
      <c r="F4082" t="inlineStr"/>
      <c r="G4082" s="126" t="inlineStr"/>
      <c r="H4082" s="125" t="n">
        <v>46156</v>
      </c>
      <c r="I4082" t="inlineStr"/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N4082" t="inlineStr"/>
      <c r="O4082" t="inlineStr"/>
      <c r="P4082" t="inlineStr"/>
      <c r="Q4082" s="112" t="n">
        <v>0</v>
      </c>
      <c r="R4082" s="112" t="n">
        <v>1130.76</v>
      </c>
      <c r="S4082" s="112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D4083" t="inlineStr"/>
      <c r="E4083" t="inlineStr">
        <is>
          <t>LA</t>
        </is>
      </c>
      <c r="F4083" t="inlineStr"/>
      <c r="G4083" s="126" t="inlineStr"/>
      <c r="H4083" s="125" t="n">
        <v>46156</v>
      </c>
      <c r="I4083" t="inlineStr"/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N4083" t="inlineStr"/>
      <c r="O4083" t="inlineStr"/>
      <c r="P4083" t="inlineStr"/>
      <c r="Q4083" s="112" t="n">
        <v>0</v>
      </c>
      <c r="R4083" s="112" t="n">
        <v>1130.76</v>
      </c>
      <c r="S4083" s="112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D4084" t="inlineStr"/>
      <c r="E4084" t="inlineStr">
        <is>
          <t>LA</t>
        </is>
      </c>
      <c r="F4084" t="inlineStr"/>
      <c r="G4084" s="126" t="inlineStr"/>
      <c r="H4084" s="125" t="n">
        <v>46156</v>
      </c>
      <c r="I4084" t="inlineStr"/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N4084" t="inlineStr"/>
      <c r="O4084" t="inlineStr"/>
      <c r="P4084" t="inlineStr"/>
      <c r="Q4084" s="112" t="n">
        <v>0</v>
      </c>
      <c r="R4084" s="112" t="n">
        <v>593.8099999999999</v>
      </c>
      <c r="S4084" s="112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D4085" t="inlineStr"/>
      <c r="E4085" t="inlineStr">
        <is>
          <t>LA</t>
        </is>
      </c>
      <c r="F4085" t="inlineStr"/>
      <c r="G4085" s="126" t="inlineStr"/>
      <c r="H4085" s="125" t="n">
        <v>46156</v>
      </c>
      <c r="I4085" t="inlineStr"/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N4085" t="inlineStr"/>
      <c r="O4085" t="inlineStr"/>
      <c r="P4085" t="inlineStr"/>
      <c r="Q4085" s="112" t="n">
        <v>0</v>
      </c>
      <c r="R4085" s="112" t="n">
        <v>656.04</v>
      </c>
      <c r="S4085" s="112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D4086" t="inlineStr"/>
      <c r="E4086" t="inlineStr">
        <is>
          <t>LA</t>
        </is>
      </c>
      <c r="F4086" t="inlineStr"/>
      <c r="G4086" s="126" t="inlineStr"/>
      <c r="H4086" s="125" t="n">
        <v>46156</v>
      </c>
      <c r="I4086" t="inlineStr"/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N4086" t="inlineStr"/>
      <c r="O4086" t="inlineStr"/>
      <c r="P4086" t="inlineStr"/>
      <c r="Q4086" s="112" t="n">
        <v>0</v>
      </c>
      <c r="R4086" s="112" t="n">
        <v>656.04</v>
      </c>
      <c r="S4086" s="112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D4087" t="inlineStr"/>
      <c r="E4087" t="inlineStr">
        <is>
          <t>LA</t>
        </is>
      </c>
      <c r="F4087" t="inlineStr"/>
      <c r="G4087" s="126" t="inlineStr"/>
      <c r="H4087" s="125" t="n">
        <v>46163</v>
      </c>
      <c r="I4087" t="inlineStr"/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N4087" t="inlineStr"/>
      <c r="O4087" t="inlineStr"/>
      <c r="P4087" t="inlineStr"/>
      <c r="Q4087" s="112" t="n">
        <v>0</v>
      </c>
      <c r="R4087" s="112" t="n">
        <v>1891.06</v>
      </c>
      <c r="S4087" s="112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D4088" t="inlineStr"/>
      <c r="E4088" t="inlineStr">
        <is>
          <t>LA</t>
        </is>
      </c>
      <c r="F4088" t="inlineStr"/>
      <c r="G4088" s="126" t="inlineStr"/>
      <c r="H4088" s="125" t="n">
        <v>46163</v>
      </c>
      <c r="I4088" t="inlineStr"/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N4088" t="inlineStr"/>
      <c r="O4088" t="inlineStr"/>
      <c r="P4088" t="inlineStr"/>
      <c r="Q4088" s="112" t="n">
        <v>0</v>
      </c>
      <c r="R4088" s="112" t="n">
        <v>560.36</v>
      </c>
      <c r="S4088" s="112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26" t="n">
        <v>46108</v>
      </c>
      <c r="H4089" s="125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12" t="n">
        <v>0</v>
      </c>
      <c r="R4089" s="112" t="n">
        <v>0</v>
      </c>
      <c r="S4089" s="112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26" t="n">
        <v>46108</v>
      </c>
      <c r="H4090" s="125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12" t="n">
        <v>0</v>
      </c>
      <c r="R4090" s="112" t="n">
        <v>0</v>
      </c>
      <c r="S4090" s="112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26" t="n">
        <v>46108</v>
      </c>
      <c r="H4091" s="125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12" t="n">
        <v>0</v>
      </c>
      <c r="R4091" s="112" t="n">
        <v>0</v>
      </c>
      <c r="S4091" s="112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D4092" t="inlineStr"/>
      <c r="E4092" t="inlineStr">
        <is>
          <t>LA</t>
        </is>
      </c>
      <c r="F4092" t="inlineStr"/>
      <c r="G4092" s="126" t="inlineStr"/>
      <c r="H4092" s="125" t="n">
        <v>46135</v>
      </c>
      <c r="I4092" t="inlineStr"/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N4092" t="inlineStr"/>
      <c r="O4092" t="inlineStr"/>
      <c r="P4092" t="inlineStr"/>
      <c r="Q4092" s="112" t="n">
        <v>0</v>
      </c>
      <c r="R4092" s="112" t="n">
        <v>317.38</v>
      </c>
      <c r="S4092" s="112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D4093" t="inlineStr"/>
      <c r="E4093" t="inlineStr">
        <is>
          <t>ER</t>
        </is>
      </c>
      <c r="F4093" t="inlineStr"/>
      <c r="G4093" s="126" t="inlineStr"/>
      <c r="H4093" s="125" t="n">
        <v>46152</v>
      </c>
      <c r="I4093" t="inlineStr"/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N4093" t="inlineStr"/>
      <c r="O4093" t="inlineStr">
        <is>
          <t>RGR114</t>
        </is>
      </c>
      <c r="P4093" t="inlineStr"/>
      <c r="Q4093" s="112" t="n">
        <v>0</v>
      </c>
      <c r="R4093" s="112" t="n">
        <v>604.17</v>
      </c>
      <c r="S4093" s="112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D4094" t="inlineStr"/>
      <c r="E4094" t="inlineStr">
        <is>
          <t>ER</t>
        </is>
      </c>
      <c r="F4094" t="inlineStr"/>
      <c r="G4094" s="126" t="inlineStr"/>
      <c r="H4094" s="125" t="n">
        <v>46152</v>
      </c>
      <c r="I4094" t="inlineStr"/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N4094" t="inlineStr"/>
      <c r="O4094" t="inlineStr">
        <is>
          <t>RHV96</t>
        </is>
      </c>
      <c r="P4094" t="inlineStr"/>
      <c r="Q4094" s="112" t="n">
        <v>0</v>
      </c>
      <c r="R4094" s="112" t="n">
        <v>200</v>
      </c>
      <c r="S4094" s="112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D4095" t="inlineStr"/>
      <c r="E4095" t="inlineStr">
        <is>
          <t>ER</t>
        </is>
      </c>
      <c r="F4095" t="inlineStr"/>
      <c r="G4095" s="126" t="inlineStr"/>
      <c r="H4095" s="125" t="n">
        <v>46152</v>
      </c>
      <c r="I4095" t="inlineStr"/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N4095" t="inlineStr"/>
      <c r="O4095" t="inlineStr">
        <is>
          <t>RPK482</t>
        </is>
      </c>
      <c r="P4095" t="inlineStr"/>
      <c r="Q4095" s="112" t="n">
        <v>0</v>
      </c>
      <c r="R4095" s="112" t="n">
        <v>300</v>
      </c>
      <c r="S4095" s="112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D4096" t="inlineStr"/>
      <c r="E4096" t="inlineStr">
        <is>
          <t>ER</t>
        </is>
      </c>
      <c r="F4096" t="inlineStr"/>
      <c r="G4096" s="126" t="inlineStr"/>
      <c r="H4096" s="125" t="n">
        <v>46152</v>
      </c>
      <c r="I4096" t="inlineStr"/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N4096" t="inlineStr"/>
      <c r="O4096" t="inlineStr">
        <is>
          <t>RPK500</t>
        </is>
      </c>
      <c r="P4096" t="inlineStr"/>
      <c r="Q4096" s="112" t="n">
        <v>0</v>
      </c>
      <c r="R4096" s="112" t="n">
        <v>340</v>
      </c>
      <c r="S4096" s="112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D4097" t="inlineStr"/>
      <c r="E4097" t="inlineStr">
        <is>
          <t>ER</t>
        </is>
      </c>
      <c r="F4097" t="inlineStr"/>
      <c r="G4097" s="126" t="inlineStr"/>
      <c r="H4097" s="125" t="n">
        <v>46152</v>
      </c>
      <c r="I4097" t="inlineStr"/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N4097" t="inlineStr"/>
      <c r="O4097" t="inlineStr">
        <is>
          <t>RPK500</t>
        </is>
      </c>
      <c r="P4097" t="inlineStr"/>
      <c r="Q4097" s="112" t="n">
        <v>0</v>
      </c>
      <c r="R4097" s="112" t="n">
        <v>340</v>
      </c>
      <c r="S4097" s="112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D4098" t="inlineStr"/>
      <c r="E4098" t="inlineStr">
        <is>
          <t>ER</t>
        </is>
      </c>
      <c r="F4098" t="inlineStr"/>
      <c r="G4098" s="126" t="inlineStr"/>
      <c r="H4098" s="125" t="n">
        <v>46152</v>
      </c>
      <c r="I4098" t="inlineStr"/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N4098" t="inlineStr"/>
      <c r="O4098" t="inlineStr">
        <is>
          <t>RPK500</t>
        </is>
      </c>
      <c r="P4098" t="inlineStr"/>
      <c r="Q4098" s="112" t="n">
        <v>0</v>
      </c>
      <c r="R4098" s="112" t="n">
        <v>340</v>
      </c>
      <c r="S4098" s="112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D4099" t="inlineStr"/>
      <c r="E4099" t="inlineStr">
        <is>
          <t>ER</t>
        </is>
      </c>
      <c r="F4099" t="inlineStr"/>
      <c r="G4099" s="126" t="inlineStr"/>
      <c r="H4099" s="125" t="n">
        <v>46152</v>
      </c>
      <c r="I4099" t="inlineStr"/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N4099" t="inlineStr"/>
      <c r="O4099" t="inlineStr">
        <is>
          <t>RPK500</t>
        </is>
      </c>
      <c r="P4099" t="inlineStr"/>
      <c r="Q4099" s="112" t="n">
        <v>0</v>
      </c>
      <c r="R4099" s="112" t="n">
        <v>340</v>
      </c>
      <c r="S4099" s="112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D4100" t="inlineStr"/>
      <c r="E4100" t="inlineStr">
        <is>
          <t>ER</t>
        </is>
      </c>
      <c r="F4100" t="inlineStr"/>
      <c r="G4100" s="126" t="inlineStr"/>
      <c r="H4100" s="125" t="n">
        <v>46159</v>
      </c>
      <c r="I4100" t="inlineStr"/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N4100" t="inlineStr"/>
      <c r="O4100" t="inlineStr">
        <is>
          <t>RGR114</t>
        </is>
      </c>
      <c r="P4100" t="inlineStr"/>
      <c r="Q4100" s="112" t="n">
        <v>0</v>
      </c>
      <c r="R4100" s="112" t="n">
        <v>604.17</v>
      </c>
      <c r="S4100" s="112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D4101" t="inlineStr"/>
      <c r="E4101" t="inlineStr">
        <is>
          <t>ER</t>
        </is>
      </c>
      <c r="F4101" t="inlineStr"/>
      <c r="G4101" s="126" t="inlineStr"/>
      <c r="H4101" s="125" t="n">
        <v>46159</v>
      </c>
      <c r="I4101" t="inlineStr"/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N4101" t="inlineStr"/>
      <c r="O4101" t="inlineStr">
        <is>
          <t>RHV96</t>
        </is>
      </c>
      <c r="P4101" t="inlineStr"/>
      <c r="Q4101" s="112" t="n">
        <v>0</v>
      </c>
      <c r="R4101" s="112" t="n">
        <v>200</v>
      </c>
      <c r="S4101" s="112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D4102" t="inlineStr"/>
      <c r="E4102" t="inlineStr">
        <is>
          <t>ER</t>
        </is>
      </c>
      <c r="F4102" t="inlineStr"/>
      <c r="G4102" s="126" t="inlineStr"/>
      <c r="H4102" s="125" t="n">
        <v>46159</v>
      </c>
      <c r="I4102" t="inlineStr"/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N4102" t="inlineStr"/>
      <c r="O4102" t="inlineStr">
        <is>
          <t>RHV96</t>
        </is>
      </c>
      <c r="P4102" t="inlineStr"/>
      <c r="Q4102" s="112" t="n">
        <v>0</v>
      </c>
      <c r="R4102" s="112" t="n">
        <v>200</v>
      </c>
      <c r="S4102" s="112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D4103" t="inlineStr"/>
      <c r="E4103" t="inlineStr">
        <is>
          <t>ER</t>
        </is>
      </c>
      <c r="F4103" t="inlineStr"/>
      <c r="G4103" s="126" t="inlineStr"/>
      <c r="H4103" s="125" t="n">
        <v>46159</v>
      </c>
      <c r="I4103" t="inlineStr"/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N4103" t="inlineStr"/>
      <c r="O4103" t="inlineStr">
        <is>
          <t>RPK482</t>
        </is>
      </c>
      <c r="P4103" t="inlineStr"/>
      <c r="Q4103" s="112" t="n">
        <v>0</v>
      </c>
      <c r="R4103" s="112" t="n">
        <v>300</v>
      </c>
      <c r="S4103" s="112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D4104" t="inlineStr"/>
      <c r="E4104" t="inlineStr">
        <is>
          <t>ER</t>
        </is>
      </c>
      <c r="F4104" t="inlineStr"/>
      <c r="G4104" t="inlineStr"/>
      <c r="H4104" s="125" t="n">
        <v>46159</v>
      </c>
      <c r="I4104" t="inlineStr"/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N4104" t="inlineStr"/>
      <c r="O4104" t="inlineStr">
        <is>
          <t>RPK500</t>
        </is>
      </c>
      <c r="P4104" t="inlineStr"/>
      <c r="Q4104" s="112" t="n">
        <v>0</v>
      </c>
      <c r="R4104" s="112" t="n">
        <v>340</v>
      </c>
      <c r="S4104" s="112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D4105" t="inlineStr"/>
      <c r="E4105" t="inlineStr">
        <is>
          <t>ER</t>
        </is>
      </c>
      <c r="F4105" t="inlineStr"/>
      <c r="G4105" t="inlineStr"/>
      <c r="H4105" s="125" t="n">
        <v>46159</v>
      </c>
      <c r="I4105" t="inlineStr"/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N4105" t="inlineStr"/>
      <c r="O4105" t="inlineStr">
        <is>
          <t>RPK500</t>
        </is>
      </c>
      <c r="P4105" t="inlineStr"/>
      <c r="Q4105" s="112" t="n">
        <v>0</v>
      </c>
      <c r="R4105" s="112" t="n">
        <v>340</v>
      </c>
      <c r="S4105" s="112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D4106" t="inlineStr"/>
      <c r="E4106" t="inlineStr">
        <is>
          <t>LA</t>
        </is>
      </c>
      <c r="F4106" t="inlineStr"/>
      <c r="G4106" t="inlineStr"/>
      <c r="H4106" s="125" t="n">
        <v>46149</v>
      </c>
      <c r="I4106" t="inlineStr"/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N4106" t="inlineStr"/>
      <c r="O4106" t="inlineStr"/>
      <c r="P4106" t="inlineStr"/>
      <c r="Q4106" s="112" t="n">
        <v>0</v>
      </c>
      <c r="R4106" s="112" t="n">
        <v>2342.07</v>
      </c>
      <c r="S4106" s="112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D4107" t="inlineStr"/>
      <c r="E4107" t="inlineStr">
        <is>
          <t>LA</t>
        </is>
      </c>
      <c r="F4107" t="inlineStr"/>
      <c r="G4107" t="inlineStr"/>
      <c r="H4107" s="125" t="n">
        <v>46156</v>
      </c>
      <c r="I4107" t="inlineStr"/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N4107" t="inlineStr"/>
      <c r="O4107" t="inlineStr"/>
      <c r="P4107" t="inlineStr"/>
      <c r="Q4107" s="112" t="n">
        <v>0</v>
      </c>
      <c r="R4107" s="112" t="n">
        <v>2267.62</v>
      </c>
      <c r="S4107" s="112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25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12" t="n">
        <v>0</v>
      </c>
      <c r="R4108" s="112" t="n">
        <v>0</v>
      </c>
      <c r="S4108" s="112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D4109" t="inlineStr"/>
      <c r="E4109" t="inlineStr">
        <is>
          <t>EQ</t>
        </is>
      </c>
      <c r="F4109" t="inlineStr"/>
      <c r="G4109" t="inlineStr"/>
      <c r="H4109" s="125" t="n">
        <v>46142</v>
      </c>
      <c r="I4109" t="inlineStr"/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N4109" t="inlineStr"/>
      <c r="O4109" t="inlineStr">
        <is>
          <t>RT1447</t>
        </is>
      </c>
      <c r="P4109" t="inlineStr"/>
      <c r="Q4109" s="112" t="n">
        <v>0</v>
      </c>
      <c r="R4109" s="112" t="n">
        <v>79.14</v>
      </c>
      <c r="S4109" s="112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D4110" t="inlineStr"/>
      <c r="E4110" t="inlineStr">
        <is>
          <t>EQ</t>
        </is>
      </c>
      <c r="F4110" t="inlineStr"/>
      <c r="G4110" t="inlineStr"/>
      <c r="H4110" s="125" t="n">
        <v>46142</v>
      </c>
      <c r="I4110" t="inlineStr"/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N4110" t="inlineStr"/>
      <c r="O4110" t="inlineStr">
        <is>
          <t>RT1447</t>
        </is>
      </c>
      <c r="P4110" t="inlineStr"/>
      <c r="Q4110" s="112" t="n">
        <v>0</v>
      </c>
      <c r="R4110" s="112" t="n">
        <v>79.14</v>
      </c>
      <c r="S4110" s="112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D4111" t="inlineStr"/>
      <c r="E4111" t="inlineStr">
        <is>
          <t>EQ</t>
        </is>
      </c>
      <c r="F4111" t="inlineStr"/>
      <c r="G4111" t="inlineStr"/>
      <c r="H4111" s="125" t="n">
        <v>46142</v>
      </c>
      <c r="I4111" t="inlineStr"/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N4111" t="inlineStr"/>
      <c r="O4111" t="inlineStr">
        <is>
          <t>RT1447</t>
        </is>
      </c>
      <c r="P4111" t="inlineStr"/>
      <c r="Q4111" s="112" t="n">
        <v>0</v>
      </c>
      <c r="R4111" s="112" t="n">
        <v>79.14</v>
      </c>
      <c r="S4111" s="112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D4112" t="inlineStr"/>
      <c r="E4112" t="inlineStr">
        <is>
          <t>EQ</t>
        </is>
      </c>
      <c r="F4112" t="inlineStr"/>
      <c r="G4112" t="inlineStr"/>
      <c r="H4112" s="125" t="n">
        <v>46142</v>
      </c>
      <c r="I4112" t="inlineStr"/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N4112" t="inlineStr"/>
      <c r="O4112" t="inlineStr">
        <is>
          <t>RT1447</t>
        </is>
      </c>
      <c r="P4112" t="inlineStr"/>
      <c r="Q4112" s="112" t="n">
        <v>0</v>
      </c>
      <c r="R4112" s="112" t="n">
        <v>79.14</v>
      </c>
      <c r="S4112" s="112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D4113" t="inlineStr"/>
      <c r="E4113" t="inlineStr">
        <is>
          <t>EQ</t>
        </is>
      </c>
      <c r="F4113" t="inlineStr"/>
      <c r="G4113" t="inlineStr"/>
      <c r="H4113" s="125" t="n">
        <v>46145</v>
      </c>
      <c r="I4113" t="inlineStr"/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N4113" t="inlineStr"/>
      <c r="O4113" t="inlineStr">
        <is>
          <t>RT1447</t>
        </is>
      </c>
      <c r="P4113" t="inlineStr"/>
      <c r="Q4113" s="112" t="n">
        <v>0</v>
      </c>
      <c r="R4113" s="112" t="n">
        <v>79.14</v>
      </c>
      <c r="S4113" s="112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D4114" t="inlineStr"/>
      <c r="E4114" t="inlineStr">
        <is>
          <t>EQ</t>
        </is>
      </c>
      <c r="F4114" t="inlineStr"/>
      <c r="G4114" t="inlineStr"/>
      <c r="H4114" s="125" t="n">
        <v>46145</v>
      </c>
      <c r="I4114" t="inlineStr"/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N4114" t="inlineStr"/>
      <c r="O4114" t="inlineStr">
        <is>
          <t>RT1447</t>
        </is>
      </c>
      <c r="P4114" t="inlineStr"/>
      <c r="Q4114" s="112" t="n">
        <v>0</v>
      </c>
      <c r="R4114" s="112" t="n">
        <v>79.14</v>
      </c>
      <c r="S4114" s="112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D4115" t="inlineStr"/>
      <c r="E4115" t="inlineStr">
        <is>
          <t>EQ</t>
        </is>
      </c>
      <c r="F4115" t="inlineStr"/>
      <c r="G4115" t="inlineStr"/>
      <c r="H4115" s="125" t="n">
        <v>46152</v>
      </c>
      <c r="I4115" t="inlineStr"/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N4115" t="inlineStr"/>
      <c r="O4115" t="inlineStr">
        <is>
          <t>RT1447</t>
        </is>
      </c>
      <c r="P4115" t="inlineStr"/>
      <c r="Q4115" s="112" t="n">
        <v>0</v>
      </c>
      <c r="R4115" s="112" t="n">
        <v>79.14</v>
      </c>
      <c r="S4115" s="112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D4116" t="inlineStr"/>
      <c r="E4116" t="inlineStr">
        <is>
          <t>EQ</t>
        </is>
      </c>
      <c r="F4116" t="inlineStr"/>
      <c r="G4116" t="inlineStr"/>
      <c r="H4116" s="125" t="n">
        <v>46152</v>
      </c>
      <c r="I4116" t="inlineStr"/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N4116" t="inlineStr"/>
      <c r="O4116" t="inlineStr">
        <is>
          <t>RT1447</t>
        </is>
      </c>
      <c r="P4116" t="inlineStr"/>
      <c r="Q4116" s="112" t="n">
        <v>0</v>
      </c>
      <c r="R4116" s="112" t="n">
        <v>79.14</v>
      </c>
      <c r="S4116" s="112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D4117" t="inlineStr"/>
      <c r="E4117" t="inlineStr">
        <is>
          <t>EQ</t>
        </is>
      </c>
      <c r="F4117" t="inlineStr"/>
      <c r="G4117" t="inlineStr"/>
      <c r="H4117" s="125" t="n">
        <v>46159</v>
      </c>
      <c r="I4117" t="inlineStr"/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N4117" t="inlineStr"/>
      <c r="O4117" t="inlineStr">
        <is>
          <t>RT1447</t>
        </is>
      </c>
      <c r="P4117" t="inlineStr"/>
      <c r="Q4117" s="112" t="n">
        <v>0</v>
      </c>
      <c r="R4117" s="112" t="n">
        <v>79.14</v>
      </c>
      <c r="S4117" s="112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D4118" t="inlineStr"/>
      <c r="E4118" t="inlineStr">
        <is>
          <t>ER</t>
        </is>
      </c>
      <c r="F4118" t="inlineStr"/>
      <c r="G4118" t="inlineStr"/>
      <c r="H4118" s="125" t="n">
        <v>46142</v>
      </c>
      <c r="I4118" t="inlineStr"/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N4118" t="inlineStr"/>
      <c r="O4118" t="inlineStr">
        <is>
          <t>RGR114</t>
        </is>
      </c>
      <c r="P4118" t="inlineStr"/>
      <c r="Q4118" s="112" t="n">
        <v>0</v>
      </c>
      <c r="R4118" s="112" t="n">
        <v>604.17</v>
      </c>
      <c r="S4118" s="112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D4119" t="inlineStr"/>
      <c r="E4119" t="inlineStr">
        <is>
          <t>ER</t>
        </is>
      </c>
      <c r="F4119" t="inlineStr"/>
      <c r="G4119" t="inlineStr"/>
      <c r="H4119" s="125" t="n">
        <v>46142</v>
      </c>
      <c r="I4119" t="inlineStr"/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N4119" t="inlineStr"/>
      <c r="O4119" t="inlineStr">
        <is>
          <t>RGR114</t>
        </is>
      </c>
      <c r="P4119" t="inlineStr"/>
      <c r="Q4119" s="112" t="n">
        <v>0</v>
      </c>
      <c r="R4119" s="112" t="n">
        <v>604.17</v>
      </c>
      <c r="S4119" s="112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D4120" t="inlineStr"/>
      <c r="E4120" t="inlineStr">
        <is>
          <t>ER</t>
        </is>
      </c>
      <c r="F4120" t="inlineStr"/>
      <c r="G4120" t="inlineStr"/>
      <c r="H4120" s="125" t="n">
        <v>46142</v>
      </c>
      <c r="I4120" t="inlineStr"/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N4120" t="inlineStr"/>
      <c r="O4120" t="inlineStr">
        <is>
          <t>RGR114</t>
        </is>
      </c>
      <c r="P4120" t="inlineStr"/>
      <c r="Q4120" s="112" t="n">
        <v>0</v>
      </c>
      <c r="R4120" s="112" t="n">
        <v>604.17</v>
      </c>
      <c r="S4120" s="112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D4121" t="inlineStr"/>
      <c r="E4121" t="inlineStr">
        <is>
          <t>ER</t>
        </is>
      </c>
      <c r="F4121" t="inlineStr"/>
      <c r="G4121" t="inlineStr"/>
      <c r="H4121" s="125" t="n">
        <v>46142</v>
      </c>
      <c r="I4121" t="inlineStr"/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N4121" t="inlineStr"/>
      <c r="O4121" t="inlineStr">
        <is>
          <t>RGR114</t>
        </is>
      </c>
      <c r="P4121" t="inlineStr"/>
      <c r="Q4121" s="112" t="n">
        <v>0</v>
      </c>
      <c r="R4121" s="112" t="n">
        <v>604.17</v>
      </c>
      <c r="S4121" s="112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D4122" t="inlineStr"/>
      <c r="E4122" t="inlineStr">
        <is>
          <t>ER</t>
        </is>
      </c>
      <c r="F4122" t="inlineStr"/>
      <c r="G4122" t="inlineStr"/>
      <c r="H4122" s="125" t="n">
        <v>46142</v>
      </c>
      <c r="I4122" t="inlineStr"/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N4122" t="inlineStr"/>
      <c r="O4122" t="inlineStr">
        <is>
          <t>REX665</t>
        </is>
      </c>
      <c r="P4122" t="inlineStr"/>
      <c r="Q4122" s="112" t="n">
        <v>0</v>
      </c>
      <c r="R4122" s="112" t="n">
        <v>458.33</v>
      </c>
      <c r="S4122" s="112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D4123" t="inlineStr"/>
      <c r="E4123" t="inlineStr">
        <is>
          <t>LA</t>
        </is>
      </c>
      <c r="F4123" t="inlineStr"/>
      <c r="G4123" t="inlineStr"/>
      <c r="H4123" s="125" t="n">
        <v>46142</v>
      </c>
      <c r="I4123" t="inlineStr"/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N4123" t="inlineStr"/>
      <c r="O4123" t="inlineStr"/>
      <c r="P4123" t="inlineStr"/>
      <c r="Q4123" s="112" t="n">
        <v>0</v>
      </c>
      <c r="R4123" s="112" t="n">
        <v>1705.23</v>
      </c>
      <c r="S4123" s="112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D4124" t="inlineStr"/>
      <c r="E4124" t="inlineStr">
        <is>
          <t>LA</t>
        </is>
      </c>
      <c r="F4124" t="inlineStr"/>
      <c r="G4124" t="inlineStr"/>
      <c r="H4124" s="125" t="n">
        <v>46142</v>
      </c>
      <c r="I4124" t="inlineStr"/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N4124" t="inlineStr"/>
      <c r="O4124" t="inlineStr"/>
      <c r="P4124" t="inlineStr"/>
      <c r="Q4124" s="112" t="n">
        <v>0</v>
      </c>
      <c r="R4124" s="112" t="n">
        <v>1705.23</v>
      </c>
      <c r="S4124" s="112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D4125" t="inlineStr"/>
      <c r="E4125" t="inlineStr">
        <is>
          <t>EQ</t>
        </is>
      </c>
      <c r="F4125" t="inlineStr"/>
      <c r="G4125" t="inlineStr"/>
      <c r="H4125" s="125" t="n">
        <v>46152</v>
      </c>
      <c r="I4125" t="inlineStr"/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N4125" t="inlineStr"/>
      <c r="O4125" t="inlineStr">
        <is>
          <t>FT011</t>
        </is>
      </c>
      <c r="P4125" t="inlineStr"/>
      <c r="Q4125" s="112" t="n">
        <v>0</v>
      </c>
      <c r="R4125" s="112" t="n">
        <v>291.67</v>
      </c>
      <c r="S4125" s="112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D4126" t="inlineStr"/>
      <c r="E4126" t="inlineStr">
        <is>
          <t>EQ</t>
        </is>
      </c>
      <c r="F4126" t="inlineStr"/>
      <c r="G4126" t="inlineStr"/>
      <c r="H4126" s="125" t="n">
        <v>46152</v>
      </c>
      <c r="I4126" t="inlineStr"/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N4126" t="inlineStr"/>
      <c r="O4126" t="inlineStr">
        <is>
          <t>FT011</t>
        </is>
      </c>
      <c r="P4126" t="inlineStr"/>
      <c r="Q4126" s="112" t="n">
        <v>0</v>
      </c>
      <c r="R4126" s="112" t="n">
        <v>291.67</v>
      </c>
      <c r="S4126" s="112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D4127" t="inlineStr"/>
      <c r="E4127" t="inlineStr">
        <is>
          <t>EQ</t>
        </is>
      </c>
      <c r="F4127" t="inlineStr"/>
      <c r="G4127" t="inlineStr"/>
      <c r="H4127" s="125" t="n">
        <v>46152</v>
      </c>
      <c r="I4127" t="inlineStr"/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N4127" t="inlineStr"/>
      <c r="O4127" t="inlineStr">
        <is>
          <t>FT011</t>
        </is>
      </c>
      <c r="P4127" t="inlineStr"/>
      <c r="Q4127" s="112" t="n">
        <v>0</v>
      </c>
      <c r="R4127" s="112" t="n">
        <v>291.67</v>
      </c>
      <c r="S4127" s="112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D4128" t="inlineStr"/>
      <c r="E4128" t="inlineStr">
        <is>
          <t>EQ</t>
        </is>
      </c>
      <c r="F4128" t="inlineStr"/>
      <c r="G4128" t="inlineStr"/>
      <c r="H4128" s="125" t="n">
        <v>46159</v>
      </c>
      <c r="I4128" t="inlineStr"/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N4128" t="inlineStr"/>
      <c r="O4128" t="inlineStr">
        <is>
          <t>FT011</t>
        </is>
      </c>
      <c r="P4128" t="inlineStr"/>
      <c r="Q4128" s="112" t="n">
        <v>0</v>
      </c>
      <c r="R4128" s="112" t="n">
        <v>291.67</v>
      </c>
      <c r="S4128" s="112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D4129" t="inlineStr"/>
      <c r="E4129" t="inlineStr">
        <is>
          <t>EQ</t>
        </is>
      </c>
      <c r="F4129" t="inlineStr"/>
      <c r="G4129" t="inlineStr"/>
      <c r="H4129" s="125" t="n">
        <v>46159</v>
      </c>
      <c r="I4129" t="inlineStr"/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N4129" t="inlineStr"/>
      <c r="O4129" t="inlineStr">
        <is>
          <t>FT011</t>
        </is>
      </c>
      <c r="P4129" t="inlineStr"/>
      <c r="Q4129" s="112" t="n">
        <v>0</v>
      </c>
      <c r="R4129" s="112" t="n">
        <v>291.67</v>
      </c>
      <c r="S4129" s="112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D4130" t="inlineStr"/>
      <c r="E4130" t="inlineStr">
        <is>
          <t>EQ</t>
        </is>
      </c>
      <c r="F4130" t="inlineStr"/>
      <c r="G4130" t="inlineStr"/>
      <c r="H4130" s="125" t="n">
        <v>46159</v>
      </c>
      <c r="I4130" t="inlineStr"/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N4130" t="inlineStr"/>
      <c r="O4130" t="inlineStr">
        <is>
          <t>FT011</t>
        </is>
      </c>
      <c r="P4130" t="inlineStr"/>
      <c r="Q4130" s="112" t="n">
        <v>0</v>
      </c>
      <c r="R4130" s="112" t="n">
        <v>291.67</v>
      </c>
      <c r="S4130" s="112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D4131" t="inlineStr"/>
      <c r="E4131" t="inlineStr">
        <is>
          <t>EQ</t>
        </is>
      </c>
      <c r="F4131" t="inlineStr"/>
      <c r="G4131" t="inlineStr"/>
      <c r="H4131" s="125" t="n">
        <v>46159</v>
      </c>
      <c r="I4131" t="inlineStr"/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N4131" t="inlineStr"/>
      <c r="O4131" t="inlineStr">
        <is>
          <t>FT011</t>
        </is>
      </c>
      <c r="P4131" t="inlineStr"/>
      <c r="Q4131" s="112" t="n">
        <v>0</v>
      </c>
      <c r="R4131" s="112" t="n">
        <v>291.67</v>
      </c>
      <c r="S4131" s="112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D4132" t="inlineStr"/>
      <c r="E4132" t="inlineStr">
        <is>
          <t>EQ</t>
        </is>
      </c>
      <c r="F4132" t="inlineStr"/>
      <c r="G4132" t="inlineStr"/>
      <c r="H4132" s="125" t="n">
        <v>46166</v>
      </c>
      <c r="I4132" t="inlineStr"/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N4132" t="inlineStr"/>
      <c r="O4132" t="inlineStr">
        <is>
          <t>FT011</t>
        </is>
      </c>
      <c r="P4132" t="inlineStr"/>
      <c r="Q4132" s="112" t="n">
        <v>0</v>
      </c>
      <c r="R4132" s="112" t="n">
        <v>291.67</v>
      </c>
      <c r="S4132" s="112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D4133" t="inlineStr"/>
      <c r="E4133" t="inlineStr">
        <is>
          <t>EQ</t>
        </is>
      </c>
      <c r="F4133" t="inlineStr"/>
      <c r="G4133" t="inlineStr"/>
      <c r="H4133" s="125" t="n">
        <v>46166</v>
      </c>
      <c r="I4133" t="inlineStr"/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N4133" t="inlineStr"/>
      <c r="O4133" t="inlineStr">
        <is>
          <t>FT011</t>
        </is>
      </c>
      <c r="P4133" t="inlineStr"/>
      <c r="Q4133" s="112" t="n">
        <v>0</v>
      </c>
      <c r="R4133" s="112" t="n">
        <v>291.67</v>
      </c>
      <c r="S4133" s="112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D4134" t="inlineStr"/>
      <c r="E4134" t="inlineStr">
        <is>
          <t>EQ</t>
        </is>
      </c>
      <c r="F4134" t="inlineStr"/>
      <c r="G4134" t="inlineStr"/>
      <c r="H4134" s="125" t="n">
        <v>46166</v>
      </c>
      <c r="I4134" t="inlineStr"/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N4134" t="inlineStr"/>
      <c r="O4134" t="inlineStr">
        <is>
          <t>FT011</t>
        </is>
      </c>
      <c r="P4134" t="inlineStr"/>
      <c r="Q4134" s="112" t="n">
        <v>0</v>
      </c>
      <c r="R4134" s="112" t="n">
        <v>291.67</v>
      </c>
      <c r="S4134" s="112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D4135" t="inlineStr"/>
      <c r="E4135" t="inlineStr">
        <is>
          <t>EQ</t>
        </is>
      </c>
      <c r="F4135" t="inlineStr"/>
      <c r="G4135" t="inlineStr"/>
      <c r="H4135" s="125" t="n">
        <v>46166</v>
      </c>
      <c r="I4135" t="inlineStr"/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N4135" t="inlineStr"/>
      <c r="O4135" t="inlineStr">
        <is>
          <t>RT1385</t>
        </is>
      </c>
      <c r="P4135" t="inlineStr"/>
      <c r="Q4135" s="112" t="n">
        <v>0</v>
      </c>
      <c r="R4135" s="112" t="n">
        <v>79.14</v>
      </c>
      <c r="S4135" s="112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D4136" t="inlineStr"/>
      <c r="E4136" t="inlineStr">
        <is>
          <t>EQ</t>
        </is>
      </c>
      <c r="F4136" t="inlineStr"/>
      <c r="G4136" t="inlineStr"/>
      <c r="H4136" s="125" t="n">
        <v>46166</v>
      </c>
      <c r="I4136" t="inlineStr"/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N4136" t="inlineStr"/>
      <c r="O4136" t="inlineStr">
        <is>
          <t>RT1385</t>
        </is>
      </c>
      <c r="P4136" t="inlineStr"/>
      <c r="Q4136" s="112" t="n">
        <v>0</v>
      </c>
      <c r="R4136" s="112" t="n">
        <v>79.14</v>
      </c>
      <c r="S4136" s="112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D4137" t="inlineStr"/>
      <c r="E4137" t="inlineStr">
        <is>
          <t>EQ</t>
        </is>
      </c>
      <c r="F4137" t="inlineStr"/>
      <c r="G4137" t="inlineStr"/>
      <c r="H4137" s="125" t="n">
        <v>46166</v>
      </c>
      <c r="I4137" t="inlineStr"/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N4137" t="inlineStr"/>
      <c r="O4137" t="inlineStr">
        <is>
          <t>RT1385</t>
        </is>
      </c>
      <c r="P4137" t="inlineStr"/>
      <c r="Q4137" s="112" t="n">
        <v>0</v>
      </c>
      <c r="R4137" s="112" t="n">
        <v>79.14</v>
      </c>
      <c r="S4137" s="112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D4138" t="inlineStr"/>
      <c r="E4138" t="inlineStr">
        <is>
          <t>ER</t>
        </is>
      </c>
      <c r="F4138" t="inlineStr"/>
      <c r="G4138" t="inlineStr"/>
      <c r="H4138" s="125" t="n">
        <v>46142</v>
      </c>
      <c r="I4138" t="inlineStr"/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N4138" t="inlineStr"/>
      <c r="O4138" t="inlineStr">
        <is>
          <t>RMS2388</t>
        </is>
      </c>
      <c r="P4138" t="inlineStr"/>
      <c r="Q4138" s="112" t="n">
        <v>0</v>
      </c>
      <c r="R4138" s="112" t="n">
        <v>125</v>
      </c>
      <c r="S4138" s="112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D4139" t="inlineStr"/>
      <c r="E4139" t="inlineStr">
        <is>
          <t>ER</t>
        </is>
      </c>
      <c r="F4139" t="inlineStr"/>
      <c r="G4139" t="inlineStr"/>
      <c r="H4139" s="125" t="n">
        <v>46152</v>
      </c>
      <c r="I4139" t="inlineStr"/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N4139" t="inlineStr"/>
      <c r="O4139" t="inlineStr">
        <is>
          <t>RMS2388</t>
        </is>
      </c>
      <c r="P4139" t="inlineStr"/>
      <c r="Q4139" s="112" t="n">
        <v>0</v>
      </c>
      <c r="R4139" s="112" t="n">
        <v>125</v>
      </c>
      <c r="S4139" s="112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D4140" t="inlineStr"/>
      <c r="E4140" t="inlineStr">
        <is>
          <t>ER</t>
        </is>
      </c>
      <c r="F4140" t="inlineStr"/>
      <c r="G4140" t="inlineStr"/>
      <c r="H4140" s="125" t="n">
        <v>46152</v>
      </c>
      <c r="I4140" t="inlineStr"/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N4140" t="inlineStr"/>
      <c r="O4140" t="inlineStr">
        <is>
          <t>RMS2388</t>
        </is>
      </c>
      <c r="P4140" t="inlineStr"/>
      <c r="Q4140" s="112" t="n">
        <v>0</v>
      </c>
      <c r="R4140" s="112" t="n">
        <v>125</v>
      </c>
      <c r="S4140" s="112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D4141" t="inlineStr"/>
      <c r="E4141" t="inlineStr">
        <is>
          <t>ER</t>
        </is>
      </c>
      <c r="F4141" t="inlineStr"/>
      <c r="G4141" t="inlineStr"/>
      <c r="H4141" s="125" t="n">
        <v>46152</v>
      </c>
      <c r="I4141" t="inlineStr"/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N4141" t="inlineStr"/>
      <c r="O4141" t="inlineStr">
        <is>
          <t>RMS2388</t>
        </is>
      </c>
      <c r="P4141" t="inlineStr"/>
      <c r="Q4141" s="112" t="n">
        <v>0</v>
      </c>
      <c r="R4141" s="112" t="n">
        <v>125</v>
      </c>
      <c r="S4141" s="112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D4142" t="inlineStr"/>
      <c r="E4142" t="inlineStr">
        <is>
          <t>ER</t>
        </is>
      </c>
      <c r="F4142" t="inlineStr"/>
      <c r="G4142" t="inlineStr"/>
      <c r="H4142" s="125" t="n">
        <v>46152</v>
      </c>
      <c r="I4142" t="inlineStr"/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N4142" t="inlineStr"/>
      <c r="O4142" t="inlineStr">
        <is>
          <t>RPK500</t>
        </is>
      </c>
      <c r="P4142" t="inlineStr"/>
      <c r="Q4142" s="112" t="n">
        <v>0</v>
      </c>
      <c r="R4142" s="112" t="n">
        <v>340</v>
      </c>
      <c r="S4142" s="112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D4143" t="inlineStr"/>
      <c r="E4143" t="inlineStr">
        <is>
          <t>ER</t>
        </is>
      </c>
      <c r="F4143" t="inlineStr"/>
      <c r="G4143" t="inlineStr"/>
      <c r="H4143" s="125" t="n">
        <v>46159</v>
      </c>
      <c r="I4143" t="inlineStr"/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N4143" t="inlineStr"/>
      <c r="O4143" t="inlineStr">
        <is>
          <t>RMS2388</t>
        </is>
      </c>
      <c r="P4143" t="inlineStr"/>
      <c r="Q4143" s="112" t="n">
        <v>0</v>
      </c>
      <c r="R4143" s="112" t="n">
        <v>125</v>
      </c>
      <c r="S4143" s="112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D4144" t="inlineStr"/>
      <c r="E4144" t="inlineStr">
        <is>
          <t>ER</t>
        </is>
      </c>
      <c r="F4144" t="inlineStr"/>
      <c r="G4144" t="inlineStr"/>
      <c r="H4144" s="125" t="n">
        <v>46159</v>
      </c>
      <c r="I4144" t="inlineStr"/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N4144" t="inlineStr"/>
      <c r="O4144" t="inlineStr">
        <is>
          <t>RMS2388</t>
        </is>
      </c>
      <c r="P4144" t="inlineStr"/>
      <c r="Q4144" s="112" t="n">
        <v>0</v>
      </c>
      <c r="R4144" s="112" t="n">
        <v>125</v>
      </c>
      <c r="S4144" s="112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D4145" t="inlineStr"/>
      <c r="E4145" t="inlineStr">
        <is>
          <t>ER</t>
        </is>
      </c>
      <c r="F4145" t="inlineStr"/>
      <c r="G4145" t="inlineStr"/>
      <c r="H4145" s="125" t="n">
        <v>46159</v>
      </c>
      <c r="I4145" t="inlineStr"/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N4145" t="inlineStr"/>
      <c r="O4145" t="inlineStr">
        <is>
          <t>RMS2388</t>
        </is>
      </c>
      <c r="P4145" t="inlineStr"/>
      <c r="Q4145" s="112" t="n">
        <v>0</v>
      </c>
      <c r="R4145" s="112" t="n">
        <v>125</v>
      </c>
      <c r="S4145" s="112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D4146" t="inlineStr"/>
      <c r="E4146" t="inlineStr">
        <is>
          <t>ER</t>
        </is>
      </c>
      <c r="F4146" t="inlineStr"/>
      <c r="G4146" t="inlineStr"/>
      <c r="H4146" s="125" t="n">
        <v>46159</v>
      </c>
      <c r="I4146" t="inlineStr"/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N4146" t="inlineStr"/>
      <c r="O4146" t="inlineStr">
        <is>
          <t>RMS2388</t>
        </is>
      </c>
      <c r="P4146" t="inlineStr"/>
      <c r="Q4146" s="112" t="n">
        <v>0</v>
      </c>
      <c r="R4146" s="112" t="n">
        <v>125</v>
      </c>
      <c r="S4146" s="112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D4147" t="inlineStr"/>
      <c r="E4147" t="inlineStr">
        <is>
          <t>ER</t>
        </is>
      </c>
      <c r="F4147" t="inlineStr"/>
      <c r="G4147" t="inlineStr"/>
      <c r="H4147" s="125" t="n">
        <v>46159</v>
      </c>
      <c r="I4147" t="inlineStr"/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N4147" t="inlineStr"/>
      <c r="O4147" t="inlineStr">
        <is>
          <t>RMS2388</t>
        </is>
      </c>
      <c r="P4147" t="inlineStr"/>
      <c r="Q4147" s="112" t="n">
        <v>0</v>
      </c>
      <c r="R4147" s="112" t="n">
        <v>125</v>
      </c>
      <c r="S4147" s="112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D4148" t="inlineStr"/>
      <c r="E4148" t="inlineStr">
        <is>
          <t>ER</t>
        </is>
      </c>
      <c r="F4148" t="inlineStr"/>
      <c r="G4148" t="inlineStr"/>
      <c r="H4148" s="125" t="n">
        <v>46159</v>
      </c>
      <c r="I4148" t="inlineStr"/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N4148" t="inlineStr"/>
      <c r="O4148" t="inlineStr">
        <is>
          <t>RPK500</t>
        </is>
      </c>
      <c r="P4148" t="inlineStr"/>
      <c r="Q4148" s="112" t="n">
        <v>0</v>
      </c>
      <c r="R4148" s="112" t="n">
        <v>340</v>
      </c>
      <c r="S4148" s="112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D4149" t="inlineStr"/>
      <c r="E4149" t="inlineStr">
        <is>
          <t>ER</t>
        </is>
      </c>
      <c r="F4149" t="inlineStr"/>
      <c r="G4149" t="inlineStr"/>
      <c r="H4149" s="125" t="n">
        <v>46166</v>
      </c>
      <c r="I4149" t="inlineStr"/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N4149" t="inlineStr"/>
      <c r="O4149" t="inlineStr">
        <is>
          <t>RMS2388</t>
        </is>
      </c>
      <c r="P4149" t="inlineStr"/>
      <c r="Q4149" s="112" t="n">
        <v>0</v>
      </c>
      <c r="R4149" s="112" t="n">
        <v>125</v>
      </c>
      <c r="S4149" s="112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D4150" t="inlineStr"/>
      <c r="E4150" t="inlineStr">
        <is>
          <t>ER</t>
        </is>
      </c>
      <c r="F4150" t="inlineStr"/>
      <c r="G4150" t="inlineStr"/>
      <c r="H4150" s="125" t="n">
        <v>46166</v>
      </c>
      <c r="I4150" t="inlineStr"/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N4150" t="inlineStr"/>
      <c r="O4150" t="inlineStr">
        <is>
          <t>RMS2388</t>
        </is>
      </c>
      <c r="P4150" t="inlineStr"/>
      <c r="Q4150" s="112" t="n">
        <v>0</v>
      </c>
      <c r="R4150" s="112" t="n">
        <v>125</v>
      </c>
      <c r="S4150" s="112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D4151" t="inlineStr"/>
      <c r="E4151" t="inlineStr">
        <is>
          <t>LA</t>
        </is>
      </c>
      <c r="F4151" t="inlineStr"/>
      <c r="G4151" t="inlineStr"/>
      <c r="H4151" s="125" t="n">
        <v>46121</v>
      </c>
      <c r="I4151" t="inlineStr"/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N4151" t="inlineStr"/>
      <c r="O4151" t="inlineStr"/>
      <c r="P4151" t="inlineStr"/>
      <c r="Q4151" s="112" t="n">
        <v>0</v>
      </c>
      <c r="R4151" s="112" t="n">
        <v>410.68</v>
      </c>
      <c r="S4151" s="112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D4152" t="inlineStr"/>
      <c r="E4152" t="inlineStr">
        <is>
          <t>LA</t>
        </is>
      </c>
      <c r="F4152" t="inlineStr"/>
      <c r="G4152" t="inlineStr"/>
      <c r="H4152" s="125" t="n">
        <v>46128</v>
      </c>
      <c r="I4152" t="inlineStr"/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N4152" t="inlineStr"/>
      <c r="O4152" t="inlineStr"/>
      <c r="P4152" t="inlineStr"/>
      <c r="Q4152" s="112" t="n">
        <v>0</v>
      </c>
      <c r="R4152" s="112" t="n">
        <v>433.27</v>
      </c>
      <c r="S4152" s="112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D4153" t="inlineStr"/>
      <c r="E4153" t="inlineStr">
        <is>
          <t>LA</t>
        </is>
      </c>
      <c r="F4153" t="inlineStr"/>
      <c r="G4153" t="inlineStr"/>
      <c r="H4153" s="125" t="n">
        <v>46128</v>
      </c>
      <c r="I4153" t="inlineStr"/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N4153" t="inlineStr"/>
      <c r="O4153" t="inlineStr"/>
      <c r="P4153" t="inlineStr"/>
      <c r="Q4153" s="112" t="n">
        <v>0</v>
      </c>
      <c r="R4153" s="112" t="n">
        <v>647.3</v>
      </c>
      <c r="S4153" s="112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D4154" t="inlineStr"/>
      <c r="E4154" t="inlineStr">
        <is>
          <t>LA</t>
        </is>
      </c>
      <c r="F4154" t="inlineStr"/>
      <c r="G4154" t="inlineStr"/>
      <c r="H4154" s="125" t="n">
        <v>46128</v>
      </c>
      <c r="I4154" t="inlineStr"/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N4154" t="inlineStr"/>
      <c r="O4154" t="inlineStr"/>
      <c r="P4154" t="inlineStr"/>
      <c r="Q4154" s="112" t="n">
        <v>0</v>
      </c>
      <c r="R4154" s="112" t="n">
        <v>434.83</v>
      </c>
      <c r="S4154" s="112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D4155" t="inlineStr"/>
      <c r="E4155" t="inlineStr">
        <is>
          <t>LA</t>
        </is>
      </c>
      <c r="F4155" t="inlineStr"/>
      <c r="G4155" t="inlineStr"/>
      <c r="H4155" s="125" t="n">
        <v>46135</v>
      </c>
      <c r="I4155" t="inlineStr"/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N4155" t="inlineStr"/>
      <c r="O4155" t="inlineStr"/>
      <c r="P4155" t="inlineStr"/>
      <c r="Q4155" s="112" t="n">
        <v>0</v>
      </c>
      <c r="R4155" s="112" t="n">
        <v>680.6</v>
      </c>
      <c r="S4155" s="112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D4156" t="inlineStr"/>
      <c r="E4156" t="inlineStr">
        <is>
          <t>LA</t>
        </is>
      </c>
      <c r="F4156" t="inlineStr"/>
      <c r="G4156" t="inlineStr"/>
      <c r="H4156" s="125" t="n">
        <v>46150</v>
      </c>
      <c r="I4156" t="inlineStr"/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N4156" t="inlineStr"/>
      <c r="O4156" t="inlineStr"/>
      <c r="P4156" t="inlineStr"/>
      <c r="Q4156" s="112" t="n">
        <v>0</v>
      </c>
      <c r="R4156" s="112" t="n">
        <v>-647.3</v>
      </c>
      <c r="S4156" s="112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D4157" t="inlineStr"/>
      <c r="E4157" t="inlineStr">
        <is>
          <t>LA</t>
        </is>
      </c>
      <c r="F4157" t="inlineStr"/>
      <c r="G4157" t="inlineStr"/>
      <c r="H4157" s="125" t="n">
        <v>46149</v>
      </c>
      <c r="I4157" t="inlineStr"/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N4157" t="inlineStr"/>
      <c r="O4157" t="inlineStr"/>
      <c r="P4157" t="inlineStr"/>
      <c r="Q4157" s="112" t="n">
        <v>0</v>
      </c>
      <c r="R4157" s="112" t="n">
        <v>391.13</v>
      </c>
      <c r="S4157" s="112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D4158" t="inlineStr"/>
      <c r="E4158" t="inlineStr">
        <is>
          <t>LA</t>
        </is>
      </c>
      <c r="F4158" t="inlineStr"/>
      <c r="G4158" t="inlineStr"/>
      <c r="H4158" s="125" t="n">
        <v>46149</v>
      </c>
      <c r="I4158" t="inlineStr"/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N4158" t="inlineStr"/>
      <c r="O4158" t="inlineStr"/>
      <c r="P4158" t="inlineStr"/>
      <c r="Q4158" s="112" t="n">
        <v>0</v>
      </c>
      <c r="R4158" s="112" t="n">
        <v>391.13</v>
      </c>
      <c r="S4158" s="112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D4159" t="inlineStr"/>
      <c r="E4159" t="inlineStr">
        <is>
          <t>LA</t>
        </is>
      </c>
      <c r="F4159" t="inlineStr"/>
      <c r="G4159" t="inlineStr"/>
      <c r="H4159" s="125" t="n">
        <v>46149</v>
      </c>
      <c r="I4159" t="inlineStr"/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N4159" t="inlineStr"/>
      <c r="O4159" t="inlineStr"/>
      <c r="P4159" t="inlineStr"/>
      <c r="Q4159" s="112" t="n">
        <v>0</v>
      </c>
      <c r="R4159" s="112" t="n">
        <v>709.24</v>
      </c>
      <c r="S4159" s="112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D4160" t="inlineStr"/>
      <c r="E4160" t="inlineStr">
        <is>
          <t>LA</t>
        </is>
      </c>
      <c r="F4160" t="inlineStr"/>
      <c r="G4160" t="inlineStr"/>
      <c r="H4160" s="125" t="n">
        <v>46149</v>
      </c>
      <c r="I4160" t="inlineStr"/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N4160" t="inlineStr"/>
      <c r="O4160" t="inlineStr"/>
      <c r="P4160" t="inlineStr"/>
      <c r="Q4160" s="112" t="n">
        <v>0</v>
      </c>
      <c r="R4160" s="112" t="n">
        <v>707.85</v>
      </c>
      <c r="S4160" s="112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D4161" t="inlineStr"/>
      <c r="E4161" t="inlineStr">
        <is>
          <t>LA</t>
        </is>
      </c>
      <c r="F4161" t="inlineStr"/>
      <c r="G4161" t="inlineStr"/>
      <c r="H4161" s="125" t="n">
        <v>46156</v>
      </c>
      <c r="I4161" t="inlineStr"/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N4161" t="inlineStr"/>
      <c r="O4161" t="inlineStr"/>
      <c r="P4161" t="inlineStr"/>
      <c r="Q4161" s="112" t="n">
        <v>0</v>
      </c>
      <c r="R4161" s="112" t="n">
        <v>581.08</v>
      </c>
      <c r="S4161" s="112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D4162" t="inlineStr"/>
      <c r="E4162" t="inlineStr">
        <is>
          <t>LA</t>
        </is>
      </c>
      <c r="F4162" t="inlineStr"/>
      <c r="G4162" t="inlineStr"/>
      <c r="H4162" s="125" t="n">
        <v>46156</v>
      </c>
      <c r="I4162" t="inlineStr"/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N4162" t="inlineStr"/>
      <c r="O4162" t="inlineStr"/>
      <c r="P4162" t="inlineStr"/>
      <c r="Q4162" s="112" t="n">
        <v>0</v>
      </c>
      <c r="R4162" s="112" t="n">
        <v>581.0700000000001</v>
      </c>
      <c r="S4162" s="112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D4163" t="inlineStr"/>
      <c r="E4163" t="inlineStr">
        <is>
          <t>LA</t>
        </is>
      </c>
      <c r="F4163" t="inlineStr"/>
      <c r="G4163" t="inlineStr"/>
      <c r="H4163" s="125" t="n">
        <v>46156</v>
      </c>
      <c r="I4163" t="inlineStr"/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N4163" t="inlineStr"/>
      <c r="O4163" t="inlineStr"/>
      <c r="P4163" t="inlineStr"/>
      <c r="Q4163" s="112" t="n">
        <v>0</v>
      </c>
      <c r="R4163" s="112" t="n">
        <v>391.13</v>
      </c>
      <c r="S4163" s="112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D4164" t="inlineStr"/>
      <c r="E4164" t="inlineStr">
        <is>
          <t>LA</t>
        </is>
      </c>
      <c r="F4164" t="inlineStr"/>
      <c r="G4164" t="inlineStr"/>
      <c r="H4164" s="125" t="n">
        <v>46156</v>
      </c>
      <c r="I4164" t="inlineStr"/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N4164" t="inlineStr"/>
      <c r="O4164" t="inlineStr"/>
      <c r="P4164" t="inlineStr"/>
      <c r="Q4164" s="112" t="n">
        <v>0</v>
      </c>
      <c r="R4164" s="112" t="n">
        <v>391.13</v>
      </c>
      <c r="S4164" s="112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D4165" t="inlineStr"/>
      <c r="E4165" t="inlineStr">
        <is>
          <t>LA</t>
        </is>
      </c>
      <c r="F4165" t="inlineStr"/>
      <c r="G4165" t="inlineStr"/>
      <c r="H4165" s="125" t="n">
        <v>46156</v>
      </c>
      <c r="I4165" t="inlineStr"/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N4165" t="inlineStr"/>
      <c r="O4165" t="inlineStr"/>
      <c r="P4165" t="inlineStr"/>
      <c r="Q4165" s="112" t="n">
        <v>0</v>
      </c>
      <c r="R4165" s="112" t="n">
        <v>391.13</v>
      </c>
      <c r="S4165" s="112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D4166" t="inlineStr"/>
      <c r="E4166" t="inlineStr">
        <is>
          <t>LA</t>
        </is>
      </c>
      <c r="F4166" t="inlineStr"/>
      <c r="G4166" t="inlineStr"/>
      <c r="H4166" s="125" t="n">
        <v>46156</v>
      </c>
      <c r="I4166" t="inlineStr"/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N4166" t="inlineStr"/>
      <c r="O4166" t="inlineStr"/>
      <c r="P4166" t="inlineStr"/>
      <c r="Q4166" s="112" t="n">
        <v>0</v>
      </c>
      <c r="R4166" s="112" t="n">
        <v>492.76</v>
      </c>
      <c r="S4166" s="112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D4167" t="inlineStr"/>
      <c r="E4167" t="inlineStr">
        <is>
          <t>LA</t>
        </is>
      </c>
      <c r="F4167" t="inlineStr"/>
      <c r="G4167" t="inlineStr"/>
      <c r="H4167" s="125" t="n">
        <v>46163</v>
      </c>
      <c r="I4167" t="inlineStr"/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N4167" t="inlineStr"/>
      <c r="O4167" t="inlineStr"/>
      <c r="P4167" t="inlineStr"/>
      <c r="Q4167" s="112" t="n">
        <v>0</v>
      </c>
      <c r="R4167" s="112" t="n">
        <v>1175.14</v>
      </c>
      <c r="S4167" s="112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D4168" t="inlineStr"/>
      <c r="E4168" t="inlineStr">
        <is>
          <t>LA</t>
        </is>
      </c>
      <c r="F4168" t="inlineStr"/>
      <c r="G4168" t="inlineStr"/>
      <c r="H4168" s="125" t="n">
        <v>46163</v>
      </c>
      <c r="I4168" t="inlineStr"/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N4168" t="inlineStr"/>
      <c r="O4168" t="inlineStr"/>
      <c r="P4168" t="inlineStr"/>
      <c r="Q4168" s="112" t="n">
        <v>0</v>
      </c>
      <c r="R4168" s="112" t="n">
        <v>2862.96</v>
      </c>
      <c r="S4168" s="112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D4169" t="inlineStr"/>
      <c r="E4169" t="inlineStr">
        <is>
          <t>ER</t>
        </is>
      </c>
      <c r="F4169" t="inlineStr"/>
      <c r="G4169" t="inlineStr"/>
      <c r="H4169" s="125" t="n">
        <v>46142</v>
      </c>
      <c r="I4169" t="inlineStr"/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N4169" t="inlineStr"/>
      <c r="O4169" t="inlineStr">
        <is>
          <t>RPK482</t>
        </is>
      </c>
      <c r="P4169" t="inlineStr"/>
      <c r="Q4169" s="112" t="n">
        <v>0</v>
      </c>
      <c r="R4169" s="112" t="n">
        <v>300</v>
      </c>
      <c r="S4169" s="112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D4170" t="inlineStr"/>
      <c r="E4170" t="inlineStr">
        <is>
          <t>ER</t>
        </is>
      </c>
      <c r="F4170" t="inlineStr"/>
      <c r="G4170" t="inlineStr"/>
      <c r="H4170" s="125" t="n">
        <v>46142</v>
      </c>
      <c r="I4170" t="inlineStr"/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N4170" t="inlineStr"/>
      <c r="O4170" t="inlineStr">
        <is>
          <t>RPK482</t>
        </is>
      </c>
      <c r="P4170" t="inlineStr"/>
      <c r="Q4170" s="112" t="n">
        <v>0</v>
      </c>
      <c r="R4170" s="112" t="n">
        <v>300</v>
      </c>
      <c r="S4170" s="112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D4171" t="inlineStr"/>
      <c r="E4171" t="inlineStr">
        <is>
          <t>ER</t>
        </is>
      </c>
      <c r="F4171" t="inlineStr"/>
      <c r="G4171" t="inlineStr"/>
      <c r="H4171" s="125" t="n">
        <v>46142</v>
      </c>
      <c r="I4171" t="inlineStr"/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N4171" t="inlineStr"/>
      <c r="O4171" t="inlineStr">
        <is>
          <t>RPK482</t>
        </is>
      </c>
      <c r="P4171" t="inlineStr"/>
      <c r="Q4171" s="112" t="n">
        <v>0</v>
      </c>
      <c r="R4171" s="112" t="n">
        <v>300</v>
      </c>
      <c r="S4171" s="112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D4172" t="inlineStr"/>
      <c r="E4172" t="inlineStr">
        <is>
          <t>ER</t>
        </is>
      </c>
      <c r="F4172" t="inlineStr"/>
      <c r="G4172" t="inlineStr"/>
      <c r="H4172" s="125" t="n">
        <v>46142</v>
      </c>
      <c r="I4172" t="inlineStr"/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N4172" t="inlineStr"/>
      <c r="O4172" t="inlineStr">
        <is>
          <t>RMS2317</t>
        </is>
      </c>
      <c r="P4172" t="inlineStr"/>
      <c r="Q4172" s="112" t="n">
        <v>0</v>
      </c>
      <c r="R4172" s="112" t="n">
        <v>287.36</v>
      </c>
      <c r="S4172" s="112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D4173" t="inlineStr"/>
      <c r="E4173" t="inlineStr">
        <is>
          <t>ER</t>
        </is>
      </c>
      <c r="F4173" t="inlineStr"/>
      <c r="G4173" t="inlineStr"/>
      <c r="H4173" s="125" t="n">
        <v>46142</v>
      </c>
      <c r="I4173" t="inlineStr"/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N4173" t="inlineStr"/>
      <c r="O4173" t="inlineStr">
        <is>
          <t>RMS2317</t>
        </is>
      </c>
      <c r="P4173" t="inlineStr"/>
      <c r="Q4173" s="112" t="n">
        <v>0</v>
      </c>
      <c r="R4173" s="112" t="n">
        <v>287.36</v>
      </c>
      <c r="S4173" s="112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D4174" t="inlineStr"/>
      <c r="E4174" t="inlineStr">
        <is>
          <t>ER</t>
        </is>
      </c>
      <c r="F4174" t="inlineStr"/>
      <c r="G4174" t="inlineStr"/>
      <c r="H4174" s="125" t="n">
        <v>46142</v>
      </c>
      <c r="I4174" t="inlineStr"/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N4174" t="inlineStr"/>
      <c r="O4174" t="inlineStr">
        <is>
          <t>RMS2317</t>
        </is>
      </c>
      <c r="P4174" t="inlineStr"/>
      <c r="Q4174" s="112" t="n">
        <v>0</v>
      </c>
      <c r="R4174" s="112" t="n">
        <v>287.36</v>
      </c>
      <c r="S4174" s="112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D4175" t="inlineStr"/>
      <c r="E4175" t="inlineStr">
        <is>
          <t>ER</t>
        </is>
      </c>
      <c r="F4175" t="inlineStr"/>
      <c r="G4175" t="inlineStr"/>
      <c r="H4175" s="125" t="n">
        <v>46142</v>
      </c>
      <c r="I4175" t="inlineStr"/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N4175" t="inlineStr"/>
      <c r="O4175" t="inlineStr">
        <is>
          <t>RPK482</t>
        </is>
      </c>
      <c r="P4175" t="inlineStr"/>
      <c r="Q4175" s="112" t="n">
        <v>0</v>
      </c>
      <c r="R4175" s="112" t="n">
        <v>300</v>
      </c>
      <c r="S4175" s="112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D4176" t="inlineStr"/>
      <c r="E4176" t="inlineStr">
        <is>
          <t>ER</t>
        </is>
      </c>
      <c r="F4176" t="inlineStr"/>
      <c r="G4176" t="inlineStr"/>
      <c r="H4176" s="125" t="n">
        <v>46152</v>
      </c>
      <c r="I4176" t="inlineStr"/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N4176" t="inlineStr"/>
      <c r="O4176" t="inlineStr">
        <is>
          <t>RHV96</t>
        </is>
      </c>
      <c r="P4176" t="inlineStr"/>
      <c r="Q4176" s="112" t="n">
        <v>0</v>
      </c>
      <c r="R4176" s="112" t="n">
        <v>200</v>
      </c>
      <c r="S4176" s="112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D4177" t="inlineStr"/>
      <c r="E4177" t="inlineStr">
        <is>
          <t>ER</t>
        </is>
      </c>
      <c r="F4177" t="inlineStr"/>
      <c r="G4177" t="inlineStr"/>
      <c r="H4177" s="125" t="n">
        <v>46142</v>
      </c>
      <c r="I4177" t="inlineStr"/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N4177" t="inlineStr"/>
      <c r="O4177" t="inlineStr">
        <is>
          <t>RHV96</t>
        </is>
      </c>
      <c r="P4177" t="inlineStr"/>
      <c r="Q4177" s="112" t="n">
        <v>0</v>
      </c>
      <c r="R4177" s="112" t="n">
        <v>200</v>
      </c>
      <c r="S4177" s="112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D4178" t="inlineStr"/>
      <c r="E4178" t="inlineStr">
        <is>
          <t>ER</t>
        </is>
      </c>
      <c r="F4178" t="inlineStr"/>
      <c r="G4178" t="inlineStr"/>
      <c r="H4178" s="125" t="n">
        <v>46142</v>
      </c>
      <c r="I4178" t="inlineStr"/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N4178" t="inlineStr"/>
      <c r="O4178" t="inlineStr">
        <is>
          <t>RHV96</t>
        </is>
      </c>
      <c r="P4178" t="inlineStr"/>
      <c r="Q4178" s="112" t="n">
        <v>0</v>
      </c>
      <c r="R4178" s="112" t="n">
        <v>200</v>
      </c>
      <c r="S4178" s="112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D4179" t="inlineStr"/>
      <c r="E4179" t="inlineStr">
        <is>
          <t>ER</t>
        </is>
      </c>
      <c r="F4179" t="inlineStr"/>
      <c r="G4179" t="inlineStr"/>
      <c r="H4179" s="125" t="n">
        <v>46142</v>
      </c>
      <c r="I4179" t="inlineStr"/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N4179" t="inlineStr"/>
      <c r="O4179" t="inlineStr">
        <is>
          <t>RHV96</t>
        </is>
      </c>
      <c r="P4179" t="inlineStr"/>
      <c r="Q4179" s="112" t="n">
        <v>0</v>
      </c>
      <c r="R4179" s="112" t="n">
        <v>200</v>
      </c>
      <c r="S4179" s="112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D4180" t="inlineStr"/>
      <c r="E4180" t="inlineStr">
        <is>
          <t>ER</t>
        </is>
      </c>
      <c r="F4180" t="inlineStr"/>
      <c r="G4180" t="inlineStr"/>
      <c r="H4180" s="125" t="n">
        <v>46142</v>
      </c>
      <c r="I4180" t="inlineStr"/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N4180" t="inlineStr"/>
      <c r="O4180" t="inlineStr">
        <is>
          <t>RHV96</t>
        </is>
      </c>
      <c r="P4180" t="inlineStr"/>
      <c r="Q4180" s="112" t="n">
        <v>0</v>
      </c>
      <c r="R4180" s="112" t="n">
        <v>200</v>
      </c>
      <c r="S4180" s="112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D4181" t="inlineStr"/>
      <c r="E4181" t="inlineStr">
        <is>
          <t>ER</t>
        </is>
      </c>
      <c r="F4181" t="inlineStr"/>
      <c r="G4181" t="inlineStr"/>
      <c r="H4181" s="125" t="n">
        <v>46142</v>
      </c>
      <c r="I4181" t="inlineStr"/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N4181" t="inlineStr"/>
      <c r="O4181" t="inlineStr">
        <is>
          <t>RDZ318</t>
        </is>
      </c>
      <c r="P4181" t="inlineStr"/>
      <c r="Q4181" s="112" t="n">
        <v>0</v>
      </c>
      <c r="R4181" s="112" t="n">
        <v>778.74</v>
      </c>
      <c r="S4181" s="112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D4182" t="inlineStr"/>
      <c r="E4182" t="inlineStr">
        <is>
          <t>ER</t>
        </is>
      </c>
      <c r="F4182" t="inlineStr"/>
      <c r="G4182" t="inlineStr"/>
      <c r="H4182" s="125" t="n">
        <v>46142</v>
      </c>
      <c r="I4182" t="inlineStr"/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N4182" t="inlineStr"/>
      <c r="O4182" t="inlineStr">
        <is>
          <t>RDZ318</t>
        </is>
      </c>
      <c r="P4182" t="inlineStr"/>
      <c r="Q4182" s="112" t="n">
        <v>0</v>
      </c>
      <c r="R4182" s="112" t="n">
        <v>778.74</v>
      </c>
      <c r="S4182" s="112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D4183" t="inlineStr"/>
      <c r="E4183" t="inlineStr">
        <is>
          <t>ER</t>
        </is>
      </c>
      <c r="F4183" t="inlineStr"/>
      <c r="G4183" t="inlineStr"/>
      <c r="H4183" s="125" t="n">
        <v>46142</v>
      </c>
      <c r="I4183" t="inlineStr"/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N4183" t="inlineStr"/>
      <c r="O4183" t="inlineStr">
        <is>
          <t>RDZ318</t>
        </is>
      </c>
      <c r="P4183" t="inlineStr"/>
      <c r="Q4183" s="112" t="n">
        <v>0</v>
      </c>
      <c r="R4183" s="112" t="n">
        <v>778.74</v>
      </c>
      <c r="S4183" s="112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D4184" t="inlineStr"/>
      <c r="E4184" t="inlineStr">
        <is>
          <t>ER</t>
        </is>
      </c>
      <c r="F4184" t="inlineStr"/>
      <c r="G4184" t="inlineStr"/>
      <c r="H4184" s="125" t="n">
        <v>46142</v>
      </c>
      <c r="I4184" t="inlineStr"/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N4184" t="inlineStr"/>
      <c r="O4184" t="inlineStr">
        <is>
          <t>RDZ318</t>
        </is>
      </c>
      <c r="P4184" t="inlineStr"/>
      <c r="Q4184" s="112" t="n">
        <v>0</v>
      </c>
      <c r="R4184" s="112" t="n">
        <v>778.74</v>
      </c>
      <c r="S4184" s="112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D4185" t="inlineStr"/>
      <c r="E4185" t="inlineStr">
        <is>
          <t>ER</t>
        </is>
      </c>
      <c r="F4185" t="inlineStr"/>
      <c r="G4185" t="inlineStr"/>
      <c r="H4185" s="125" t="n">
        <v>46142</v>
      </c>
      <c r="I4185" t="inlineStr"/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N4185" t="inlineStr"/>
      <c r="O4185" t="inlineStr">
        <is>
          <t>RMS2317</t>
        </is>
      </c>
      <c r="P4185" t="inlineStr"/>
      <c r="Q4185" s="112" t="n">
        <v>0</v>
      </c>
      <c r="R4185" s="112" t="n">
        <v>287.36</v>
      </c>
      <c r="S4185" s="112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D4186" t="inlineStr"/>
      <c r="E4186" t="inlineStr">
        <is>
          <t>LA</t>
        </is>
      </c>
      <c r="F4186" t="inlineStr"/>
      <c r="G4186" t="inlineStr"/>
      <c r="H4186" s="125" t="n">
        <v>46135</v>
      </c>
      <c r="I4186" t="inlineStr"/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N4186" t="inlineStr"/>
      <c r="O4186" t="inlineStr"/>
      <c r="P4186" t="inlineStr"/>
      <c r="Q4186" s="112" t="n">
        <v>0</v>
      </c>
      <c r="R4186" s="112" t="n">
        <v>1159.5</v>
      </c>
      <c r="S4186" s="112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D4187" t="inlineStr"/>
      <c r="E4187" t="inlineStr">
        <is>
          <t>LA</t>
        </is>
      </c>
      <c r="F4187" t="inlineStr"/>
      <c r="G4187" t="inlineStr"/>
      <c r="H4187" s="125" t="n">
        <v>46135</v>
      </c>
      <c r="I4187" t="inlineStr"/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N4187" t="inlineStr"/>
      <c r="O4187" t="inlineStr"/>
      <c r="P4187" t="inlineStr"/>
      <c r="Q4187" s="112" t="n">
        <v>0</v>
      </c>
      <c r="R4187" s="112" t="n">
        <v>1159.51</v>
      </c>
      <c r="S4187" s="112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D4188" t="inlineStr"/>
      <c r="E4188" t="inlineStr">
        <is>
          <t>LA</t>
        </is>
      </c>
      <c r="F4188" t="inlineStr"/>
      <c r="G4188" t="inlineStr"/>
      <c r="H4188" s="125" t="n">
        <v>46142</v>
      </c>
      <c r="I4188" t="inlineStr"/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N4188" t="inlineStr"/>
      <c r="O4188" t="inlineStr"/>
      <c r="P4188" t="inlineStr"/>
      <c r="Q4188" s="112" t="n">
        <v>0</v>
      </c>
      <c r="R4188" s="112" t="n">
        <v>993.54</v>
      </c>
      <c r="S4188" s="112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D4189" t="inlineStr"/>
      <c r="E4189" t="inlineStr">
        <is>
          <t>LA</t>
        </is>
      </c>
      <c r="F4189" t="inlineStr"/>
      <c r="G4189" t="inlineStr"/>
      <c r="H4189" s="125" t="n">
        <v>46142</v>
      </c>
      <c r="I4189" t="inlineStr"/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N4189" t="inlineStr"/>
      <c r="O4189" t="inlineStr"/>
      <c r="P4189" t="inlineStr"/>
      <c r="Q4189" s="112" t="n">
        <v>0</v>
      </c>
      <c r="R4189" s="112" t="n">
        <v>1414.61</v>
      </c>
      <c r="S4189" s="112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D4190" t="inlineStr"/>
      <c r="E4190" t="inlineStr">
        <is>
          <t>LA</t>
        </is>
      </c>
      <c r="F4190" t="inlineStr"/>
      <c r="G4190" t="inlineStr"/>
      <c r="H4190" s="125" t="n">
        <v>46142</v>
      </c>
      <c r="I4190" t="inlineStr"/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N4190" t="inlineStr"/>
      <c r="O4190" t="inlineStr"/>
      <c r="P4190" t="inlineStr"/>
      <c r="Q4190" s="112" t="n">
        <v>0</v>
      </c>
      <c r="R4190" s="112" t="n">
        <v>1414.61</v>
      </c>
      <c r="S4190" s="112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D4191" t="inlineStr"/>
      <c r="E4191" t="inlineStr">
        <is>
          <t>LA</t>
        </is>
      </c>
      <c r="F4191" t="inlineStr"/>
      <c r="G4191" t="inlineStr"/>
      <c r="H4191" s="125" t="n">
        <v>46142</v>
      </c>
      <c r="I4191" t="inlineStr"/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N4191" t="inlineStr"/>
      <c r="O4191" t="inlineStr"/>
      <c r="P4191" t="inlineStr"/>
      <c r="Q4191" s="112" t="n">
        <v>0</v>
      </c>
      <c r="R4191" s="112" t="n">
        <v>993.54</v>
      </c>
      <c r="S4191" s="112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25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12" t="n">
        <v>0</v>
      </c>
      <c r="R4192" s="112" t="n">
        <v>0</v>
      </c>
      <c r="S4192" s="112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25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12" t="n">
        <v>0</v>
      </c>
      <c r="R4193" s="112" t="n">
        <v>0</v>
      </c>
      <c r="S4193" s="112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25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12" t="n">
        <v>0</v>
      </c>
      <c r="R4194" s="112" t="n">
        <v>0</v>
      </c>
      <c r="S4194" s="112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25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12" t="n">
        <v>1057.94</v>
      </c>
      <c r="R4195" s="112" t="n">
        <v>0</v>
      </c>
      <c r="S4195" s="112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D4196" t="inlineStr"/>
      <c r="E4196" t="inlineStr">
        <is>
          <t>MA</t>
        </is>
      </c>
      <c r="F4196" t="inlineStr"/>
      <c r="G4196" t="inlineStr"/>
      <c r="H4196" s="125" t="n">
        <v>46162</v>
      </c>
      <c r="I4196" t="inlineStr"/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N4196" t="inlineStr"/>
      <c r="O4196" t="inlineStr">
        <is>
          <t>21358</t>
        </is>
      </c>
      <c r="P4196" t="inlineStr">
        <is>
          <t>TEXAS GULF COAST AGGREGATES, LLC</t>
        </is>
      </c>
      <c r="Q4196" s="112" t="n">
        <v>0</v>
      </c>
      <c r="R4196" s="112" t="n">
        <v>156147.77</v>
      </c>
      <c r="S4196" s="112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25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12" t="n">
        <v>832.5</v>
      </c>
      <c r="R4197" s="112" t="n">
        <v>0</v>
      </c>
      <c r="S4197" s="112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D4198" t="inlineStr"/>
      <c r="E4198" t="inlineStr">
        <is>
          <t>EQ</t>
        </is>
      </c>
      <c r="F4198" t="inlineStr"/>
      <c r="G4198" t="inlineStr"/>
      <c r="H4198" s="125" t="n">
        <v>46103</v>
      </c>
      <c r="I4198" t="inlineStr"/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N4198" t="inlineStr"/>
      <c r="O4198" t="inlineStr">
        <is>
          <t>RT1423</t>
        </is>
      </c>
      <c r="P4198" t="inlineStr"/>
      <c r="Q4198" s="112" t="n">
        <v>0</v>
      </c>
      <c r="R4198" s="112" t="n">
        <v>79.14</v>
      </c>
      <c r="S4198" s="112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D4199" t="inlineStr"/>
      <c r="E4199" t="inlineStr">
        <is>
          <t>EQ</t>
        </is>
      </c>
      <c r="F4199" t="inlineStr"/>
      <c r="G4199" t="inlineStr"/>
      <c r="H4199" s="125" t="n">
        <v>46110</v>
      </c>
      <c r="I4199" t="inlineStr"/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N4199" t="inlineStr"/>
      <c r="O4199" t="inlineStr">
        <is>
          <t>RT1423</t>
        </is>
      </c>
      <c r="P4199" t="inlineStr"/>
      <c r="Q4199" s="112" t="n">
        <v>0</v>
      </c>
      <c r="R4199" s="112" t="n">
        <v>79.14</v>
      </c>
      <c r="S4199" s="112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D4200" t="inlineStr"/>
      <c r="E4200" t="inlineStr">
        <is>
          <t>EQ</t>
        </is>
      </c>
      <c r="F4200" t="inlineStr"/>
      <c r="G4200" t="inlineStr"/>
      <c r="H4200" s="125" t="n">
        <v>46110</v>
      </c>
      <c r="I4200" t="inlineStr"/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N4200" t="inlineStr"/>
      <c r="O4200" t="inlineStr">
        <is>
          <t>RT1423</t>
        </is>
      </c>
      <c r="P4200" t="inlineStr"/>
      <c r="Q4200" s="112" t="n">
        <v>0</v>
      </c>
      <c r="R4200" s="112" t="n">
        <v>79.14</v>
      </c>
      <c r="S4200" s="112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D4201" t="inlineStr"/>
      <c r="E4201" t="inlineStr">
        <is>
          <t>EQ</t>
        </is>
      </c>
      <c r="F4201" t="inlineStr"/>
      <c r="G4201" t="inlineStr"/>
      <c r="H4201" s="125" t="n">
        <v>46110</v>
      </c>
      <c r="I4201" t="inlineStr"/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N4201" t="inlineStr"/>
      <c r="O4201" t="inlineStr">
        <is>
          <t>RT1423</t>
        </is>
      </c>
      <c r="P4201" t="inlineStr"/>
      <c r="Q4201" s="112" t="n">
        <v>0</v>
      </c>
      <c r="R4201" s="112" t="n">
        <v>79.14</v>
      </c>
      <c r="S4201" s="112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D4202" t="inlineStr"/>
      <c r="E4202" t="inlineStr">
        <is>
          <t>EQ</t>
        </is>
      </c>
      <c r="F4202" t="inlineStr"/>
      <c r="G4202" t="inlineStr"/>
      <c r="H4202" s="125" t="n">
        <v>46110</v>
      </c>
      <c r="I4202" t="inlineStr"/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N4202" t="inlineStr"/>
      <c r="O4202" t="inlineStr">
        <is>
          <t>RT1423</t>
        </is>
      </c>
      <c r="P4202" t="inlineStr"/>
      <c r="Q4202" s="112" t="n">
        <v>0</v>
      </c>
      <c r="R4202" s="112" t="n">
        <v>79.14</v>
      </c>
      <c r="S4202" s="112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D4203" t="inlineStr"/>
      <c r="E4203" t="inlineStr">
        <is>
          <t>EQ</t>
        </is>
      </c>
      <c r="F4203" t="inlineStr"/>
      <c r="G4203" t="inlineStr"/>
      <c r="H4203" s="125" t="n">
        <v>46110</v>
      </c>
      <c r="I4203" t="inlineStr"/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N4203" t="inlineStr"/>
      <c r="O4203" t="inlineStr">
        <is>
          <t>RT1423</t>
        </is>
      </c>
      <c r="P4203" t="inlineStr"/>
      <c r="Q4203" s="112" t="n">
        <v>0</v>
      </c>
      <c r="R4203" s="112" t="n">
        <v>79.14</v>
      </c>
      <c r="S4203" s="112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D4204" t="inlineStr"/>
      <c r="E4204" t="inlineStr">
        <is>
          <t>EQ</t>
        </is>
      </c>
      <c r="F4204" t="inlineStr"/>
      <c r="G4204" t="inlineStr"/>
      <c r="H4204" s="125" t="n">
        <v>46112</v>
      </c>
      <c r="I4204" t="inlineStr"/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N4204" t="inlineStr"/>
      <c r="O4204" t="inlineStr">
        <is>
          <t>RT1423</t>
        </is>
      </c>
      <c r="P4204" t="inlineStr"/>
      <c r="Q4204" s="112" t="n">
        <v>0</v>
      </c>
      <c r="R4204" s="112" t="n">
        <v>79.14</v>
      </c>
      <c r="S4204" s="112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D4205" t="inlineStr"/>
      <c r="E4205" t="inlineStr">
        <is>
          <t>EQ</t>
        </is>
      </c>
      <c r="F4205" t="inlineStr"/>
      <c r="G4205" t="inlineStr"/>
      <c r="H4205" s="125" t="n">
        <v>46103</v>
      </c>
      <c r="I4205" t="inlineStr"/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N4205" t="inlineStr"/>
      <c r="O4205" t="inlineStr">
        <is>
          <t>RT1423</t>
        </is>
      </c>
      <c r="P4205" t="inlineStr"/>
      <c r="Q4205" s="112" t="n">
        <v>0</v>
      </c>
      <c r="R4205" s="112" t="n">
        <v>79.14</v>
      </c>
      <c r="S4205" s="112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D4206" t="inlineStr"/>
      <c r="E4206" t="inlineStr">
        <is>
          <t>EQ</t>
        </is>
      </c>
      <c r="F4206" t="inlineStr"/>
      <c r="G4206" t="inlineStr"/>
      <c r="H4206" s="125" t="n">
        <v>46103</v>
      </c>
      <c r="I4206" t="inlineStr"/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N4206" t="inlineStr"/>
      <c r="O4206" t="inlineStr">
        <is>
          <t>RT1423</t>
        </is>
      </c>
      <c r="P4206" t="inlineStr"/>
      <c r="Q4206" s="112" t="n">
        <v>0</v>
      </c>
      <c r="R4206" s="112" t="n">
        <v>79.14</v>
      </c>
      <c r="S4206" s="112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D4207" t="inlineStr"/>
      <c r="E4207" t="inlineStr">
        <is>
          <t>EQ</t>
        </is>
      </c>
      <c r="F4207" t="inlineStr"/>
      <c r="G4207" t="inlineStr"/>
      <c r="H4207" s="125" t="n">
        <v>46103</v>
      </c>
      <c r="I4207" t="inlineStr"/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N4207" t="inlineStr"/>
      <c r="O4207" t="inlineStr">
        <is>
          <t>RT1423</t>
        </is>
      </c>
      <c r="P4207" t="inlineStr"/>
      <c r="Q4207" s="112" t="n">
        <v>0</v>
      </c>
      <c r="R4207" s="112" t="n">
        <v>79.14</v>
      </c>
      <c r="S4207" s="112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D4208" t="inlineStr"/>
      <c r="E4208" t="inlineStr">
        <is>
          <t>EQ</t>
        </is>
      </c>
      <c r="F4208" t="inlineStr"/>
      <c r="G4208" t="inlineStr"/>
      <c r="H4208" s="125" t="n">
        <v>46103</v>
      </c>
      <c r="I4208" t="inlineStr"/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N4208" t="inlineStr"/>
      <c r="O4208" t="inlineStr">
        <is>
          <t>RT1423</t>
        </is>
      </c>
      <c r="P4208" t="inlineStr"/>
      <c r="Q4208" s="112" t="n">
        <v>0</v>
      </c>
      <c r="R4208" s="112" t="n">
        <v>79.14</v>
      </c>
      <c r="S4208" s="112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D4209" t="inlineStr"/>
      <c r="E4209" t="inlineStr">
        <is>
          <t>EQ</t>
        </is>
      </c>
      <c r="F4209" t="inlineStr"/>
      <c r="G4209" t="inlineStr"/>
      <c r="H4209" s="125" t="n">
        <v>46103</v>
      </c>
      <c r="I4209" t="inlineStr"/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N4209" t="inlineStr"/>
      <c r="O4209" t="inlineStr">
        <is>
          <t>RT1423</t>
        </is>
      </c>
      <c r="P4209" t="inlineStr"/>
      <c r="Q4209" s="112" t="n">
        <v>0</v>
      </c>
      <c r="R4209" s="112" t="n">
        <v>79.14</v>
      </c>
      <c r="S4209" s="112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D4210" t="inlineStr"/>
      <c r="E4210" t="inlineStr">
        <is>
          <t>EQ</t>
        </is>
      </c>
      <c r="F4210" t="inlineStr"/>
      <c r="G4210" t="inlineStr"/>
      <c r="H4210" s="125" t="n">
        <v>46110</v>
      </c>
      <c r="I4210" t="inlineStr"/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N4210" t="inlineStr"/>
      <c r="O4210" t="inlineStr">
        <is>
          <t>RT1423</t>
        </is>
      </c>
      <c r="P4210" t="inlineStr"/>
      <c r="Q4210" s="112" t="n">
        <v>0</v>
      </c>
      <c r="R4210" s="112" t="n">
        <v>79.14</v>
      </c>
      <c r="S4210" s="112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D4211" t="inlineStr"/>
      <c r="E4211" t="inlineStr">
        <is>
          <t>EQ</t>
        </is>
      </c>
      <c r="F4211" t="inlineStr"/>
      <c r="G4211" t="inlineStr"/>
      <c r="H4211" s="125" t="n">
        <v>46096</v>
      </c>
      <c r="I4211" t="inlineStr"/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N4211" t="inlineStr"/>
      <c r="O4211" t="inlineStr">
        <is>
          <t>RT1423</t>
        </is>
      </c>
      <c r="P4211" t="inlineStr"/>
      <c r="Q4211" s="112" t="n">
        <v>0</v>
      </c>
      <c r="R4211" s="112" t="n">
        <v>79.14</v>
      </c>
      <c r="S4211" s="112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D4212" t="inlineStr"/>
      <c r="E4212" t="inlineStr">
        <is>
          <t>EQ</t>
        </is>
      </c>
      <c r="F4212" t="inlineStr"/>
      <c r="G4212" t="inlineStr"/>
      <c r="H4212" s="125" t="n">
        <v>46096</v>
      </c>
      <c r="I4212" t="inlineStr"/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N4212" t="inlineStr"/>
      <c r="O4212" t="inlineStr">
        <is>
          <t>RT1423</t>
        </is>
      </c>
      <c r="P4212" t="inlineStr"/>
      <c r="Q4212" s="112" t="n">
        <v>0</v>
      </c>
      <c r="R4212" s="112" t="n">
        <v>79.14</v>
      </c>
      <c r="S4212" s="112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D4213" t="inlineStr"/>
      <c r="E4213" t="inlineStr">
        <is>
          <t>EQ</t>
        </is>
      </c>
      <c r="F4213" t="inlineStr"/>
      <c r="G4213" t="inlineStr"/>
      <c r="H4213" s="125" t="n">
        <v>46096</v>
      </c>
      <c r="I4213" t="inlineStr"/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N4213" t="inlineStr"/>
      <c r="O4213" t="inlineStr">
        <is>
          <t>RT1423</t>
        </is>
      </c>
      <c r="P4213" t="inlineStr"/>
      <c r="Q4213" s="112" t="n">
        <v>0</v>
      </c>
      <c r="R4213" s="112" t="n">
        <v>79.14</v>
      </c>
      <c r="S4213" s="112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D4214" t="inlineStr"/>
      <c r="E4214" t="inlineStr">
        <is>
          <t>EQ</t>
        </is>
      </c>
      <c r="F4214" t="inlineStr"/>
      <c r="G4214" t="inlineStr"/>
      <c r="H4214" s="125" t="n">
        <v>46096</v>
      </c>
      <c r="I4214" t="inlineStr"/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N4214" t="inlineStr"/>
      <c r="O4214" t="inlineStr">
        <is>
          <t>RT1423</t>
        </is>
      </c>
      <c r="P4214" t="inlineStr"/>
      <c r="Q4214" s="112" t="n">
        <v>0</v>
      </c>
      <c r="R4214" s="112" t="n">
        <v>79.14</v>
      </c>
      <c r="S4214" s="112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D4215" t="inlineStr"/>
      <c r="E4215" t="inlineStr">
        <is>
          <t>EQ</t>
        </is>
      </c>
      <c r="F4215" t="inlineStr"/>
      <c r="G4215" t="inlineStr"/>
      <c r="H4215" s="125" t="n">
        <v>46096</v>
      </c>
      <c r="I4215" t="inlineStr"/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N4215" t="inlineStr"/>
      <c r="O4215" t="inlineStr">
        <is>
          <t>RT1423</t>
        </is>
      </c>
      <c r="P4215" t="inlineStr"/>
      <c r="Q4215" s="112" t="n">
        <v>0</v>
      </c>
      <c r="R4215" s="112" t="n">
        <v>79.14</v>
      </c>
      <c r="S4215" s="112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D4216" t="inlineStr"/>
      <c r="E4216" t="inlineStr">
        <is>
          <t>ER</t>
        </is>
      </c>
      <c r="F4216" t="inlineStr"/>
      <c r="G4216" t="inlineStr"/>
      <c r="H4216" s="125" t="n">
        <v>46096</v>
      </c>
      <c r="I4216" t="inlineStr"/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N4216" t="inlineStr"/>
      <c r="O4216" t="inlineStr">
        <is>
          <t>RMV34</t>
        </is>
      </c>
      <c r="P4216" t="inlineStr"/>
      <c r="Q4216" s="112" t="n">
        <v>0</v>
      </c>
      <c r="R4216" s="112" t="n">
        <v>198.28</v>
      </c>
      <c r="S4216" s="112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D4217" t="inlineStr"/>
      <c r="E4217" t="inlineStr">
        <is>
          <t>ER</t>
        </is>
      </c>
      <c r="F4217" t="inlineStr"/>
      <c r="G4217" t="inlineStr"/>
      <c r="H4217" s="125" t="n">
        <v>46096</v>
      </c>
      <c r="I4217" t="inlineStr"/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N4217" t="inlineStr"/>
      <c r="O4217" t="inlineStr">
        <is>
          <t>RMV34</t>
        </is>
      </c>
      <c r="P4217" t="inlineStr"/>
      <c r="Q4217" s="112" t="n">
        <v>0</v>
      </c>
      <c r="R4217" s="112" t="n">
        <v>198.28</v>
      </c>
      <c r="S4217" s="112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D4218" t="inlineStr"/>
      <c r="E4218" t="inlineStr">
        <is>
          <t>ER</t>
        </is>
      </c>
      <c r="F4218" t="inlineStr"/>
      <c r="G4218" t="inlineStr"/>
      <c r="H4218" s="125" t="n">
        <v>46096</v>
      </c>
      <c r="I4218" t="inlineStr"/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N4218" t="inlineStr"/>
      <c r="O4218" t="inlineStr">
        <is>
          <t>RMV34</t>
        </is>
      </c>
      <c r="P4218" t="inlineStr"/>
      <c r="Q4218" s="112" t="n">
        <v>0</v>
      </c>
      <c r="R4218" s="112" t="n">
        <v>198.28</v>
      </c>
      <c r="S4218" s="112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D4219" t="inlineStr"/>
      <c r="E4219" t="inlineStr">
        <is>
          <t>ER</t>
        </is>
      </c>
      <c r="F4219" t="inlineStr"/>
      <c r="G4219" t="inlineStr"/>
      <c r="H4219" s="125" t="n">
        <v>46096</v>
      </c>
      <c r="I4219" t="inlineStr"/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N4219" t="inlineStr"/>
      <c r="O4219" t="inlineStr">
        <is>
          <t>RMS2259</t>
        </is>
      </c>
      <c r="P4219" t="inlineStr"/>
      <c r="Q4219" s="112" t="n">
        <v>0</v>
      </c>
      <c r="R4219" s="112" t="n">
        <v>459.77</v>
      </c>
      <c r="S4219" s="112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D4220" t="inlineStr"/>
      <c r="E4220" t="inlineStr">
        <is>
          <t>ER</t>
        </is>
      </c>
      <c r="F4220" t="inlineStr"/>
      <c r="G4220" t="inlineStr"/>
      <c r="H4220" s="125" t="n">
        <v>46096</v>
      </c>
      <c r="I4220" t="inlineStr"/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N4220" t="inlineStr"/>
      <c r="O4220" t="inlineStr">
        <is>
          <t>RMS2259</t>
        </is>
      </c>
      <c r="P4220" t="inlineStr"/>
      <c r="Q4220" s="112" t="n">
        <v>0</v>
      </c>
      <c r="R4220" s="112" t="n">
        <v>459.77</v>
      </c>
      <c r="S4220" s="112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D4221" t="inlineStr"/>
      <c r="E4221" t="inlineStr">
        <is>
          <t>ER</t>
        </is>
      </c>
      <c r="F4221" t="inlineStr"/>
      <c r="G4221" t="inlineStr"/>
      <c r="H4221" s="125" t="n">
        <v>46096</v>
      </c>
      <c r="I4221" t="inlineStr"/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N4221" t="inlineStr"/>
      <c r="O4221" t="inlineStr">
        <is>
          <t>RMS2259</t>
        </is>
      </c>
      <c r="P4221" t="inlineStr"/>
      <c r="Q4221" s="112" t="n">
        <v>0</v>
      </c>
      <c r="R4221" s="112" t="n">
        <v>459.77</v>
      </c>
      <c r="S4221" s="112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D4222" t="inlineStr"/>
      <c r="E4222" t="inlineStr">
        <is>
          <t>ER</t>
        </is>
      </c>
      <c r="F4222" t="inlineStr"/>
      <c r="G4222" t="inlineStr"/>
      <c r="H4222" s="125" t="n">
        <v>46096</v>
      </c>
      <c r="I4222" t="inlineStr"/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N4222" t="inlineStr"/>
      <c r="O4222" t="inlineStr">
        <is>
          <t>RMS2259</t>
        </is>
      </c>
      <c r="P4222" t="inlineStr"/>
      <c r="Q4222" s="112" t="n">
        <v>0</v>
      </c>
      <c r="R4222" s="112" t="n">
        <v>459.77</v>
      </c>
      <c r="S4222" s="112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D4223" t="inlineStr"/>
      <c r="E4223" t="inlineStr">
        <is>
          <t>ER</t>
        </is>
      </c>
      <c r="F4223" t="inlineStr"/>
      <c r="G4223" t="inlineStr"/>
      <c r="H4223" s="125" t="n">
        <v>46096</v>
      </c>
      <c r="I4223" t="inlineStr"/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N4223" t="inlineStr"/>
      <c r="O4223" t="inlineStr">
        <is>
          <t>RMS2259</t>
        </is>
      </c>
      <c r="P4223" t="inlineStr"/>
      <c r="Q4223" s="112" t="n">
        <v>0</v>
      </c>
      <c r="R4223" s="112" t="n">
        <v>459.77</v>
      </c>
      <c r="S4223" s="112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D4224" t="inlineStr"/>
      <c r="E4224" t="inlineStr">
        <is>
          <t>ER</t>
        </is>
      </c>
      <c r="F4224" t="inlineStr"/>
      <c r="G4224" t="inlineStr"/>
      <c r="H4224" s="125" t="n">
        <v>46103</v>
      </c>
      <c r="I4224" t="inlineStr"/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N4224" t="inlineStr"/>
      <c r="O4224" t="inlineStr">
        <is>
          <t>REX659</t>
        </is>
      </c>
      <c r="P4224" t="inlineStr"/>
      <c r="Q4224" s="112" t="n">
        <v>0</v>
      </c>
      <c r="R4224" s="112" t="n">
        <v>250</v>
      </c>
      <c r="S4224" s="112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D4225" t="inlineStr"/>
      <c r="E4225" t="inlineStr">
        <is>
          <t>ER</t>
        </is>
      </c>
      <c r="F4225" t="inlineStr"/>
      <c r="G4225" t="inlineStr"/>
      <c r="H4225" s="125" t="n">
        <v>46103</v>
      </c>
      <c r="I4225" t="inlineStr"/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N4225" t="inlineStr"/>
      <c r="O4225" t="inlineStr">
        <is>
          <t>REX659</t>
        </is>
      </c>
      <c r="P4225" t="inlineStr"/>
      <c r="Q4225" s="112" t="n">
        <v>0</v>
      </c>
      <c r="R4225" s="112" t="n">
        <v>250</v>
      </c>
      <c r="S4225" s="112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D4226" t="inlineStr"/>
      <c r="E4226" t="inlineStr">
        <is>
          <t>ER</t>
        </is>
      </c>
      <c r="F4226" t="inlineStr"/>
      <c r="G4226" t="inlineStr"/>
      <c r="H4226" s="125" t="n">
        <v>46103</v>
      </c>
      <c r="I4226" t="inlineStr"/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N4226" t="inlineStr"/>
      <c r="O4226" t="inlineStr">
        <is>
          <t>REX659</t>
        </is>
      </c>
      <c r="P4226" t="inlineStr"/>
      <c r="Q4226" s="112" t="n">
        <v>0</v>
      </c>
      <c r="R4226" s="112" t="n">
        <v>250</v>
      </c>
      <c r="S4226" s="112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D4227" t="inlineStr"/>
      <c r="E4227" t="inlineStr">
        <is>
          <t>ER</t>
        </is>
      </c>
      <c r="F4227" t="inlineStr"/>
      <c r="G4227" t="inlineStr"/>
      <c r="H4227" s="125" t="n">
        <v>46103</v>
      </c>
      <c r="I4227" t="inlineStr"/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N4227" t="inlineStr"/>
      <c r="O4227" t="inlineStr">
        <is>
          <t>REX659</t>
        </is>
      </c>
      <c r="P4227" t="inlineStr"/>
      <c r="Q4227" s="112" t="n">
        <v>0</v>
      </c>
      <c r="R4227" s="112" t="n">
        <v>250</v>
      </c>
      <c r="S4227" s="112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D4228" t="inlineStr"/>
      <c r="E4228" t="inlineStr">
        <is>
          <t>ER</t>
        </is>
      </c>
      <c r="F4228" t="inlineStr"/>
      <c r="G4228" t="inlineStr"/>
      <c r="H4228" s="125" t="n">
        <v>46103</v>
      </c>
      <c r="I4228" t="inlineStr"/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N4228" t="inlineStr"/>
      <c r="O4228" t="inlineStr">
        <is>
          <t>REX659</t>
        </is>
      </c>
      <c r="P4228" t="inlineStr"/>
      <c r="Q4228" s="112" t="n">
        <v>0</v>
      </c>
      <c r="R4228" s="112" t="n">
        <v>250</v>
      </c>
      <c r="S4228" s="112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D4229" t="inlineStr"/>
      <c r="E4229" t="inlineStr">
        <is>
          <t>ER</t>
        </is>
      </c>
      <c r="F4229" t="inlineStr"/>
      <c r="G4229" t="inlineStr"/>
      <c r="H4229" s="125" t="n">
        <v>46103</v>
      </c>
      <c r="I4229" t="inlineStr"/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N4229" t="inlineStr"/>
      <c r="O4229" t="inlineStr">
        <is>
          <t>REX659</t>
        </is>
      </c>
      <c r="P4229" t="inlineStr"/>
      <c r="Q4229" s="112" t="n">
        <v>0</v>
      </c>
      <c r="R4229" s="112" t="n">
        <v>250</v>
      </c>
      <c r="S4229" s="112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D4230" t="inlineStr"/>
      <c r="E4230" t="inlineStr">
        <is>
          <t>ER</t>
        </is>
      </c>
      <c r="F4230" t="inlineStr"/>
      <c r="G4230" t="inlineStr"/>
      <c r="H4230" s="125" t="n">
        <v>46103</v>
      </c>
      <c r="I4230" t="inlineStr"/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N4230" t="inlineStr"/>
      <c r="O4230" t="inlineStr">
        <is>
          <t>RMS2257</t>
        </is>
      </c>
      <c r="P4230" t="inlineStr"/>
      <c r="Q4230" s="112" t="n">
        <v>0</v>
      </c>
      <c r="R4230" s="112" t="n">
        <v>270.83</v>
      </c>
      <c r="S4230" s="112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D4231" t="inlineStr"/>
      <c r="E4231" t="inlineStr">
        <is>
          <t>ER</t>
        </is>
      </c>
      <c r="F4231" t="inlineStr"/>
      <c r="G4231" t="inlineStr"/>
      <c r="H4231" s="125" t="n">
        <v>46103</v>
      </c>
      <c r="I4231" t="inlineStr"/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N4231" t="inlineStr"/>
      <c r="O4231" t="inlineStr">
        <is>
          <t>RMS2257</t>
        </is>
      </c>
      <c r="P4231" t="inlineStr"/>
      <c r="Q4231" s="112" t="n">
        <v>0</v>
      </c>
      <c r="R4231" s="112" t="n">
        <v>270.83</v>
      </c>
      <c r="S4231" s="112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D4232" t="inlineStr"/>
      <c r="E4232" t="inlineStr">
        <is>
          <t>ER</t>
        </is>
      </c>
      <c r="F4232" t="inlineStr"/>
      <c r="G4232" t="inlineStr"/>
      <c r="H4232" s="125" t="n">
        <v>46103</v>
      </c>
      <c r="I4232" t="inlineStr"/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N4232" t="inlineStr"/>
      <c r="O4232" t="inlineStr">
        <is>
          <t>RMS2257</t>
        </is>
      </c>
      <c r="P4232" t="inlineStr"/>
      <c r="Q4232" s="112" t="n">
        <v>0</v>
      </c>
      <c r="R4232" s="112" t="n">
        <v>270.83</v>
      </c>
      <c r="S4232" s="112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D4233" t="inlineStr"/>
      <c r="E4233" t="inlineStr">
        <is>
          <t>ER</t>
        </is>
      </c>
      <c r="F4233" t="inlineStr"/>
      <c r="G4233" t="inlineStr"/>
      <c r="H4233" s="125" t="n">
        <v>46103</v>
      </c>
      <c r="I4233" t="inlineStr"/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N4233" t="inlineStr"/>
      <c r="O4233" t="inlineStr">
        <is>
          <t>RMS2257</t>
        </is>
      </c>
      <c r="P4233" t="inlineStr"/>
      <c r="Q4233" s="112" t="n">
        <v>0</v>
      </c>
      <c r="R4233" s="112" t="n">
        <v>270.83</v>
      </c>
      <c r="S4233" s="112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D4234" t="inlineStr"/>
      <c r="E4234" t="inlineStr">
        <is>
          <t>ER</t>
        </is>
      </c>
      <c r="F4234" t="inlineStr"/>
      <c r="G4234" t="inlineStr"/>
      <c r="H4234" s="125" t="n">
        <v>46103</v>
      </c>
      <c r="I4234" t="inlineStr"/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N4234" t="inlineStr"/>
      <c r="O4234" t="inlineStr">
        <is>
          <t>RMS2257</t>
        </is>
      </c>
      <c r="P4234" t="inlineStr"/>
      <c r="Q4234" s="112" t="n">
        <v>0</v>
      </c>
      <c r="R4234" s="112" t="n">
        <v>270.83</v>
      </c>
      <c r="S4234" s="112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D4235" t="inlineStr"/>
      <c r="E4235" t="inlineStr">
        <is>
          <t>ER</t>
        </is>
      </c>
      <c r="F4235" t="inlineStr"/>
      <c r="G4235" t="inlineStr"/>
      <c r="H4235" s="125" t="n">
        <v>46103</v>
      </c>
      <c r="I4235" t="inlineStr"/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N4235" t="inlineStr"/>
      <c r="O4235" t="inlineStr">
        <is>
          <t>RMS2257</t>
        </is>
      </c>
      <c r="P4235" t="inlineStr"/>
      <c r="Q4235" s="112" t="n">
        <v>0</v>
      </c>
      <c r="R4235" s="112" t="n">
        <v>270.83</v>
      </c>
      <c r="S4235" s="112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D4236" t="inlineStr"/>
      <c r="E4236" t="inlineStr">
        <is>
          <t>ER</t>
        </is>
      </c>
      <c r="F4236" t="inlineStr"/>
      <c r="G4236" t="inlineStr"/>
      <c r="H4236" s="125" t="n">
        <v>46110</v>
      </c>
      <c r="I4236" t="inlineStr"/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N4236" t="inlineStr"/>
      <c r="O4236" t="inlineStr">
        <is>
          <t>REX659</t>
        </is>
      </c>
      <c r="P4236" t="inlineStr"/>
      <c r="Q4236" s="112" t="n">
        <v>0</v>
      </c>
      <c r="R4236" s="112" t="n">
        <v>250</v>
      </c>
      <c r="S4236" s="112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D4237" t="inlineStr"/>
      <c r="E4237" t="inlineStr">
        <is>
          <t>ER</t>
        </is>
      </c>
      <c r="F4237" t="inlineStr"/>
      <c r="G4237" t="inlineStr"/>
      <c r="H4237" s="125" t="n">
        <v>46096</v>
      </c>
      <c r="I4237" t="inlineStr"/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N4237" t="inlineStr"/>
      <c r="O4237" t="inlineStr">
        <is>
          <t>RMV34</t>
        </is>
      </c>
      <c r="P4237" t="inlineStr"/>
      <c r="Q4237" s="112" t="n">
        <v>0</v>
      </c>
      <c r="R4237" s="112" t="n">
        <v>198.28</v>
      </c>
      <c r="S4237" s="112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D4238" t="inlineStr"/>
      <c r="E4238" t="inlineStr">
        <is>
          <t>ER</t>
        </is>
      </c>
      <c r="F4238" t="inlineStr"/>
      <c r="G4238" t="inlineStr"/>
      <c r="H4238" s="125" t="n">
        <v>46096</v>
      </c>
      <c r="I4238" t="inlineStr"/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N4238" t="inlineStr"/>
      <c r="O4238" t="inlineStr">
        <is>
          <t>RMS2257</t>
        </is>
      </c>
      <c r="P4238" t="inlineStr"/>
      <c r="Q4238" s="112" t="n">
        <v>0</v>
      </c>
      <c r="R4238" s="112" t="n">
        <v>270.83</v>
      </c>
      <c r="S4238" s="112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D4239" t="inlineStr"/>
      <c r="E4239" t="inlineStr">
        <is>
          <t>ER</t>
        </is>
      </c>
      <c r="F4239" t="inlineStr"/>
      <c r="G4239" t="inlineStr"/>
      <c r="H4239" s="125" t="n">
        <v>46096</v>
      </c>
      <c r="I4239" t="inlineStr"/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N4239" t="inlineStr"/>
      <c r="O4239" t="inlineStr">
        <is>
          <t>REX659</t>
        </is>
      </c>
      <c r="P4239" t="inlineStr"/>
      <c r="Q4239" s="112" t="n">
        <v>0</v>
      </c>
      <c r="R4239" s="112" t="n">
        <v>250</v>
      </c>
      <c r="S4239" s="112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D4240" t="inlineStr"/>
      <c r="E4240" t="inlineStr">
        <is>
          <t>ER</t>
        </is>
      </c>
      <c r="F4240" t="inlineStr"/>
      <c r="G4240" t="inlineStr"/>
      <c r="H4240" s="125" t="n">
        <v>46096</v>
      </c>
      <c r="I4240" t="inlineStr"/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N4240" t="inlineStr"/>
      <c r="O4240" t="inlineStr">
        <is>
          <t>RMS2257</t>
        </is>
      </c>
      <c r="P4240" t="inlineStr"/>
      <c r="Q4240" s="112" t="n">
        <v>0</v>
      </c>
      <c r="R4240" s="112" t="n">
        <v>270.83</v>
      </c>
      <c r="S4240" s="112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D4241" t="inlineStr"/>
      <c r="E4241" t="inlineStr">
        <is>
          <t>ER</t>
        </is>
      </c>
      <c r="F4241" t="inlineStr"/>
      <c r="G4241" t="inlineStr"/>
      <c r="H4241" s="125" t="n">
        <v>46096</v>
      </c>
      <c r="I4241" t="inlineStr"/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N4241" t="inlineStr"/>
      <c r="O4241" t="inlineStr">
        <is>
          <t>RMS2257</t>
        </is>
      </c>
      <c r="P4241" t="inlineStr"/>
      <c r="Q4241" s="112" t="n">
        <v>0</v>
      </c>
      <c r="R4241" s="112" t="n">
        <v>270.83</v>
      </c>
      <c r="S4241" s="112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D4242" t="inlineStr"/>
      <c r="E4242" t="inlineStr">
        <is>
          <t>ER</t>
        </is>
      </c>
      <c r="F4242" t="inlineStr"/>
      <c r="G4242" t="inlineStr"/>
      <c r="H4242" s="125" t="n">
        <v>46096</v>
      </c>
      <c r="I4242" t="inlineStr"/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N4242" t="inlineStr"/>
      <c r="O4242" t="inlineStr">
        <is>
          <t>RMS2257</t>
        </is>
      </c>
      <c r="P4242" t="inlineStr"/>
      <c r="Q4242" s="112" t="n">
        <v>0</v>
      </c>
      <c r="R4242" s="112" t="n">
        <v>270.83</v>
      </c>
      <c r="S4242" s="112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D4243" t="inlineStr"/>
      <c r="E4243" t="inlineStr">
        <is>
          <t>ER</t>
        </is>
      </c>
      <c r="F4243" t="inlineStr"/>
      <c r="G4243" t="inlineStr"/>
      <c r="H4243" s="125" t="n">
        <v>46096</v>
      </c>
      <c r="I4243" t="inlineStr"/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N4243" t="inlineStr"/>
      <c r="O4243" t="inlineStr">
        <is>
          <t>REX659</t>
        </is>
      </c>
      <c r="P4243" t="inlineStr"/>
      <c r="Q4243" s="112" t="n">
        <v>0</v>
      </c>
      <c r="R4243" s="112" t="n">
        <v>250</v>
      </c>
      <c r="S4243" s="112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D4244" t="inlineStr"/>
      <c r="E4244" t="inlineStr">
        <is>
          <t>ER</t>
        </is>
      </c>
      <c r="F4244" t="inlineStr"/>
      <c r="G4244" t="inlineStr"/>
      <c r="H4244" s="125" t="n">
        <v>46096</v>
      </c>
      <c r="I4244" t="inlineStr"/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N4244" t="inlineStr"/>
      <c r="O4244" t="inlineStr">
        <is>
          <t>REX659</t>
        </is>
      </c>
      <c r="P4244" t="inlineStr"/>
      <c r="Q4244" s="112" t="n">
        <v>0</v>
      </c>
      <c r="R4244" s="112" t="n">
        <v>250</v>
      </c>
      <c r="S4244" s="112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D4245" t="inlineStr"/>
      <c r="E4245" t="inlineStr">
        <is>
          <t>ER</t>
        </is>
      </c>
      <c r="F4245" t="inlineStr"/>
      <c r="G4245" t="inlineStr"/>
      <c r="H4245" s="125" t="n">
        <v>46096</v>
      </c>
      <c r="I4245" t="inlineStr"/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N4245" t="inlineStr"/>
      <c r="O4245" t="inlineStr">
        <is>
          <t>REX659</t>
        </is>
      </c>
      <c r="P4245" t="inlineStr"/>
      <c r="Q4245" s="112" t="n">
        <v>0</v>
      </c>
      <c r="R4245" s="112" t="n">
        <v>250</v>
      </c>
      <c r="S4245" s="112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D4246" t="inlineStr"/>
      <c r="E4246" t="inlineStr">
        <is>
          <t>ER</t>
        </is>
      </c>
      <c r="F4246" t="inlineStr"/>
      <c r="G4246" t="inlineStr"/>
      <c r="H4246" s="125" t="n">
        <v>46096</v>
      </c>
      <c r="I4246" t="inlineStr"/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N4246" t="inlineStr"/>
      <c r="O4246" t="inlineStr">
        <is>
          <t>REX659</t>
        </is>
      </c>
      <c r="P4246" t="inlineStr"/>
      <c r="Q4246" s="112" t="n">
        <v>0</v>
      </c>
      <c r="R4246" s="112" t="n">
        <v>250</v>
      </c>
      <c r="S4246" s="112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D4247" t="inlineStr"/>
      <c r="E4247" t="inlineStr">
        <is>
          <t>ER</t>
        </is>
      </c>
      <c r="F4247" t="inlineStr"/>
      <c r="G4247" t="inlineStr"/>
      <c r="H4247" s="125" t="n">
        <v>46096</v>
      </c>
      <c r="I4247" t="inlineStr"/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N4247" t="inlineStr"/>
      <c r="O4247" t="inlineStr">
        <is>
          <t>REX659</t>
        </is>
      </c>
      <c r="P4247" t="inlineStr"/>
      <c r="Q4247" s="112" t="n">
        <v>0</v>
      </c>
      <c r="R4247" s="112" t="n">
        <v>250</v>
      </c>
      <c r="S4247" s="112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D4248" t="inlineStr"/>
      <c r="E4248" t="inlineStr">
        <is>
          <t>ER</t>
        </is>
      </c>
      <c r="F4248" t="inlineStr"/>
      <c r="G4248" t="inlineStr"/>
      <c r="H4248" s="125" t="n">
        <v>46159</v>
      </c>
      <c r="I4248" t="inlineStr"/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N4248" t="inlineStr"/>
      <c r="O4248" t="inlineStr">
        <is>
          <t>RHV96</t>
        </is>
      </c>
      <c r="P4248" t="inlineStr"/>
      <c r="Q4248" s="112" t="n">
        <v>0</v>
      </c>
      <c r="R4248" s="112" t="n">
        <v>200</v>
      </c>
      <c r="S4248" s="112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D4249" t="inlineStr"/>
      <c r="E4249" t="inlineStr">
        <is>
          <t>ER</t>
        </is>
      </c>
      <c r="F4249" t="inlineStr"/>
      <c r="G4249" t="inlineStr"/>
      <c r="H4249" s="125" t="n">
        <v>46152</v>
      </c>
      <c r="I4249" t="inlineStr"/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N4249" t="inlineStr"/>
      <c r="O4249" t="inlineStr">
        <is>
          <t>RHV96</t>
        </is>
      </c>
      <c r="P4249" t="inlineStr"/>
      <c r="Q4249" s="112" t="n">
        <v>0</v>
      </c>
      <c r="R4249" s="112" t="n">
        <v>200</v>
      </c>
      <c r="S4249" s="112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D4250" t="inlineStr"/>
      <c r="E4250" t="inlineStr">
        <is>
          <t>ER</t>
        </is>
      </c>
      <c r="F4250" t="inlineStr"/>
      <c r="G4250" t="inlineStr"/>
      <c r="H4250" s="125" t="n">
        <v>46152</v>
      </c>
      <c r="I4250" t="inlineStr"/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N4250" t="inlineStr"/>
      <c r="O4250" t="inlineStr">
        <is>
          <t>RMS2388</t>
        </is>
      </c>
      <c r="P4250" t="inlineStr"/>
      <c r="Q4250" s="112" t="n">
        <v>0</v>
      </c>
      <c r="R4250" s="112" t="n">
        <v>125</v>
      </c>
      <c r="S4250" s="112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D4251" t="inlineStr"/>
      <c r="E4251" t="inlineStr">
        <is>
          <t>ER</t>
        </is>
      </c>
      <c r="F4251" t="inlineStr"/>
      <c r="G4251" t="inlineStr"/>
      <c r="H4251" s="125" t="n">
        <v>46166</v>
      </c>
      <c r="I4251" t="inlineStr"/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N4251" t="inlineStr"/>
      <c r="O4251" t="inlineStr">
        <is>
          <t>RMS2388</t>
        </is>
      </c>
      <c r="P4251" t="inlineStr"/>
      <c r="Q4251" s="112" t="n">
        <v>0</v>
      </c>
      <c r="R4251" s="112" t="n">
        <v>125</v>
      </c>
      <c r="S4251" s="112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D4252" t="inlineStr"/>
      <c r="E4252" t="inlineStr">
        <is>
          <t>ER</t>
        </is>
      </c>
      <c r="F4252" t="inlineStr"/>
      <c r="G4252" t="inlineStr"/>
      <c r="H4252" s="125" t="n">
        <v>46159</v>
      </c>
      <c r="I4252" t="inlineStr"/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N4252" t="inlineStr"/>
      <c r="O4252" t="inlineStr">
        <is>
          <t>RHV96</t>
        </is>
      </c>
      <c r="P4252" t="inlineStr"/>
      <c r="Q4252" s="112" t="n">
        <v>0</v>
      </c>
      <c r="R4252" s="112" t="n">
        <v>200</v>
      </c>
      <c r="S4252" s="112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D4253" t="inlineStr"/>
      <c r="E4253" t="inlineStr">
        <is>
          <t>ER</t>
        </is>
      </c>
      <c r="F4253" t="inlineStr"/>
      <c r="G4253" t="inlineStr"/>
      <c r="H4253" s="125" t="n">
        <v>46159</v>
      </c>
      <c r="I4253" t="inlineStr"/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N4253" t="inlineStr"/>
      <c r="O4253" t="inlineStr">
        <is>
          <t>RHV96</t>
        </is>
      </c>
      <c r="P4253" t="inlineStr"/>
      <c r="Q4253" s="112" t="n">
        <v>0</v>
      </c>
      <c r="R4253" s="112" t="n">
        <v>200</v>
      </c>
      <c r="S4253" s="112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D4254" t="inlineStr"/>
      <c r="E4254" t="inlineStr">
        <is>
          <t>ER</t>
        </is>
      </c>
      <c r="F4254" t="inlineStr"/>
      <c r="G4254" t="inlineStr"/>
      <c r="H4254" s="125" t="n">
        <v>46159</v>
      </c>
      <c r="I4254" t="inlineStr"/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N4254" t="inlineStr"/>
      <c r="O4254" t="inlineStr">
        <is>
          <t>RMS2388</t>
        </is>
      </c>
      <c r="P4254" t="inlineStr"/>
      <c r="Q4254" s="112" t="n">
        <v>0</v>
      </c>
      <c r="R4254" s="112" t="n">
        <v>125</v>
      </c>
      <c r="S4254" s="112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D4255" t="inlineStr"/>
      <c r="E4255" t="inlineStr">
        <is>
          <t>ER</t>
        </is>
      </c>
      <c r="F4255" t="inlineStr"/>
      <c r="G4255" t="inlineStr"/>
      <c r="H4255" s="125" t="n">
        <v>46166</v>
      </c>
      <c r="I4255" t="inlineStr"/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N4255" t="inlineStr"/>
      <c r="O4255" t="inlineStr">
        <is>
          <t>RHV96</t>
        </is>
      </c>
      <c r="P4255" t="inlineStr"/>
      <c r="Q4255" s="112" t="n">
        <v>0</v>
      </c>
      <c r="R4255" s="112" t="n">
        <v>200</v>
      </c>
      <c r="S4255" s="112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D4256" t="inlineStr"/>
      <c r="E4256" t="inlineStr">
        <is>
          <t>ER</t>
        </is>
      </c>
      <c r="F4256" t="inlineStr"/>
      <c r="G4256" t="inlineStr"/>
      <c r="H4256" s="125" t="n">
        <v>46166</v>
      </c>
      <c r="I4256" t="inlineStr"/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N4256" t="inlineStr"/>
      <c r="O4256" t="inlineStr">
        <is>
          <t>RHV96</t>
        </is>
      </c>
      <c r="P4256" t="inlineStr"/>
      <c r="Q4256" s="112" t="n">
        <v>0</v>
      </c>
      <c r="R4256" s="112" t="n">
        <v>200</v>
      </c>
      <c r="S4256" s="112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D4257" t="inlineStr"/>
      <c r="E4257" t="inlineStr">
        <is>
          <t>LA</t>
        </is>
      </c>
      <c r="F4257" t="inlineStr"/>
      <c r="G4257" t="inlineStr"/>
      <c r="H4257" s="125" t="n">
        <v>46156</v>
      </c>
      <c r="I4257" t="inlineStr"/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N4257" t="inlineStr"/>
      <c r="O4257" t="inlineStr"/>
      <c r="P4257" t="inlineStr"/>
      <c r="Q4257" s="112" t="n">
        <v>0</v>
      </c>
      <c r="R4257" s="112" t="n">
        <v>424.72</v>
      </c>
      <c r="S4257" s="112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D4258" t="inlineStr"/>
      <c r="E4258" t="inlineStr">
        <is>
          <t>LA</t>
        </is>
      </c>
      <c r="F4258" t="inlineStr"/>
      <c r="G4258" t="inlineStr"/>
      <c r="H4258" s="125" t="n">
        <v>46149</v>
      </c>
      <c r="I4258" t="inlineStr"/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N4258" t="inlineStr"/>
      <c r="O4258" t="inlineStr"/>
      <c r="P4258" t="inlineStr"/>
      <c r="Q4258" s="112" t="n">
        <v>0</v>
      </c>
      <c r="R4258" s="112" t="n">
        <v>424.72</v>
      </c>
      <c r="S4258" s="112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D4259" t="inlineStr"/>
      <c r="E4259" t="inlineStr">
        <is>
          <t>LA</t>
        </is>
      </c>
      <c r="F4259" t="inlineStr"/>
      <c r="G4259" t="inlineStr"/>
      <c r="H4259" s="125" t="n">
        <v>46149</v>
      </c>
      <c r="I4259" t="inlineStr"/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N4259" t="inlineStr"/>
      <c r="O4259" t="inlineStr"/>
      <c r="P4259" t="inlineStr"/>
      <c r="Q4259" s="112" t="n">
        <v>0</v>
      </c>
      <c r="R4259" s="112" t="n">
        <v>424.72</v>
      </c>
      <c r="S4259" s="112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D4260" t="inlineStr"/>
      <c r="E4260" t="inlineStr">
        <is>
          <t>LA</t>
        </is>
      </c>
      <c r="F4260" t="inlineStr"/>
      <c r="G4260" t="inlineStr"/>
      <c r="H4260" s="125" t="n">
        <v>46156</v>
      </c>
      <c r="I4260" t="inlineStr"/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N4260" t="inlineStr"/>
      <c r="O4260" t="inlineStr"/>
      <c r="P4260" t="inlineStr"/>
      <c r="Q4260" s="112" t="n">
        <v>0</v>
      </c>
      <c r="R4260" s="112" t="n">
        <v>630.8099999999999</v>
      </c>
      <c r="S4260" s="112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D4261" t="inlineStr"/>
      <c r="E4261" t="inlineStr">
        <is>
          <t>LA</t>
        </is>
      </c>
      <c r="F4261" t="inlineStr"/>
      <c r="G4261" t="inlineStr"/>
      <c r="H4261" s="125" t="n">
        <v>46156</v>
      </c>
      <c r="I4261" t="inlineStr"/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N4261" t="inlineStr"/>
      <c r="O4261" t="inlineStr"/>
      <c r="P4261" t="inlineStr"/>
      <c r="Q4261" s="112" t="n">
        <v>0</v>
      </c>
      <c r="R4261" s="112" t="n">
        <v>630.79</v>
      </c>
      <c r="S4261" s="112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D4262" t="inlineStr"/>
      <c r="E4262" t="inlineStr">
        <is>
          <t>LA</t>
        </is>
      </c>
      <c r="F4262" t="inlineStr"/>
      <c r="G4262" t="inlineStr"/>
      <c r="H4262" s="125" t="n">
        <v>46156</v>
      </c>
      <c r="I4262" t="inlineStr"/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N4262" t="inlineStr"/>
      <c r="O4262" t="inlineStr"/>
      <c r="P4262" t="inlineStr"/>
      <c r="Q4262" s="112" t="n">
        <v>0</v>
      </c>
      <c r="R4262" s="112" t="n">
        <v>424.72</v>
      </c>
      <c r="S4262" s="112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D4263" t="inlineStr"/>
      <c r="E4263" t="inlineStr">
        <is>
          <t>LA</t>
        </is>
      </c>
      <c r="F4263" t="inlineStr"/>
      <c r="G4263" t="inlineStr"/>
      <c r="H4263" s="125" t="n">
        <v>46163</v>
      </c>
      <c r="I4263" t="inlineStr"/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N4263" t="inlineStr"/>
      <c r="O4263" t="inlineStr"/>
      <c r="P4263" t="inlineStr"/>
      <c r="Q4263" s="112" t="n">
        <v>0</v>
      </c>
      <c r="R4263" s="112" t="n">
        <v>593.95</v>
      </c>
      <c r="S4263" s="112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D4264" t="inlineStr"/>
      <c r="E4264" t="inlineStr">
        <is>
          <t>ER</t>
        </is>
      </c>
      <c r="F4264" t="inlineStr"/>
      <c r="G4264" t="inlineStr"/>
      <c r="H4264" s="125" t="n">
        <v>46142</v>
      </c>
      <c r="I4264" t="inlineStr"/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N4264" t="inlineStr"/>
      <c r="O4264" t="inlineStr">
        <is>
          <t>RAT439</t>
        </is>
      </c>
      <c r="P4264" t="inlineStr"/>
      <c r="Q4264" s="112" t="n">
        <v>0</v>
      </c>
      <c r="R4264" s="112" t="n">
        <v>62.5</v>
      </c>
      <c r="S4264" s="112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D4265" t="inlineStr"/>
      <c r="E4265" t="inlineStr">
        <is>
          <t>ER</t>
        </is>
      </c>
      <c r="F4265" t="inlineStr"/>
      <c r="G4265" t="inlineStr"/>
      <c r="H4265" s="125" t="n">
        <v>46142</v>
      </c>
      <c r="I4265" t="inlineStr"/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N4265" t="inlineStr"/>
      <c r="O4265" t="inlineStr">
        <is>
          <t>RAT439</t>
        </is>
      </c>
      <c r="P4265" t="inlineStr"/>
      <c r="Q4265" s="112" t="n">
        <v>0</v>
      </c>
      <c r="R4265" s="112" t="n">
        <v>62.5</v>
      </c>
      <c r="S4265" s="112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D4266" t="inlineStr"/>
      <c r="E4266" t="inlineStr">
        <is>
          <t>ER</t>
        </is>
      </c>
      <c r="F4266" t="inlineStr"/>
      <c r="G4266" t="inlineStr"/>
      <c r="H4266" s="125" t="n">
        <v>46152</v>
      </c>
      <c r="I4266" t="inlineStr"/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N4266" t="inlineStr"/>
      <c r="O4266" t="inlineStr">
        <is>
          <t>RAT439</t>
        </is>
      </c>
      <c r="P4266" t="inlineStr"/>
      <c r="Q4266" s="112" t="n">
        <v>0</v>
      </c>
      <c r="R4266" s="112" t="n">
        <v>62.5</v>
      </c>
      <c r="S4266" s="112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D4267" t="inlineStr"/>
      <c r="E4267" t="inlineStr">
        <is>
          <t>ER</t>
        </is>
      </c>
      <c r="F4267" t="inlineStr"/>
      <c r="G4267" t="inlineStr"/>
      <c r="H4267" s="125" t="n">
        <v>46166</v>
      </c>
      <c r="I4267" t="inlineStr"/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N4267" t="inlineStr"/>
      <c r="O4267" t="inlineStr">
        <is>
          <t>RMS2317</t>
        </is>
      </c>
      <c r="P4267" t="inlineStr"/>
      <c r="Q4267" s="112" t="n">
        <v>0</v>
      </c>
      <c r="R4267" s="112" t="n">
        <v>287.36</v>
      </c>
      <c r="S4267" s="112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D4268" t="inlineStr"/>
      <c r="E4268" t="inlineStr">
        <is>
          <t>LA</t>
        </is>
      </c>
      <c r="F4268" t="inlineStr"/>
      <c r="G4268" t="inlineStr"/>
      <c r="H4268" s="125" t="n">
        <v>46156</v>
      </c>
      <c r="I4268" t="inlineStr"/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N4268" t="inlineStr"/>
      <c r="O4268" t="inlineStr"/>
      <c r="P4268" t="inlineStr"/>
      <c r="Q4268" s="112" t="n">
        <v>0</v>
      </c>
      <c r="R4268" s="112" t="n">
        <v>982.71</v>
      </c>
      <c r="S4268" s="112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D4269" t="inlineStr"/>
      <c r="E4269" t="inlineStr">
        <is>
          <t>LA</t>
        </is>
      </c>
      <c r="F4269" t="inlineStr"/>
      <c r="G4269" t="inlineStr"/>
      <c r="H4269" s="125" t="n">
        <v>46142</v>
      </c>
      <c r="I4269" t="inlineStr"/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N4269" t="inlineStr"/>
      <c r="O4269" t="inlineStr"/>
      <c r="P4269" t="inlineStr"/>
      <c r="Q4269" s="112" t="n">
        <v>0</v>
      </c>
      <c r="R4269" s="112" t="n">
        <v>1032.06</v>
      </c>
      <c r="S4269" s="112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D4270" t="inlineStr"/>
      <c r="E4270" t="inlineStr">
        <is>
          <t>LA</t>
        </is>
      </c>
      <c r="F4270" t="inlineStr"/>
      <c r="G4270" t="inlineStr"/>
      <c r="H4270" s="125" t="n">
        <v>46142</v>
      </c>
      <c r="I4270" t="inlineStr"/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N4270" t="inlineStr"/>
      <c r="O4270" t="inlineStr"/>
      <c r="P4270" t="inlineStr"/>
      <c r="Q4270" s="112" t="n">
        <v>0</v>
      </c>
      <c r="R4270" s="112" t="n">
        <v>421.07</v>
      </c>
      <c r="S4270" s="112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D4271" t="inlineStr"/>
      <c r="E4271" t="inlineStr">
        <is>
          <t>LA</t>
        </is>
      </c>
      <c r="F4271" t="inlineStr"/>
      <c r="G4271" t="inlineStr"/>
      <c r="H4271" s="125" t="n">
        <v>46149</v>
      </c>
      <c r="I4271" t="inlineStr"/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N4271" t="inlineStr"/>
      <c r="O4271" t="inlineStr"/>
      <c r="P4271" t="inlineStr"/>
      <c r="Q4271" s="112" t="n">
        <v>0</v>
      </c>
      <c r="R4271" s="112" t="n">
        <v>916.63</v>
      </c>
      <c r="S4271" s="112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D4272" t="inlineStr"/>
      <c r="E4272" t="inlineStr">
        <is>
          <t>EQ</t>
        </is>
      </c>
      <c r="F4272" t="inlineStr"/>
      <c r="G4272" t="inlineStr"/>
      <c r="H4272" s="125" t="n">
        <v>46166</v>
      </c>
      <c r="I4272" t="inlineStr"/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N4272" t="inlineStr"/>
      <c r="O4272" t="inlineStr">
        <is>
          <t>RT1242</t>
        </is>
      </c>
      <c r="P4272" t="inlineStr"/>
      <c r="Q4272" s="112" t="n">
        <v>0</v>
      </c>
      <c r="R4272" s="112" t="n">
        <v>79.14</v>
      </c>
      <c r="S4272" s="112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D4273" t="inlineStr"/>
      <c r="E4273" t="inlineStr">
        <is>
          <t>EQ</t>
        </is>
      </c>
      <c r="F4273" t="inlineStr"/>
      <c r="G4273" t="inlineStr"/>
      <c r="H4273" s="125" t="n">
        <v>46159</v>
      </c>
      <c r="I4273" t="inlineStr"/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N4273" t="inlineStr"/>
      <c r="O4273" t="inlineStr">
        <is>
          <t>RT1344</t>
        </is>
      </c>
      <c r="P4273" t="inlineStr"/>
      <c r="Q4273" s="112" t="n">
        <v>0</v>
      </c>
      <c r="R4273" s="112" t="n">
        <v>79.14</v>
      </c>
      <c r="S4273" s="112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D4274" t="inlineStr"/>
      <c r="E4274" t="inlineStr">
        <is>
          <t>EQ</t>
        </is>
      </c>
      <c r="F4274" t="inlineStr"/>
      <c r="G4274" t="inlineStr"/>
      <c r="H4274" s="125" t="n">
        <v>46159</v>
      </c>
      <c r="I4274" t="inlineStr"/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N4274" t="inlineStr"/>
      <c r="O4274" t="inlineStr">
        <is>
          <t>RT1242</t>
        </is>
      </c>
      <c r="P4274" t="inlineStr"/>
      <c r="Q4274" s="112" t="n">
        <v>0</v>
      </c>
      <c r="R4274" s="112" t="n">
        <v>79.14</v>
      </c>
      <c r="S4274" s="112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D4275" t="inlineStr"/>
      <c r="E4275" t="inlineStr">
        <is>
          <t>EQ</t>
        </is>
      </c>
      <c r="F4275" t="inlineStr"/>
      <c r="G4275" t="inlineStr"/>
      <c r="H4275" s="125" t="n">
        <v>46166</v>
      </c>
      <c r="I4275" t="inlineStr"/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N4275" t="inlineStr"/>
      <c r="O4275" t="inlineStr">
        <is>
          <t>RT1344</t>
        </is>
      </c>
      <c r="P4275" t="inlineStr"/>
      <c r="Q4275" s="112" t="n">
        <v>0</v>
      </c>
      <c r="R4275" s="112" t="n">
        <v>79.14</v>
      </c>
      <c r="S4275" s="112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D4276" t="inlineStr"/>
      <c r="E4276" t="inlineStr">
        <is>
          <t>ER</t>
        </is>
      </c>
      <c r="F4276" t="inlineStr"/>
      <c r="G4276" t="inlineStr"/>
      <c r="H4276" s="125" t="n">
        <v>46166</v>
      </c>
      <c r="I4276" t="inlineStr"/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N4276" t="inlineStr"/>
      <c r="O4276" t="inlineStr">
        <is>
          <t>RLD0303</t>
        </is>
      </c>
      <c r="P4276" t="inlineStr"/>
      <c r="Q4276" s="112" t="n">
        <v>0</v>
      </c>
      <c r="R4276" s="112" t="n">
        <v>437.5</v>
      </c>
      <c r="S4276" s="112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D4277" t="inlineStr"/>
      <c r="E4277" t="inlineStr">
        <is>
          <t>ER</t>
        </is>
      </c>
      <c r="F4277" t="inlineStr"/>
      <c r="G4277" t="inlineStr"/>
      <c r="H4277" s="125" t="n">
        <v>46166</v>
      </c>
      <c r="I4277" t="inlineStr"/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N4277" t="inlineStr"/>
      <c r="O4277" t="inlineStr">
        <is>
          <t>RLD0303</t>
        </is>
      </c>
      <c r="P4277" t="inlineStr"/>
      <c r="Q4277" s="112" t="n">
        <v>0</v>
      </c>
      <c r="R4277" s="112" t="n">
        <v>437.5</v>
      </c>
      <c r="S4277" s="112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D4278" t="inlineStr"/>
      <c r="E4278" t="inlineStr">
        <is>
          <t>ER</t>
        </is>
      </c>
      <c r="F4278" t="inlineStr"/>
      <c r="G4278" t="inlineStr"/>
      <c r="H4278" s="125" t="n">
        <v>46166</v>
      </c>
      <c r="I4278" t="inlineStr"/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N4278" t="inlineStr"/>
      <c r="O4278" t="inlineStr">
        <is>
          <t>RLD0303</t>
        </is>
      </c>
      <c r="P4278" t="inlineStr"/>
      <c r="Q4278" s="112" t="n">
        <v>0</v>
      </c>
      <c r="R4278" s="112" t="n">
        <v>437.5</v>
      </c>
      <c r="S4278" s="112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D4279" t="inlineStr"/>
      <c r="E4279" t="inlineStr">
        <is>
          <t>ER</t>
        </is>
      </c>
      <c r="F4279" t="inlineStr"/>
      <c r="G4279" t="inlineStr"/>
      <c r="H4279" s="125" t="n">
        <v>46159</v>
      </c>
      <c r="I4279" t="inlineStr"/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N4279" t="inlineStr"/>
      <c r="O4279" t="inlineStr">
        <is>
          <t>RLD0303</t>
        </is>
      </c>
      <c r="P4279" t="inlineStr"/>
      <c r="Q4279" s="112" t="n">
        <v>0</v>
      </c>
      <c r="R4279" s="112" t="n">
        <v>437.5</v>
      </c>
      <c r="S4279" s="112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D4280" t="inlineStr"/>
      <c r="E4280" t="inlineStr">
        <is>
          <t>ER</t>
        </is>
      </c>
      <c r="F4280" t="inlineStr"/>
      <c r="G4280" t="inlineStr"/>
      <c r="H4280" s="125" t="n">
        <v>46159</v>
      </c>
      <c r="I4280" t="inlineStr"/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N4280" t="inlineStr"/>
      <c r="O4280" t="inlineStr">
        <is>
          <t>RLD0303</t>
        </is>
      </c>
      <c r="P4280" t="inlineStr"/>
      <c r="Q4280" s="112" t="n">
        <v>0</v>
      </c>
      <c r="R4280" s="112" t="n">
        <v>437.5</v>
      </c>
      <c r="S4280" s="112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D4281" t="inlineStr"/>
      <c r="E4281" t="inlineStr">
        <is>
          <t>ER</t>
        </is>
      </c>
      <c r="F4281" t="inlineStr"/>
      <c r="G4281" t="inlineStr"/>
      <c r="H4281" s="125" t="n">
        <v>46159</v>
      </c>
      <c r="I4281" t="inlineStr"/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N4281" t="inlineStr"/>
      <c r="O4281" t="inlineStr">
        <is>
          <t>RLD0303</t>
        </is>
      </c>
      <c r="P4281" t="inlineStr"/>
      <c r="Q4281" s="112" t="n">
        <v>0</v>
      </c>
      <c r="R4281" s="112" t="n">
        <v>437.5</v>
      </c>
      <c r="S4281" s="112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D4282" t="inlineStr"/>
      <c r="E4282" t="inlineStr">
        <is>
          <t>LA</t>
        </is>
      </c>
      <c r="F4282" t="inlineStr"/>
      <c r="G4282" t="inlineStr"/>
      <c r="H4282" s="125" t="n">
        <v>46163</v>
      </c>
      <c r="I4282" t="inlineStr"/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N4282" t="inlineStr"/>
      <c r="O4282" t="inlineStr"/>
      <c r="P4282" t="inlineStr"/>
      <c r="Q4282" s="112" t="n">
        <v>0</v>
      </c>
      <c r="R4282" s="112" t="n">
        <v>907.66</v>
      </c>
      <c r="S4282" s="112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D4283" t="inlineStr"/>
      <c r="E4283" t="inlineStr">
        <is>
          <t>LA</t>
        </is>
      </c>
      <c r="F4283" t="inlineStr"/>
      <c r="G4283" t="inlineStr"/>
      <c r="H4283" s="125" t="n">
        <v>46149</v>
      </c>
      <c r="I4283" t="inlineStr"/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N4283" t="inlineStr"/>
      <c r="O4283" t="inlineStr"/>
      <c r="P4283" t="inlineStr"/>
      <c r="Q4283" s="112" t="n">
        <v>0</v>
      </c>
      <c r="R4283" s="112" t="n">
        <v>485.74</v>
      </c>
      <c r="S4283" s="112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D4284" t="inlineStr"/>
      <c r="E4284" t="inlineStr">
        <is>
          <t>LA</t>
        </is>
      </c>
      <c r="F4284" t="inlineStr"/>
      <c r="G4284" t="inlineStr"/>
      <c r="H4284" s="125" t="n">
        <v>46156</v>
      </c>
      <c r="I4284" t="inlineStr"/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N4284" t="inlineStr"/>
      <c r="O4284" t="inlineStr"/>
      <c r="P4284" t="inlineStr"/>
      <c r="Q4284" s="112" t="n">
        <v>0</v>
      </c>
      <c r="R4284" s="112" t="n">
        <v>1594.17</v>
      </c>
      <c r="S4284" s="112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D4285" t="inlineStr"/>
      <c r="E4285" t="inlineStr">
        <is>
          <t>LA</t>
        </is>
      </c>
      <c r="F4285" t="inlineStr"/>
      <c r="G4285" t="inlineStr"/>
      <c r="H4285" s="125" t="n">
        <v>46156</v>
      </c>
      <c r="I4285" t="inlineStr"/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N4285" t="inlineStr"/>
      <c r="O4285" t="inlineStr"/>
      <c r="P4285" t="inlineStr"/>
      <c r="Q4285" s="112" t="n">
        <v>0</v>
      </c>
      <c r="R4285" s="112" t="n">
        <v>893.84</v>
      </c>
      <c r="S4285" s="112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D4286" t="inlineStr"/>
      <c r="E4286" t="inlineStr">
        <is>
          <t>LA</t>
        </is>
      </c>
      <c r="F4286" t="inlineStr"/>
      <c r="G4286" t="inlineStr"/>
      <c r="H4286" s="125" t="n">
        <v>46156</v>
      </c>
      <c r="I4286" t="inlineStr"/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N4286" t="inlineStr"/>
      <c r="O4286" t="inlineStr"/>
      <c r="P4286" t="inlineStr"/>
      <c r="Q4286" s="112" t="n">
        <v>0</v>
      </c>
      <c r="R4286" s="112" t="n">
        <v>2013.2</v>
      </c>
      <c r="S4286" s="112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D4287" t="inlineStr"/>
      <c r="E4287" t="inlineStr">
        <is>
          <t>LA</t>
        </is>
      </c>
      <c r="F4287" t="inlineStr"/>
      <c r="G4287" t="inlineStr"/>
      <c r="H4287" s="125" t="n">
        <v>46156</v>
      </c>
      <c r="I4287" t="inlineStr"/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N4287" t="inlineStr"/>
      <c r="O4287" t="inlineStr"/>
      <c r="P4287" t="inlineStr"/>
      <c r="Q4287" s="112" t="n">
        <v>0</v>
      </c>
      <c r="R4287" s="112" t="n">
        <v>1238.87</v>
      </c>
      <c r="S4287" s="112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D4288" t="inlineStr"/>
      <c r="E4288" t="inlineStr">
        <is>
          <t>LA</t>
        </is>
      </c>
      <c r="F4288" t="inlineStr"/>
      <c r="G4288" t="inlineStr"/>
      <c r="H4288" s="125" t="n">
        <v>46156</v>
      </c>
      <c r="I4288" t="inlineStr"/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N4288" t="inlineStr"/>
      <c r="O4288" t="inlineStr"/>
      <c r="P4288" t="inlineStr"/>
      <c r="Q4288" s="112" t="n">
        <v>0</v>
      </c>
      <c r="R4288" s="112" t="n">
        <v>1683.38</v>
      </c>
      <c r="S4288" s="112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D4289" t="inlineStr"/>
      <c r="E4289" t="inlineStr">
        <is>
          <t>LA</t>
        </is>
      </c>
      <c r="F4289" t="inlineStr"/>
      <c r="G4289" t="inlineStr"/>
      <c r="H4289" s="125" t="n">
        <v>46156</v>
      </c>
      <c r="I4289" t="inlineStr"/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N4289" t="inlineStr"/>
      <c r="O4289" t="inlineStr"/>
      <c r="P4289" t="inlineStr"/>
      <c r="Q4289" s="112" t="n">
        <v>0</v>
      </c>
      <c r="R4289" s="112" t="n">
        <v>1489.49</v>
      </c>
      <c r="S4289" s="112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D4290" t="inlineStr"/>
      <c r="E4290" t="inlineStr">
        <is>
          <t>LA</t>
        </is>
      </c>
      <c r="F4290" t="inlineStr"/>
      <c r="G4290" t="inlineStr"/>
      <c r="H4290" s="125" t="n">
        <v>46156</v>
      </c>
      <c r="I4290" t="inlineStr"/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N4290" t="inlineStr"/>
      <c r="O4290" t="inlineStr"/>
      <c r="P4290" t="inlineStr"/>
      <c r="Q4290" s="112" t="n">
        <v>0</v>
      </c>
      <c r="R4290" s="112" t="n">
        <v>1131.91</v>
      </c>
      <c r="S4290" s="112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D4291" t="inlineStr"/>
      <c r="E4291" t="inlineStr">
        <is>
          <t>LA</t>
        </is>
      </c>
      <c r="F4291" t="inlineStr"/>
      <c r="G4291" t="inlineStr"/>
      <c r="H4291" s="125" t="n">
        <v>46163</v>
      </c>
      <c r="I4291" t="inlineStr"/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N4291" t="inlineStr"/>
      <c r="O4291" t="inlineStr"/>
      <c r="P4291" t="inlineStr"/>
      <c r="Q4291" s="112" t="n">
        <v>0</v>
      </c>
      <c r="R4291" s="112" t="n">
        <v>1254.2</v>
      </c>
      <c r="S4291" s="112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D4292" t="inlineStr"/>
      <c r="E4292" t="inlineStr">
        <is>
          <t>LA</t>
        </is>
      </c>
      <c r="F4292" t="inlineStr"/>
      <c r="G4292" t="inlineStr"/>
      <c r="H4292" s="125" t="n">
        <v>46163</v>
      </c>
      <c r="I4292" t="inlineStr"/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N4292" t="inlineStr"/>
      <c r="O4292" t="inlineStr"/>
      <c r="P4292" t="inlineStr"/>
      <c r="Q4292" s="112" t="n">
        <v>0</v>
      </c>
      <c r="R4292" s="112" t="n">
        <v>907.66</v>
      </c>
      <c r="S4292" s="112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D4293" t="inlineStr"/>
      <c r="E4293" t="inlineStr">
        <is>
          <t>LA</t>
        </is>
      </c>
      <c r="F4293" t="inlineStr"/>
      <c r="G4293" t="inlineStr"/>
      <c r="H4293" s="125" t="n">
        <v>46163</v>
      </c>
      <c r="I4293" t="inlineStr"/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N4293" t="inlineStr"/>
      <c r="O4293" t="inlineStr"/>
      <c r="P4293" t="inlineStr"/>
      <c r="Q4293" s="112" t="n">
        <v>0</v>
      </c>
      <c r="R4293" s="112" t="n">
        <v>1684.65</v>
      </c>
      <c r="S4293" s="112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D4294" t="inlineStr"/>
      <c r="E4294" t="inlineStr">
        <is>
          <t>LA</t>
        </is>
      </c>
      <c r="F4294" t="inlineStr"/>
      <c r="G4294" t="inlineStr"/>
      <c r="H4294" s="125" t="n">
        <v>46128</v>
      </c>
      <c r="I4294" t="inlineStr"/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N4294" t="inlineStr"/>
      <c r="O4294" t="inlineStr"/>
      <c r="P4294" t="inlineStr"/>
      <c r="Q4294" s="112" t="n">
        <v>0</v>
      </c>
      <c r="R4294" s="112" t="n">
        <v>423.59</v>
      </c>
      <c r="S4294" s="112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D4295" t="inlineStr"/>
      <c r="E4295" t="inlineStr">
        <is>
          <t>LA</t>
        </is>
      </c>
      <c r="F4295" t="inlineStr"/>
      <c r="G4295" t="inlineStr"/>
      <c r="H4295" s="125" t="n">
        <v>46135</v>
      </c>
      <c r="I4295" t="inlineStr"/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N4295" t="inlineStr"/>
      <c r="O4295" t="inlineStr"/>
      <c r="P4295" t="inlineStr"/>
      <c r="Q4295" s="112" t="n">
        <v>0</v>
      </c>
      <c r="R4295" s="112" t="n">
        <v>720.11</v>
      </c>
      <c r="S4295" s="112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D4296" t="inlineStr"/>
      <c r="E4296" t="inlineStr">
        <is>
          <t>LA</t>
        </is>
      </c>
      <c r="F4296" t="inlineStr"/>
      <c r="G4296" t="inlineStr"/>
      <c r="H4296" s="125" t="n">
        <v>46142</v>
      </c>
      <c r="I4296" t="inlineStr"/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N4296" t="inlineStr"/>
      <c r="O4296" t="inlineStr"/>
      <c r="P4296" t="inlineStr"/>
      <c r="Q4296" s="112" t="n">
        <v>0</v>
      </c>
      <c r="R4296" s="112" t="n">
        <v>1493.7</v>
      </c>
      <c r="S4296" s="112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D4297" t="inlineStr"/>
      <c r="E4297" t="inlineStr">
        <is>
          <t>LA</t>
        </is>
      </c>
      <c r="F4297" t="inlineStr"/>
      <c r="G4297" t="inlineStr"/>
      <c r="H4297" s="125" t="n">
        <v>46142</v>
      </c>
      <c r="I4297" t="inlineStr"/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N4297" t="inlineStr"/>
      <c r="O4297" t="inlineStr"/>
      <c r="P4297" t="inlineStr"/>
      <c r="Q4297" s="112" t="n">
        <v>0</v>
      </c>
      <c r="R4297" s="112" t="n">
        <v>296.52</v>
      </c>
      <c r="S4297" s="112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D4298" t="inlineStr"/>
      <c r="E4298" t="inlineStr">
        <is>
          <t>LA</t>
        </is>
      </c>
      <c r="F4298" t="inlineStr"/>
      <c r="G4298" t="inlineStr"/>
      <c r="H4298" s="125" t="n">
        <v>46150</v>
      </c>
      <c r="I4298" t="inlineStr"/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N4298" t="inlineStr"/>
      <c r="O4298" t="inlineStr"/>
      <c r="P4298" t="inlineStr"/>
      <c r="Q4298" s="112" t="n">
        <v>0</v>
      </c>
      <c r="R4298" s="112" t="n">
        <v>-2287.4</v>
      </c>
      <c r="S4298" s="112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D4299" t="inlineStr"/>
      <c r="E4299" t="inlineStr">
        <is>
          <t>LA</t>
        </is>
      </c>
      <c r="F4299" t="inlineStr"/>
      <c r="G4299" t="inlineStr"/>
      <c r="H4299" s="125" t="n">
        <v>46149</v>
      </c>
      <c r="I4299" t="inlineStr"/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N4299" t="inlineStr"/>
      <c r="O4299" t="inlineStr"/>
      <c r="P4299" t="inlineStr"/>
      <c r="Q4299" s="112" t="n">
        <v>0</v>
      </c>
      <c r="R4299" s="112" t="n">
        <v>898.34</v>
      </c>
      <c r="S4299" s="112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D4300" t="inlineStr"/>
      <c r="E4300" t="inlineStr">
        <is>
          <t>LA</t>
        </is>
      </c>
      <c r="F4300" t="inlineStr"/>
      <c r="G4300" t="inlineStr"/>
      <c r="H4300" s="125" t="n">
        <v>46149</v>
      </c>
      <c r="I4300" t="inlineStr"/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N4300" t="inlineStr"/>
      <c r="O4300" t="inlineStr"/>
      <c r="P4300" t="inlineStr"/>
      <c r="Q4300" s="112" t="n">
        <v>0</v>
      </c>
      <c r="R4300" s="112" t="n">
        <v>898.34</v>
      </c>
      <c r="S4300" s="112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D4301" t="inlineStr"/>
      <c r="E4301" t="inlineStr">
        <is>
          <t>LA</t>
        </is>
      </c>
      <c r="F4301" t="inlineStr"/>
      <c r="G4301" t="inlineStr"/>
      <c r="H4301" s="125" t="n">
        <v>46156</v>
      </c>
      <c r="I4301" t="inlineStr"/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N4301" t="inlineStr"/>
      <c r="O4301" t="inlineStr"/>
      <c r="P4301" t="inlineStr"/>
      <c r="Q4301" s="112" t="n">
        <v>0</v>
      </c>
      <c r="R4301" s="112" t="n">
        <v>723.34</v>
      </c>
      <c r="S4301" s="112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D4302" t="inlineStr"/>
      <c r="E4302" t="inlineStr">
        <is>
          <t>LA</t>
        </is>
      </c>
      <c r="F4302" t="inlineStr"/>
      <c r="G4302" t="inlineStr"/>
      <c r="H4302" s="125" t="n">
        <v>46156</v>
      </c>
      <c r="I4302" t="inlineStr"/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N4302" t="inlineStr"/>
      <c r="O4302" t="inlineStr"/>
      <c r="P4302" t="inlineStr"/>
      <c r="Q4302" s="112" t="n">
        <v>0</v>
      </c>
      <c r="R4302" s="112" t="n">
        <v>723.34</v>
      </c>
      <c r="S4302" s="112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D4303" t="inlineStr"/>
      <c r="E4303" t="inlineStr">
        <is>
          <t>LA</t>
        </is>
      </c>
      <c r="F4303" t="inlineStr"/>
      <c r="G4303" t="inlineStr"/>
      <c r="H4303" s="125" t="n">
        <v>46135</v>
      </c>
      <c r="I4303" t="inlineStr"/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N4303" t="inlineStr"/>
      <c r="O4303" t="inlineStr"/>
      <c r="P4303" t="inlineStr"/>
      <c r="Q4303" s="112" t="n">
        <v>0</v>
      </c>
      <c r="R4303" s="112" t="n">
        <v>720.11</v>
      </c>
      <c r="S4303" s="112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D4304" t="inlineStr"/>
      <c r="E4304" t="inlineStr">
        <is>
          <t>LA</t>
        </is>
      </c>
      <c r="F4304" t="inlineStr"/>
      <c r="G4304" t="inlineStr"/>
      <c r="H4304" s="125" t="n">
        <v>46128</v>
      </c>
      <c r="I4304" t="inlineStr"/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N4304" t="inlineStr"/>
      <c r="O4304" t="inlineStr"/>
      <c r="P4304" t="inlineStr"/>
      <c r="Q4304" s="112" t="n">
        <v>0</v>
      </c>
      <c r="R4304" s="112" t="n">
        <v>423.59</v>
      </c>
      <c r="S4304" s="112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D4305" t="inlineStr"/>
      <c r="E4305" t="inlineStr">
        <is>
          <t>LA</t>
        </is>
      </c>
      <c r="F4305" t="inlineStr"/>
      <c r="G4305" t="inlineStr"/>
      <c r="H4305" s="125" t="n">
        <v>46114</v>
      </c>
      <c r="I4305" t="inlineStr"/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N4305" t="inlineStr"/>
      <c r="O4305" t="inlineStr"/>
      <c r="P4305" t="inlineStr"/>
      <c r="Q4305" s="112" t="n">
        <v>0</v>
      </c>
      <c r="R4305" s="112" t="n">
        <v>1023.95</v>
      </c>
      <c r="S4305" s="112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D4306" t="inlineStr"/>
      <c r="E4306" t="inlineStr">
        <is>
          <t>LA</t>
        </is>
      </c>
      <c r="F4306" t="inlineStr"/>
      <c r="G4306" t="inlineStr"/>
      <c r="H4306" s="125" t="n">
        <v>46121</v>
      </c>
      <c r="I4306" t="inlineStr"/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N4306" t="inlineStr"/>
      <c r="O4306" t="inlineStr"/>
      <c r="P4306" t="inlineStr"/>
      <c r="Q4306" s="112" t="n">
        <v>0</v>
      </c>
      <c r="R4306" s="112" t="n">
        <v>795.14</v>
      </c>
      <c r="S4306" s="112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D4307" t="inlineStr"/>
      <c r="E4307" t="inlineStr">
        <is>
          <t>LA</t>
        </is>
      </c>
      <c r="F4307" t="inlineStr"/>
      <c r="G4307" t="inlineStr"/>
      <c r="H4307" s="125" t="n">
        <v>46121</v>
      </c>
      <c r="I4307" t="inlineStr"/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N4307" t="inlineStr"/>
      <c r="O4307" t="inlineStr"/>
      <c r="P4307" t="inlineStr"/>
      <c r="Q4307" s="112" t="n">
        <v>0</v>
      </c>
      <c r="R4307" s="112" t="n">
        <v>534.59</v>
      </c>
      <c r="S4307" s="112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D4308" t="inlineStr"/>
      <c r="E4308" t="inlineStr">
        <is>
          <t>LA</t>
        </is>
      </c>
      <c r="F4308" t="inlineStr"/>
      <c r="G4308" t="inlineStr"/>
      <c r="H4308" s="125" t="n">
        <v>46121</v>
      </c>
      <c r="I4308" t="inlineStr"/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N4308" t="inlineStr"/>
      <c r="O4308" t="inlineStr"/>
      <c r="P4308" t="inlineStr"/>
      <c r="Q4308" s="112" t="n">
        <v>0</v>
      </c>
      <c r="R4308" s="112" t="n">
        <v>1338.57</v>
      </c>
      <c r="S4308" s="112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D4309" t="inlineStr"/>
      <c r="E4309" t="inlineStr">
        <is>
          <t>LA</t>
        </is>
      </c>
      <c r="F4309" t="inlineStr"/>
      <c r="G4309" t="inlineStr"/>
      <c r="H4309" s="125" t="n">
        <v>46121</v>
      </c>
      <c r="I4309" t="inlineStr"/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N4309" t="inlineStr"/>
      <c r="O4309" t="inlineStr"/>
      <c r="P4309" t="inlineStr"/>
      <c r="Q4309" s="112" t="n">
        <v>0</v>
      </c>
      <c r="R4309" s="112" t="n">
        <v>1338.57</v>
      </c>
      <c r="S4309" s="112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D4310" t="inlineStr"/>
      <c r="E4310" t="inlineStr">
        <is>
          <t>LA</t>
        </is>
      </c>
      <c r="F4310" t="inlineStr"/>
      <c r="G4310" t="inlineStr"/>
      <c r="H4310" s="125" t="n">
        <v>46121</v>
      </c>
      <c r="I4310" t="inlineStr"/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N4310" t="inlineStr"/>
      <c r="O4310" t="inlineStr"/>
      <c r="P4310" t="inlineStr"/>
      <c r="Q4310" s="112" t="n">
        <v>0</v>
      </c>
      <c r="R4310" s="112" t="n">
        <v>1338.58</v>
      </c>
      <c r="S4310" s="112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D4311" t="inlineStr"/>
      <c r="E4311" t="inlineStr">
        <is>
          <t>LA</t>
        </is>
      </c>
      <c r="F4311" t="inlineStr"/>
      <c r="G4311" t="inlineStr"/>
      <c r="H4311" s="125" t="n">
        <v>46121</v>
      </c>
      <c r="I4311" t="inlineStr"/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N4311" t="inlineStr"/>
      <c r="O4311" t="inlineStr"/>
      <c r="P4311" t="inlineStr"/>
      <c r="Q4311" s="112" t="n">
        <v>0</v>
      </c>
      <c r="R4311" s="112" t="n">
        <v>803.96</v>
      </c>
      <c r="S4311" s="112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D4312" t="inlineStr"/>
      <c r="E4312" t="inlineStr">
        <is>
          <t>LA</t>
        </is>
      </c>
      <c r="F4312" t="inlineStr"/>
      <c r="G4312" t="inlineStr"/>
      <c r="H4312" s="125" t="n">
        <v>46128</v>
      </c>
      <c r="I4312" t="inlineStr"/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N4312" t="inlineStr"/>
      <c r="O4312" t="inlineStr"/>
      <c r="P4312" t="inlineStr"/>
      <c r="Q4312" s="112" t="n">
        <v>0</v>
      </c>
      <c r="R4312" s="112" t="n">
        <v>795.14</v>
      </c>
      <c r="S4312" s="112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D4313" t="inlineStr"/>
      <c r="E4313" t="inlineStr">
        <is>
          <t>LA</t>
        </is>
      </c>
      <c r="F4313" t="inlineStr"/>
      <c r="G4313" t="inlineStr"/>
      <c r="H4313" s="125" t="n">
        <v>46128</v>
      </c>
      <c r="I4313" t="inlineStr"/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N4313" t="inlineStr"/>
      <c r="O4313" t="inlineStr"/>
      <c r="P4313" t="inlineStr"/>
      <c r="Q4313" s="112" t="n">
        <v>0</v>
      </c>
      <c r="R4313" s="112" t="n">
        <v>534.59</v>
      </c>
      <c r="S4313" s="112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D4314" t="inlineStr"/>
      <c r="E4314" t="inlineStr">
        <is>
          <t>LA</t>
        </is>
      </c>
      <c r="F4314" t="inlineStr"/>
      <c r="G4314" t="inlineStr"/>
      <c r="H4314" s="125" t="n">
        <v>46128</v>
      </c>
      <c r="I4314" t="inlineStr"/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N4314" t="inlineStr"/>
      <c r="O4314" t="inlineStr"/>
      <c r="P4314" t="inlineStr"/>
      <c r="Q4314" s="112" t="n">
        <v>0</v>
      </c>
      <c r="R4314" s="112" t="n">
        <v>534.59</v>
      </c>
      <c r="S4314" s="112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D4315" t="inlineStr"/>
      <c r="E4315" t="inlineStr">
        <is>
          <t>LA</t>
        </is>
      </c>
      <c r="F4315" t="inlineStr"/>
      <c r="G4315" t="inlineStr"/>
      <c r="H4315" s="125" t="n">
        <v>46128</v>
      </c>
      <c r="I4315" t="inlineStr"/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N4315" t="inlineStr"/>
      <c r="O4315" t="inlineStr"/>
      <c r="P4315" t="inlineStr"/>
      <c r="Q4315" s="112" t="n">
        <v>0</v>
      </c>
      <c r="R4315" s="112" t="n">
        <v>1177.78</v>
      </c>
      <c r="S4315" s="112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D4316" t="inlineStr"/>
      <c r="E4316" t="inlineStr">
        <is>
          <t>LA</t>
        </is>
      </c>
      <c r="F4316" t="inlineStr"/>
      <c r="G4316" t="inlineStr"/>
      <c r="H4316" s="125" t="n">
        <v>46128</v>
      </c>
      <c r="I4316" t="inlineStr"/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N4316" t="inlineStr"/>
      <c r="O4316" t="inlineStr"/>
      <c r="P4316" t="inlineStr"/>
      <c r="Q4316" s="112" t="n">
        <v>0</v>
      </c>
      <c r="R4316" s="112" t="n">
        <v>534.59</v>
      </c>
      <c r="S4316" s="112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D4317" t="inlineStr"/>
      <c r="E4317" t="inlineStr">
        <is>
          <t>LA</t>
        </is>
      </c>
      <c r="F4317" t="inlineStr"/>
      <c r="G4317" t="inlineStr"/>
      <c r="H4317" s="125" t="n">
        <v>46135</v>
      </c>
      <c r="I4317" t="inlineStr"/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N4317" t="inlineStr"/>
      <c r="O4317" t="inlineStr"/>
      <c r="P4317" t="inlineStr"/>
      <c r="Q4317" s="112" t="n">
        <v>0</v>
      </c>
      <c r="R4317" s="112" t="n">
        <v>588.74</v>
      </c>
      <c r="S4317" s="112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D4318" t="inlineStr"/>
      <c r="E4318" t="inlineStr">
        <is>
          <t>LA</t>
        </is>
      </c>
      <c r="F4318" t="inlineStr"/>
      <c r="G4318" t="inlineStr"/>
      <c r="H4318" s="125" t="n">
        <v>46135</v>
      </c>
      <c r="I4318" t="inlineStr"/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N4318" t="inlineStr"/>
      <c r="O4318" t="inlineStr"/>
      <c r="P4318" t="inlineStr"/>
      <c r="Q4318" s="112" t="n">
        <v>0</v>
      </c>
      <c r="R4318" s="112" t="n">
        <v>588.74</v>
      </c>
      <c r="S4318" s="112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D4319" t="inlineStr"/>
      <c r="E4319" t="inlineStr">
        <is>
          <t>LA</t>
        </is>
      </c>
      <c r="F4319" t="inlineStr"/>
      <c r="G4319" t="inlineStr"/>
      <c r="H4319" s="125" t="n">
        <v>46135</v>
      </c>
      <c r="I4319" t="inlineStr"/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N4319" t="inlineStr"/>
      <c r="O4319" t="inlineStr"/>
      <c r="P4319" t="inlineStr"/>
      <c r="Q4319" s="112" t="n">
        <v>0</v>
      </c>
      <c r="R4319" s="112" t="n">
        <v>588.74</v>
      </c>
      <c r="S4319" s="112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D4320" t="inlineStr"/>
      <c r="E4320" t="inlineStr">
        <is>
          <t>LA</t>
        </is>
      </c>
      <c r="F4320" t="inlineStr"/>
      <c r="G4320" t="inlineStr"/>
      <c r="H4320" s="125" t="n">
        <v>46135</v>
      </c>
      <c r="I4320" t="inlineStr"/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N4320" t="inlineStr"/>
      <c r="O4320" t="inlineStr"/>
      <c r="P4320" t="inlineStr"/>
      <c r="Q4320" s="112" t="n">
        <v>0</v>
      </c>
      <c r="R4320" s="112" t="n">
        <v>588.74</v>
      </c>
      <c r="S4320" s="112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D4321" t="inlineStr"/>
      <c r="E4321" t="inlineStr">
        <is>
          <t>LA</t>
        </is>
      </c>
      <c r="F4321" t="inlineStr"/>
      <c r="G4321" t="inlineStr"/>
      <c r="H4321" s="125" t="n">
        <v>46100</v>
      </c>
      <c r="I4321" t="inlineStr"/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N4321" t="inlineStr"/>
      <c r="O4321" t="inlineStr"/>
      <c r="P4321" t="inlineStr"/>
      <c r="Q4321" s="112" t="n">
        <v>0</v>
      </c>
      <c r="R4321" s="112" t="n">
        <v>390.14</v>
      </c>
      <c r="S4321" s="112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D4322" t="inlineStr"/>
      <c r="E4322" t="inlineStr">
        <is>
          <t>LA</t>
        </is>
      </c>
      <c r="F4322" t="inlineStr"/>
      <c r="G4322" t="inlineStr"/>
      <c r="H4322" s="125" t="n">
        <v>46114</v>
      </c>
      <c r="I4322" t="inlineStr"/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N4322" t="inlineStr"/>
      <c r="O4322" t="inlineStr"/>
      <c r="P4322" t="inlineStr"/>
      <c r="Q4322" s="112" t="n">
        <v>0</v>
      </c>
      <c r="R4322" s="112" t="n">
        <v>1023.98</v>
      </c>
      <c r="S4322" s="112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D4323" t="inlineStr"/>
      <c r="E4323" t="inlineStr">
        <is>
          <t>LA</t>
        </is>
      </c>
      <c r="F4323" t="inlineStr"/>
      <c r="G4323" t="inlineStr"/>
      <c r="H4323" s="125" t="n">
        <v>46150</v>
      </c>
      <c r="I4323" t="inlineStr"/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N4323" t="inlineStr"/>
      <c r="O4323" t="inlineStr"/>
      <c r="P4323" t="inlineStr"/>
      <c r="Q4323" s="112" t="n">
        <v>0</v>
      </c>
      <c r="R4323" s="112" t="n">
        <v>-780.3099999999999</v>
      </c>
      <c r="S4323" s="112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D4324" t="inlineStr"/>
      <c r="E4324" t="inlineStr">
        <is>
          <t>LA</t>
        </is>
      </c>
      <c r="F4324" t="inlineStr"/>
      <c r="G4324" t="inlineStr"/>
      <c r="H4324" s="125" t="n">
        <v>46121</v>
      </c>
      <c r="I4324" t="inlineStr"/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N4324" t="inlineStr"/>
      <c r="O4324" t="inlineStr"/>
      <c r="P4324" t="inlineStr"/>
      <c r="Q4324" s="112" t="n">
        <v>0</v>
      </c>
      <c r="R4324" s="112" t="n">
        <v>390.16</v>
      </c>
      <c r="S4324" s="112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D4325" t="inlineStr"/>
      <c r="E4325" t="inlineStr">
        <is>
          <t>LA</t>
        </is>
      </c>
      <c r="F4325" t="inlineStr"/>
      <c r="G4325" s="126" t="inlineStr"/>
      <c r="H4325" s="125" t="n">
        <v>46121</v>
      </c>
      <c r="I4325" t="inlineStr"/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N4325" t="inlineStr"/>
      <c r="O4325" t="inlineStr"/>
      <c r="P4325" t="inlineStr"/>
      <c r="Q4325" s="112" t="n">
        <v>0</v>
      </c>
      <c r="R4325" s="112" t="n">
        <v>390.15</v>
      </c>
      <c r="S4325" s="112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D4326" t="inlineStr"/>
      <c r="E4326" t="inlineStr">
        <is>
          <t>ER</t>
        </is>
      </c>
      <c r="F4326" t="inlineStr"/>
      <c r="G4326" s="126" t="inlineStr"/>
      <c r="H4326" s="125" t="n">
        <v>46152</v>
      </c>
      <c r="I4326" t="inlineStr"/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N4326" t="inlineStr"/>
      <c r="O4326" t="inlineStr">
        <is>
          <t>RTL1084</t>
        </is>
      </c>
      <c r="P4326" t="inlineStr"/>
      <c r="Q4326" s="112" t="n">
        <v>0</v>
      </c>
      <c r="R4326" s="112" t="n">
        <v>330.46</v>
      </c>
      <c r="S4326" s="112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D4327" t="inlineStr"/>
      <c r="E4327" t="inlineStr">
        <is>
          <t>ER</t>
        </is>
      </c>
      <c r="F4327" t="inlineStr"/>
      <c r="G4327" s="126" t="inlineStr"/>
      <c r="H4327" s="125" t="n">
        <v>46152</v>
      </c>
      <c r="I4327" t="inlineStr"/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N4327" t="inlineStr"/>
      <c r="O4327" t="inlineStr">
        <is>
          <t>RTL1085</t>
        </is>
      </c>
      <c r="P4327" t="inlineStr"/>
      <c r="Q4327" s="112" t="n">
        <v>0</v>
      </c>
      <c r="R4327" s="112" t="n">
        <v>330.46</v>
      </c>
      <c r="S4327" s="112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D4328" t="inlineStr"/>
      <c r="E4328" t="inlineStr">
        <is>
          <t>ER</t>
        </is>
      </c>
      <c r="F4328" t="inlineStr"/>
      <c r="G4328" s="126" t="inlineStr"/>
      <c r="H4328" s="125" t="n">
        <v>46159</v>
      </c>
      <c r="I4328" t="inlineStr"/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N4328" t="inlineStr"/>
      <c r="O4328" t="inlineStr">
        <is>
          <t>RTL1082</t>
        </is>
      </c>
      <c r="P4328" t="inlineStr"/>
      <c r="Q4328" s="112" t="n">
        <v>0</v>
      </c>
      <c r="R4328" s="112" t="n">
        <v>65</v>
      </c>
      <c r="S4328" s="112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D4329" t="inlineStr"/>
      <c r="E4329" t="inlineStr">
        <is>
          <t>ER</t>
        </is>
      </c>
      <c r="F4329" t="inlineStr"/>
      <c r="G4329" s="126" t="inlineStr"/>
      <c r="H4329" s="125" t="n">
        <v>46159</v>
      </c>
      <c r="I4329" t="inlineStr"/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N4329" t="inlineStr"/>
      <c r="O4329" t="inlineStr">
        <is>
          <t>RTL1083</t>
        </is>
      </c>
      <c r="P4329" t="inlineStr"/>
      <c r="Q4329" s="112" t="n">
        <v>0</v>
      </c>
      <c r="R4329" s="112" t="n">
        <v>65</v>
      </c>
      <c r="S4329" s="112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D4330" t="inlineStr"/>
      <c r="E4330" t="inlineStr">
        <is>
          <t>ER</t>
        </is>
      </c>
      <c r="F4330" t="inlineStr"/>
      <c r="G4330" s="126" t="inlineStr"/>
      <c r="H4330" s="125" t="n">
        <v>46159</v>
      </c>
      <c r="I4330" t="inlineStr"/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N4330" t="inlineStr"/>
      <c r="O4330" t="inlineStr">
        <is>
          <t>RTL1084</t>
        </is>
      </c>
      <c r="P4330" t="inlineStr"/>
      <c r="Q4330" s="112" t="n">
        <v>0</v>
      </c>
      <c r="R4330" s="112" t="n">
        <v>330.46</v>
      </c>
      <c r="S4330" s="112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D4331" t="inlineStr"/>
      <c r="E4331" t="inlineStr">
        <is>
          <t>ER</t>
        </is>
      </c>
      <c r="F4331" t="inlineStr"/>
      <c r="G4331" s="126" t="inlineStr"/>
      <c r="H4331" s="125" t="n">
        <v>46159</v>
      </c>
      <c r="I4331" t="inlineStr"/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N4331" t="inlineStr"/>
      <c r="O4331" t="inlineStr">
        <is>
          <t>RTL1085</t>
        </is>
      </c>
      <c r="P4331" t="inlineStr"/>
      <c r="Q4331" s="112" t="n">
        <v>0</v>
      </c>
      <c r="R4331" s="112" t="n">
        <v>330.46</v>
      </c>
      <c r="S4331" s="112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D4332" t="inlineStr"/>
      <c r="E4332" t="inlineStr">
        <is>
          <t>ER</t>
        </is>
      </c>
      <c r="F4332" t="inlineStr"/>
      <c r="G4332" s="126" t="inlineStr"/>
      <c r="H4332" s="125" t="n">
        <v>46166</v>
      </c>
      <c r="I4332" t="inlineStr"/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N4332" t="inlineStr"/>
      <c r="O4332" t="inlineStr">
        <is>
          <t>RTL1082</t>
        </is>
      </c>
      <c r="P4332" t="inlineStr"/>
      <c r="Q4332" s="112" t="n">
        <v>0</v>
      </c>
      <c r="R4332" s="112" t="n">
        <v>65</v>
      </c>
      <c r="S4332" s="112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D4333" t="inlineStr"/>
      <c r="E4333" t="inlineStr">
        <is>
          <t>ER</t>
        </is>
      </c>
      <c r="F4333" t="inlineStr"/>
      <c r="G4333" s="126" t="inlineStr"/>
      <c r="H4333" s="125" t="n">
        <v>46166</v>
      </c>
      <c r="I4333" t="inlineStr"/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N4333" t="inlineStr"/>
      <c r="O4333" t="inlineStr">
        <is>
          <t>RTL1083</t>
        </is>
      </c>
      <c r="P4333" t="inlineStr"/>
      <c r="Q4333" s="112" t="n">
        <v>0</v>
      </c>
      <c r="R4333" s="112" t="n">
        <v>65</v>
      </c>
      <c r="S4333" s="112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D4334" t="inlineStr"/>
      <c r="E4334" t="inlineStr">
        <is>
          <t>ER</t>
        </is>
      </c>
      <c r="F4334" t="inlineStr"/>
      <c r="G4334" s="126" t="inlineStr"/>
      <c r="H4334" s="125" t="n">
        <v>46166</v>
      </c>
      <c r="I4334" t="inlineStr"/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N4334" t="inlineStr"/>
      <c r="O4334" t="inlineStr">
        <is>
          <t>RTL1084</t>
        </is>
      </c>
      <c r="P4334" t="inlineStr"/>
      <c r="Q4334" s="112" t="n">
        <v>0</v>
      </c>
      <c r="R4334" s="112" t="n">
        <v>330.46</v>
      </c>
      <c r="S4334" s="112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D4335" t="inlineStr"/>
      <c r="E4335" t="inlineStr">
        <is>
          <t>ER</t>
        </is>
      </c>
      <c r="F4335" t="inlineStr"/>
      <c r="G4335" s="126" t="inlineStr"/>
      <c r="H4335" s="125" t="n">
        <v>46166</v>
      </c>
      <c r="I4335" t="inlineStr"/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N4335" t="inlineStr"/>
      <c r="O4335" t="inlineStr">
        <is>
          <t>RTL1085</t>
        </is>
      </c>
      <c r="P4335" t="inlineStr"/>
      <c r="Q4335" s="112" t="n">
        <v>0</v>
      </c>
      <c r="R4335" s="112" t="n">
        <v>330.46</v>
      </c>
      <c r="S4335" s="112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D4336" t="inlineStr"/>
      <c r="E4336" t="inlineStr">
        <is>
          <t>ER</t>
        </is>
      </c>
      <c r="F4336" t="inlineStr"/>
      <c r="G4336" s="126" t="inlineStr"/>
      <c r="H4336" s="125" t="n">
        <v>46152</v>
      </c>
      <c r="I4336" t="inlineStr"/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N4336" t="inlineStr"/>
      <c r="O4336" t="inlineStr">
        <is>
          <t>RTL1082</t>
        </is>
      </c>
      <c r="P4336" t="inlineStr"/>
      <c r="Q4336" s="112" t="n">
        <v>0</v>
      </c>
      <c r="R4336" s="112" t="n">
        <v>65</v>
      </c>
      <c r="S4336" s="112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D4337" t="inlineStr"/>
      <c r="E4337" t="inlineStr">
        <is>
          <t>ER</t>
        </is>
      </c>
      <c r="F4337" t="inlineStr"/>
      <c r="G4337" s="126" t="inlineStr"/>
      <c r="H4337" s="125" t="n">
        <v>46152</v>
      </c>
      <c r="I4337" t="inlineStr"/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N4337" t="inlineStr"/>
      <c r="O4337" t="inlineStr">
        <is>
          <t>RTL1083</t>
        </is>
      </c>
      <c r="P4337" t="inlineStr"/>
      <c r="Q4337" s="112" t="n">
        <v>0</v>
      </c>
      <c r="R4337" s="112" t="n">
        <v>65</v>
      </c>
      <c r="S4337" s="112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D4338" t="inlineStr"/>
      <c r="E4338" t="inlineStr">
        <is>
          <t>LA</t>
        </is>
      </c>
      <c r="F4338" t="inlineStr"/>
      <c r="G4338" s="126" t="inlineStr"/>
      <c r="H4338" s="125" t="n">
        <v>46093</v>
      </c>
      <c r="I4338" t="inlineStr"/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N4338" t="inlineStr"/>
      <c r="O4338" t="inlineStr"/>
      <c r="P4338" t="inlineStr"/>
      <c r="Q4338" s="112" t="n">
        <v>0</v>
      </c>
      <c r="R4338" s="112" t="n">
        <v>889.77</v>
      </c>
      <c r="S4338" s="112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D4339" t="inlineStr"/>
      <c r="E4339" t="inlineStr">
        <is>
          <t>LA</t>
        </is>
      </c>
      <c r="F4339" t="inlineStr"/>
      <c r="G4339" s="126" t="inlineStr"/>
      <c r="H4339" s="125" t="n">
        <v>46093</v>
      </c>
      <c r="I4339" t="inlineStr"/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N4339" t="inlineStr"/>
      <c r="O4339" t="inlineStr"/>
      <c r="P4339" t="inlineStr"/>
      <c r="Q4339" s="112" t="n">
        <v>0</v>
      </c>
      <c r="R4339" s="112" t="n">
        <v>2401.44</v>
      </c>
      <c r="S4339" s="112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D4340" t="inlineStr"/>
      <c r="E4340" t="inlineStr">
        <is>
          <t>LA</t>
        </is>
      </c>
      <c r="F4340" t="inlineStr"/>
      <c r="G4340" s="126" t="inlineStr"/>
      <c r="H4340" s="125" t="n">
        <v>46150</v>
      </c>
      <c r="I4340" t="inlineStr"/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N4340" t="inlineStr"/>
      <c r="O4340" t="inlineStr"/>
      <c r="P4340" t="inlineStr"/>
      <c r="Q4340" s="112" t="n">
        <v>0</v>
      </c>
      <c r="R4340" s="112" t="n">
        <v>-3291.21</v>
      </c>
      <c r="S4340" s="112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D4341" t="inlineStr"/>
      <c r="E4341" t="inlineStr">
        <is>
          <t>ER</t>
        </is>
      </c>
      <c r="F4341" t="inlineStr"/>
      <c r="G4341" s="126" t="inlineStr"/>
      <c r="H4341" s="125" t="n">
        <v>46152</v>
      </c>
      <c r="I4341" t="inlineStr"/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N4341" t="inlineStr"/>
      <c r="O4341" t="inlineStr">
        <is>
          <t>RTL1085</t>
        </is>
      </c>
      <c r="P4341" t="inlineStr"/>
      <c r="Q4341" s="112" t="n">
        <v>0</v>
      </c>
      <c r="R4341" s="112" t="n">
        <v>330.46</v>
      </c>
      <c r="S4341" s="112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D4342" t="inlineStr"/>
      <c r="E4342" t="inlineStr">
        <is>
          <t>ER</t>
        </is>
      </c>
      <c r="F4342" t="inlineStr"/>
      <c r="G4342" s="126" t="inlineStr"/>
      <c r="H4342" s="125" t="n">
        <v>46152</v>
      </c>
      <c r="I4342" t="inlineStr"/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N4342" t="inlineStr"/>
      <c r="O4342" t="inlineStr">
        <is>
          <t>RTL1082</t>
        </is>
      </c>
      <c r="P4342" t="inlineStr"/>
      <c r="Q4342" s="112" t="n">
        <v>0</v>
      </c>
      <c r="R4342" s="112" t="n">
        <v>65</v>
      </c>
      <c r="S4342" s="112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D4343" t="inlineStr"/>
      <c r="E4343" t="inlineStr">
        <is>
          <t>ER</t>
        </is>
      </c>
      <c r="F4343" t="inlineStr"/>
      <c r="G4343" s="126" t="inlineStr"/>
      <c r="H4343" s="125" t="n">
        <v>46152</v>
      </c>
      <c r="I4343" t="inlineStr"/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N4343" t="inlineStr"/>
      <c r="O4343" t="inlineStr">
        <is>
          <t>RTL1083</t>
        </is>
      </c>
      <c r="P4343" t="inlineStr"/>
      <c r="Q4343" s="112" t="n">
        <v>0</v>
      </c>
      <c r="R4343" s="112" t="n">
        <v>65</v>
      </c>
      <c r="S4343" s="112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D4344" t="inlineStr"/>
      <c r="E4344" t="inlineStr">
        <is>
          <t>ER</t>
        </is>
      </c>
      <c r="F4344" t="inlineStr"/>
      <c r="G4344" s="126" t="inlineStr"/>
      <c r="H4344" s="125" t="n">
        <v>46152</v>
      </c>
      <c r="I4344" t="inlineStr"/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N4344" t="inlineStr"/>
      <c r="O4344" t="inlineStr">
        <is>
          <t>RTL1084</t>
        </is>
      </c>
      <c r="P4344" t="inlineStr"/>
      <c r="Q4344" s="112" t="n">
        <v>0</v>
      </c>
      <c r="R4344" s="112" t="n">
        <v>330.46</v>
      </c>
      <c r="S4344" s="112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26" t="n">
        <v>46154</v>
      </c>
      <c r="H4345" s="125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12" t="n">
        <v>0</v>
      </c>
      <c r="R4345" s="112" t="n">
        <v>0</v>
      </c>
      <c r="S4345" s="112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26" t="n">
        <v>46154</v>
      </c>
      <c r="H4346" s="125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12" t="n">
        <v>0</v>
      </c>
      <c r="R4346" s="112" t="n">
        <v>0</v>
      </c>
      <c r="S4346" s="112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26" t="n">
        <v>46154</v>
      </c>
      <c r="H4347" s="125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12" t="n">
        <v>0</v>
      </c>
      <c r="R4347" s="112" t="n">
        <v>0</v>
      </c>
      <c r="S4347" s="112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26" t="n">
        <v>46154</v>
      </c>
      <c r="H4348" s="125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12" t="n">
        <v>0</v>
      </c>
      <c r="R4348" s="112" t="n">
        <v>0</v>
      </c>
      <c r="S4348" s="112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26" t="n">
        <v>46154</v>
      </c>
      <c r="H4349" s="125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12" t="n">
        <v>0</v>
      </c>
      <c r="R4349" s="112" t="n">
        <v>0</v>
      </c>
      <c r="S4349" s="112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26" t="n">
        <v>46154</v>
      </c>
      <c r="H4350" s="125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12" t="n">
        <v>0</v>
      </c>
      <c r="R4350" s="112" t="n">
        <v>0</v>
      </c>
      <c r="S4350" s="112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26" t="n">
        <v>46154</v>
      </c>
      <c r="H4351" s="125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12" t="n">
        <v>0</v>
      </c>
      <c r="R4351" s="112" t="n">
        <v>0</v>
      </c>
      <c r="S4351" s="112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26" t="n">
        <v>46154</v>
      </c>
      <c r="H4352" s="125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12" t="n">
        <v>0</v>
      </c>
      <c r="R4352" s="112" t="n">
        <v>0</v>
      </c>
      <c r="S4352" s="112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26" t="n">
        <v>46154</v>
      </c>
      <c r="H4353" s="125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12" t="n">
        <v>0</v>
      </c>
      <c r="R4353" s="112" t="n">
        <v>0</v>
      </c>
      <c r="S4353" s="112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26" t="n">
        <v>46154</v>
      </c>
      <c r="H4354" s="125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12" t="n">
        <v>0</v>
      </c>
      <c r="R4354" s="112" t="n">
        <v>0</v>
      </c>
      <c r="S4354" s="112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26" t="n">
        <v>46154</v>
      </c>
      <c r="H4355" s="125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12" t="n">
        <v>0</v>
      </c>
      <c r="R4355" s="112" t="n">
        <v>0</v>
      </c>
      <c r="S4355" s="112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26" t="n">
        <v>46154</v>
      </c>
      <c r="H4356" s="125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12" t="n">
        <v>0</v>
      </c>
      <c r="R4356" s="112" t="n">
        <v>0</v>
      </c>
      <c r="S4356" s="112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26" t="n">
        <v>46154</v>
      </c>
      <c r="H4357" s="125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12" t="n">
        <v>0</v>
      </c>
      <c r="R4357" s="112" t="n">
        <v>0</v>
      </c>
      <c r="S4357" s="112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25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12" t="n">
        <v>54063.48</v>
      </c>
      <c r="R4358" s="112" t="n">
        <v>0</v>
      </c>
      <c r="S4358" s="112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25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12" t="n">
        <v>-304.7</v>
      </c>
      <c r="R4359" s="112" t="n">
        <v>0</v>
      </c>
      <c r="S4359" s="112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25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12" t="n">
        <v>0</v>
      </c>
      <c r="R4360" s="112" t="n">
        <v>0</v>
      </c>
      <c r="S4360" s="112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25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12" t="n">
        <v>0</v>
      </c>
      <c r="R4361" s="112" t="n">
        <v>0</v>
      </c>
      <c r="S4361" s="112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25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12" t="n">
        <v>0</v>
      </c>
      <c r="R4362" s="112" t="n">
        <v>0</v>
      </c>
      <c r="S4362" s="112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D4363" t="inlineStr"/>
      <c r="E4363" t="inlineStr">
        <is>
          <t>OC</t>
        </is>
      </c>
      <c r="F4363" t="inlineStr"/>
      <c r="G4363" t="inlineStr"/>
      <c r="H4363" s="125" t="n">
        <v>46153</v>
      </c>
      <c r="I4363" t="inlineStr"/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N4363" t="inlineStr"/>
      <c r="O4363" t="inlineStr">
        <is>
          <t>19386</t>
        </is>
      </c>
      <c r="P4363" t="inlineStr">
        <is>
          <t>TDS RENTALS &amp; LEASING, LLC</t>
        </is>
      </c>
      <c r="Q4363" s="112" t="n">
        <v>0</v>
      </c>
      <c r="R4363" s="112" t="n">
        <v>274.5</v>
      </c>
      <c r="S4363" s="112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D4364" t="inlineStr"/>
      <c r="E4364" t="inlineStr">
        <is>
          <t>ER</t>
        </is>
      </c>
      <c r="F4364" t="inlineStr"/>
      <c r="G4364" t="inlineStr"/>
      <c r="H4364" s="125" t="n">
        <v>46166</v>
      </c>
      <c r="I4364" t="inlineStr"/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N4364" t="inlineStr"/>
      <c r="O4364" t="inlineStr">
        <is>
          <t>RTL1085</t>
        </is>
      </c>
      <c r="P4364" t="inlineStr"/>
      <c r="Q4364" s="112" t="n">
        <v>0</v>
      </c>
      <c r="R4364" s="112" t="n">
        <v>330.46</v>
      </c>
      <c r="S4364" s="112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D4365" t="inlineStr"/>
      <c r="E4365" t="inlineStr">
        <is>
          <t>ER</t>
        </is>
      </c>
      <c r="F4365" t="inlineStr"/>
      <c r="G4365" t="inlineStr"/>
      <c r="H4365" s="125" t="n">
        <v>46152</v>
      </c>
      <c r="I4365" t="inlineStr"/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N4365" t="inlineStr"/>
      <c r="O4365" t="inlineStr">
        <is>
          <t>RTL1082</t>
        </is>
      </c>
      <c r="P4365" t="inlineStr"/>
      <c r="Q4365" s="112" t="n">
        <v>0</v>
      </c>
      <c r="R4365" s="112" t="n">
        <v>65</v>
      </c>
      <c r="S4365" s="112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D4366" t="inlineStr"/>
      <c r="E4366" t="inlineStr">
        <is>
          <t>ER</t>
        </is>
      </c>
      <c r="F4366" t="inlineStr"/>
      <c r="G4366" t="inlineStr"/>
      <c r="H4366" s="125" t="n">
        <v>46152</v>
      </c>
      <c r="I4366" t="inlineStr"/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N4366" t="inlineStr"/>
      <c r="O4366" t="inlineStr">
        <is>
          <t>RTL1082</t>
        </is>
      </c>
      <c r="P4366" t="inlineStr"/>
      <c r="Q4366" s="112" t="n">
        <v>0</v>
      </c>
      <c r="R4366" s="112" t="n">
        <v>65</v>
      </c>
      <c r="S4366" s="112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D4367" t="inlineStr"/>
      <c r="E4367" t="inlineStr">
        <is>
          <t>ER</t>
        </is>
      </c>
      <c r="F4367" t="inlineStr"/>
      <c r="G4367" t="inlineStr"/>
      <c r="H4367" s="125" t="n">
        <v>46152</v>
      </c>
      <c r="I4367" t="inlineStr"/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N4367" t="inlineStr"/>
      <c r="O4367" t="inlineStr">
        <is>
          <t>RTL1082</t>
        </is>
      </c>
      <c r="P4367" t="inlineStr"/>
      <c r="Q4367" s="112" t="n">
        <v>0</v>
      </c>
      <c r="R4367" s="112" t="n">
        <v>65</v>
      </c>
      <c r="S4367" s="112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D4368" t="inlineStr"/>
      <c r="E4368" t="inlineStr">
        <is>
          <t>ER</t>
        </is>
      </c>
      <c r="F4368" t="inlineStr"/>
      <c r="G4368" t="inlineStr"/>
      <c r="H4368" s="125" t="n">
        <v>46152</v>
      </c>
      <c r="I4368" t="inlineStr"/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N4368" t="inlineStr"/>
      <c r="O4368" t="inlineStr">
        <is>
          <t>RTL1082</t>
        </is>
      </c>
      <c r="P4368" t="inlineStr"/>
      <c r="Q4368" s="112" t="n">
        <v>0</v>
      </c>
      <c r="R4368" s="112" t="n">
        <v>65</v>
      </c>
      <c r="S4368" s="112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D4369" t="inlineStr"/>
      <c r="E4369" t="inlineStr">
        <is>
          <t>ER</t>
        </is>
      </c>
      <c r="F4369" t="inlineStr"/>
      <c r="G4369" t="inlineStr"/>
      <c r="H4369" s="125" t="n">
        <v>46152</v>
      </c>
      <c r="I4369" t="inlineStr"/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N4369" t="inlineStr"/>
      <c r="O4369" t="inlineStr">
        <is>
          <t>RTL1083</t>
        </is>
      </c>
      <c r="P4369" t="inlineStr"/>
      <c r="Q4369" s="112" t="n">
        <v>0</v>
      </c>
      <c r="R4369" s="112" t="n">
        <v>65</v>
      </c>
      <c r="S4369" s="112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D4370" t="inlineStr"/>
      <c r="E4370" t="inlineStr">
        <is>
          <t>ER</t>
        </is>
      </c>
      <c r="F4370" t="inlineStr"/>
      <c r="G4370" t="inlineStr"/>
      <c r="H4370" s="125" t="n">
        <v>46152</v>
      </c>
      <c r="I4370" t="inlineStr"/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N4370" t="inlineStr"/>
      <c r="O4370" t="inlineStr">
        <is>
          <t>RTL1083</t>
        </is>
      </c>
      <c r="P4370" t="inlineStr"/>
      <c r="Q4370" s="112" t="n">
        <v>0</v>
      </c>
      <c r="R4370" s="112" t="n">
        <v>65</v>
      </c>
      <c r="S4370" s="112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D4371" t="inlineStr"/>
      <c r="E4371" t="inlineStr">
        <is>
          <t>ER</t>
        </is>
      </c>
      <c r="F4371" t="inlineStr"/>
      <c r="G4371" t="inlineStr"/>
      <c r="H4371" s="125" t="n">
        <v>46152</v>
      </c>
      <c r="I4371" t="inlineStr"/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N4371" t="inlineStr"/>
      <c r="O4371" t="inlineStr">
        <is>
          <t>RTL1083</t>
        </is>
      </c>
      <c r="P4371" t="inlineStr"/>
      <c r="Q4371" s="112" t="n">
        <v>0</v>
      </c>
      <c r="R4371" s="112" t="n">
        <v>65</v>
      </c>
      <c r="S4371" s="112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D4372" t="inlineStr"/>
      <c r="E4372" t="inlineStr">
        <is>
          <t>ER</t>
        </is>
      </c>
      <c r="F4372" t="inlineStr"/>
      <c r="G4372" t="inlineStr"/>
      <c r="H4372" s="125" t="n">
        <v>46152</v>
      </c>
      <c r="I4372" t="inlineStr"/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N4372" t="inlineStr"/>
      <c r="O4372" t="inlineStr">
        <is>
          <t>RTL1083</t>
        </is>
      </c>
      <c r="P4372" t="inlineStr"/>
      <c r="Q4372" s="112" t="n">
        <v>0</v>
      </c>
      <c r="R4372" s="112" t="n">
        <v>65</v>
      </c>
      <c r="S4372" s="112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D4373" t="inlineStr"/>
      <c r="E4373" t="inlineStr">
        <is>
          <t>ER</t>
        </is>
      </c>
      <c r="F4373" t="inlineStr"/>
      <c r="G4373" t="inlineStr"/>
      <c r="H4373" s="125" t="n">
        <v>46152</v>
      </c>
      <c r="I4373" t="inlineStr"/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N4373" t="inlineStr"/>
      <c r="O4373" t="inlineStr">
        <is>
          <t>RTL1084</t>
        </is>
      </c>
      <c r="P4373" t="inlineStr"/>
      <c r="Q4373" s="112" t="n">
        <v>0</v>
      </c>
      <c r="R4373" s="112" t="n">
        <v>330.46</v>
      </c>
      <c r="S4373" s="112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D4374" t="inlineStr"/>
      <c r="E4374" t="inlineStr">
        <is>
          <t>ER</t>
        </is>
      </c>
      <c r="F4374" t="inlineStr"/>
      <c r="G4374" t="inlineStr"/>
      <c r="H4374" s="125" t="n">
        <v>46152</v>
      </c>
      <c r="I4374" t="inlineStr"/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N4374" t="inlineStr"/>
      <c r="O4374" t="inlineStr">
        <is>
          <t>RTL1084</t>
        </is>
      </c>
      <c r="P4374" t="inlineStr"/>
      <c r="Q4374" s="112" t="n">
        <v>0</v>
      </c>
      <c r="R4374" s="112" t="n">
        <v>330.46</v>
      </c>
      <c r="S4374" s="112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D4375" t="inlineStr"/>
      <c r="E4375" t="inlineStr">
        <is>
          <t>ER</t>
        </is>
      </c>
      <c r="F4375" t="inlineStr"/>
      <c r="G4375" t="inlineStr"/>
      <c r="H4375" s="125" t="n">
        <v>46152</v>
      </c>
      <c r="I4375" t="inlineStr"/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N4375" t="inlineStr"/>
      <c r="O4375" t="inlineStr">
        <is>
          <t>RTL1084</t>
        </is>
      </c>
      <c r="P4375" t="inlineStr"/>
      <c r="Q4375" s="112" t="n">
        <v>0</v>
      </c>
      <c r="R4375" s="112" t="n">
        <v>330.46</v>
      </c>
      <c r="S4375" s="112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D4376" t="inlineStr"/>
      <c r="E4376" t="inlineStr">
        <is>
          <t>ER</t>
        </is>
      </c>
      <c r="F4376" t="inlineStr"/>
      <c r="G4376" t="inlineStr"/>
      <c r="H4376" s="125" t="n">
        <v>46152</v>
      </c>
      <c r="I4376" t="inlineStr"/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N4376" t="inlineStr"/>
      <c r="O4376" t="inlineStr">
        <is>
          <t>RTL1084</t>
        </is>
      </c>
      <c r="P4376" t="inlineStr"/>
      <c r="Q4376" s="112" t="n">
        <v>0</v>
      </c>
      <c r="R4376" s="112" t="n">
        <v>330.46</v>
      </c>
      <c r="S4376" s="112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D4377" t="inlineStr"/>
      <c r="E4377" t="inlineStr">
        <is>
          <t>ER</t>
        </is>
      </c>
      <c r="F4377" t="inlineStr"/>
      <c r="G4377" t="inlineStr"/>
      <c r="H4377" s="125" t="n">
        <v>46152</v>
      </c>
      <c r="I4377" t="inlineStr"/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N4377" t="inlineStr"/>
      <c r="O4377" t="inlineStr">
        <is>
          <t>RTL1085</t>
        </is>
      </c>
      <c r="P4377" t="inlineStr"/>
      <c r="Q4377" s="112" t="n">
        <v>0</v>
      </c>
      <c r="R4377" s="112" t="n">
        <v>330.46</v>
      </c>
      <c r="S4377" s="112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D4378" t="inlineStr"/>
      <c r="E4378" t="inlineStr">
        <is>
          <t>ER</t>
        </is>
      </c>
      <c r="F4378" t="inlineStr"/>
      <c r="G4378" t="inlineStr"/>
      <c r="H4378" s="125" t="n">
        <v>46152</v>
      </c>
      <c r="I4378" t="inlineStr"/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N4378" t="inlineStr"/>
      <c r="O4378" t="inlineStr">
        <is>
          <t>RTL1085</t>
        </is>
      </c>
      <c r="P4378" t="inlineStr"/>
      <c r="Q4378" s="112" t="n">
        <v>0</v>
      </c>
      <c r="R4378" s="112" t="n">
        <v>330.46</v>
      </c>
      <c r="S4378" s="112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D4379" t="inlineStr"/>
      <c r="E4379" t="inlineStr">
        <is>
          <t>ER</t>
        </is>
      </c>
      <c r="F4379" t="inlineStr"/>
      <c r="G4379" t="inlineStr"/>
      <c r="H4379" s="125" t="n">
        <v>46152</v>
      </c>
      <c r="I4379" t="inlineStr"/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N4379" t="inlineStr"/>
      <c r="O4379" t="inlineStr">
        <is>
          <t>RTL1085</t>
        </is>
      </c>
      <c r="P4379" t="inlineStr"/>
      <c r="Q4379" s="112" t="n">
        <v>0</v>
      </c>
      <c r="R4379" s="112" t="n">
        <v>330.46</v>
      </c>
      <c r="S4379" s="112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D4380" t="inlineStr"/>
      <c r="E4380" t="inlineStr">
        <is>
          <t>ER</t>
        </is>
      </c>
      <c r="F4380" t="inlineStr"/>
      <c r="G4380" t="inlineStr"/>
      <c r="H4380" s="125" t="n">
        <v>46152</v>
      </c>
      <c r="I4380" t="inlineStr"/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N4380" t="inlineStr"/>
      <c r="O4380" t="inlineStr">
        <is>
          <t>RTL1085</t>
        </is>
      </c>
      <c r="P4380" t="inlineStr"/>
      <c r="Q4380" s="112" t="n">
        <v>0</v>
      </c>
      <c r="R4380" s="112" t="n">
        <v>330.46</v>
      </c>
      <c r="S4380" s="112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D4381" t="inlineStr"/>
      <c r="E4381" t="inlineStr">
        <is>
          <t>ER</t>
        </is>
      </c>
      <c r="F4381" t="inlineStr"/>
      <c r="G4381" t="inlineStr"/>
      <c r="H4381" s="125" t="n">
        <v>46159</v>
      </c>
      <c r="I4381" t="inlineStr"/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N4381" t="inlineStr"/>
      <c r="O4381" t="inlineStr">
        <is>
          <t>RTL1082</t>
        </is>
      </c>
      <c r="P4381" t="inlineStr"/>
      <c r="Q4381" s="112" t="n">
        <v>0</v>
      </c>
      <c r="R4381" s="112" t="n">
        <v>65</v>
      </c>
      <c r="S4381" s="112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D4382" t="inlineStr"/>
      <c r="E4382" t="inlineStr">
        <is>
          <t>ER</t>
        </is>
      </c>
      <c r="F4382" t="inlineStr"/>
      <c r="G4382" t="inlineStr"/>
      <c r="H4382" s="125" t="n">
        <v>46159</v>
      </c>
      <c r="I4382" t="inlineStr"/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N4382" t="inlineStr"/>
      <c r="O4382" t="inlineStr">
        <is>
          <t>RTL1082</t>
        </is>
      </c>
      <c r="P4382" t="inlineStr"/>
      <c r="Q4382" s="112" t="n">
        <v>0</v>
      </c>
      <c r="R4382" s="112" t="n">
        <v>65</v>
      </c>
      <c r="S4382" s="112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D4383" t="inlineStr"/>
      <c r="E4383" t="inlineStr">
        <is>
          <t>ER</t>
        </is>
      </c>
      <c r="F4383" t="inlineStr"/>
      <c r="G4383" t="inlineStr"/>
      <c r="H4383" s="125" t="n">
        <v>46159</v>
      </c>
      <c r="I4383" t="inlineStr"/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N4383" t="inlineStr"/>
      <c r="O4383" t="inlineStr">
        <is>
          <t>RTL1082</t>
        </is>
      </c>
      <c r="P4383" t="inlineStr"/>
      <c r="Q4383" s="112" t="n">
        <v>0</v>
      </c>
      <c r="R4383" s="112" t="n">
        <v>65</v>
      </c>
      <c r="S4383" s="112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D4384" t="inlineStr"/>
      <c r="E4384" t="inlineStr">
        <is>
          <t>ER</t>
        </is>
      </c>
      <c r="F4384" t="inlineStr"/>
      <c r="G4384" t="inlineStr"/>
      <c r="H4384" s="125" t="n">
        <v>46159</v>
      </c>
      <c r="I4384" t="inlineStr"/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N4384" t="inlineStr"/>
      <c r="O4384" t="inlineStr">
        <is>
          <t>RTL1082</t>
        </is>
      </c>
      <c r="P4384" t="inlineStr"/>
      <c r="Q4384" s="112" t="n">
        <v>0</v>
      </c>
      <c r="R4384" s="112" t="n">
        <v>65</v>
      </c>
      <c r="S4384" s="112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D4385" t="inlineStr"/>
      <c r="E4385" t="inlineStr">
        <is>
          <t>ER</t>
        </is>
      </c>
      <c r="F4385" t="inlineStr"/>
      <c r="G4385" t="inlineStr"/>
      <c r="H4385" s="125" t="n">
        <v>46159</v>
      </c>
      <c r="I4385" t="inlineStr"/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N4385" t="inlineStr"/>
      <c r="O4385" t="inlineStr">
        <is>
          <t>RTL1082</t>
        </is>
      </c>
      <c r="P4385" t="inlineStr"/>
      <c r="Q4385" s="112" t="n">
        <v>0</v>
      </c>
      <c r="R4385" s="112" t="n">
        <v>65</v>
      </c>
      <c r="S4385" s="112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D4386" t="inlineStr"/>
      <c r="E4386" t="inlineStr">
        <is>
          <t>ER</t>
        </is>
      </c>
      <c r="F4386" t="inlineStr"/>
      <c r="G4386" t="inlineStr"/>
      <c r="H4386" s="125" t="n">
        <v>46159</v>
      </c>
      <c r="I4386" t="inlineStr"/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N4386" t="inlineStr"/>
      <c r="O4386" t="inlineStr">
        <is>
          <t>RTL1083</t>
        </is>
      </c>
      <c r="P4386" t="inlineStr"/>
      <c r="Q4386" s="112" t="n">
        <v>0</v>
      </c>
      <c r="R4386" s="112" t="n">
        <v>65</v>
      </c>
      <c r="S4386" s="112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D4387" t="inlineStr"/>
      <c r="E4387" t="inlineStr">
        <is>
          <t>ER</t>
        </is>
      </c>
      <c r="F4387" t="inlineStr"/>
      <c r="G4387" t="inlineStr"/>
      <c r="H4387" s="125" t="n">
        <v>46159</v>
      </c>
      <c r="I4387" t="inlineStr"/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N4387" t="inlineStr"/>
      <c r="O4387" t="inlineStr">
        <is>
          <t>RTL1083</t>
        </is>
      </c>
      <c r="P4387" t="inlineStr"/>
      <c r="Q4387" s="112" t="n">
        <v>0</v>
      </c>
      <c r="R4387" s="112" t="n">
        <v>65</v>
      </c>
      <c r="S4387" s="112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D4388" t="inlineStr"/>
      <c r="E4388" t="inlineStr">
        <is>
          <t>ER</t>
        </is>
      </c>
      <c r="F4388" t="inlineStr"/>
      <c r="G4388" t="inlineStr"/>
      <c r="H4388" s="125" t="n">
        <v>46159</v>
      </c>
      <c r="I4388" t="inlineStr"/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N4388" t="inlineStr"/>
      <c r="O4388" t="inlineStr">
        <is>
          <t>RTL1083</t>
        </is>
      </c>
      <c r="P4388" t="inlineStr"/>
      <c r="Q4388" s="112" t="n">
        <v>0</v>
      </c>
      <c r="R4388" s="112" t="n">
        <v>65</v>
      </c>
      <c r="S4388" s="112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D4389" t="inlineStr"/>
      <c r="E4389" t="inlineStr">
        <is>
          <t>ER</t>
        </is>
      </c>
      <c r="F4389" t="inlineStr"/>
      <c r="G4389" t="inlineStr"/>
      <c r="H4389" s="125" t="n">
        <v>46159</v>
      </c>
      <c r="I4389" t="inlineStr"/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N4389" t="inlineStr"/>
      <c r="O4389" t="inlineStr">
        <is>
          <t>RTL1083</t>
        </is>
      </c>
      <c r="P4389" t="inlineStr"/>
      <c r="Q4389" s="112" t="n">
        <v>0</v>
      </c>
      <c r="R4389" s="112" t="n">
        <v>65</v>
      </c>
      <c r="S4389" s="112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D4390" t="inlineStr"/>
      <c r="E4390" t="inlineStr">
        <is>
          <t>ER</t>
        </is>
      </c>
      <c r="F4390" t="inlineStr"/>
      <c r="G4390" t="inlineStr"/>
      <c r="H4390" s="125" t="n">
        <v>46159</v>
      </c>
      <c r="I4390" t="inlineStr"/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N4390" t="inlineStr"/>
      <c r="O4390" t="inlineStr">
        <is>
          <t>RTL1083</t>
        </is>
      </c>
      <c r="P4390" t="inlineStr"/>
      <c r="Q4390" s="112" t="n">
        <v>0</v>
      </c>
      <c r="R4390" s="112" t="n">
        <v>65</v>
      </c>
      <c r="S4390" s="112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D4391" t="inlineStr"/>
      <c r="E4391" t="inlineStr">
        <is>
          <t>ER</t>
        </is>
      </c>
      <c r="F4391" t="inlineStr"/>
      <c r="G4391" t="inlineStr"/>
      <c r="H4391" s="125" t="n">
        <v>46159</v>
      </c>
      <c r="I4391" t="inlineStr"/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N4391" t="inlineStr"/>
      <c r="O4391" t="inlineStr">
        <is>
          <t>RTL1084</t>
        </is>
      </c>
      <c r="P4391" t="inlineStr"/>
      <c r="Q4391" s="112" t="n">
        <v>0</v>
      </c>
      <c r="R4391" s="112" t="n">
        <v>330.46</v>
      </c>
      <c r="S4391" s="112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D4392" t="inlineStr"/>
      <c r="E4392" t="inlineStr">
        <is>
          <t>ER</t>
        </is>
      </c>
      <c r="F4392" t="inlineStr"/>
      <c r="G4392" t="inlineStr"/>
      <c r="H4392" s="125" t="n">
        <v>46159</v>
      </c>
      <c r="I4392" t="inlineStr"/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N4392" t="inlineStr"/>
      <c r="O4392" t="inlineStr">
        <is>
          <t>RTL1084</t>
        </is>
      </c>
      <c r="P4392" t="inlineStr"/>
      <c r="Q4392" s="112" t="n">
        <v>0</v>
      </c>
      <c r="R4392" s="112" t="n">
        <v>330.46</v>
      </c>
      <c r="S4392" s="112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D4393" t="inlineStr"/>
      <c r="E4393" t="inlineStr">
        <is>
          <t>ER</t>
        </is>
      </c>
      <c r="F4393" t="inlineStr"/>
      <c r="G4393" t="inlineStr"/>
      <c r="H4393" s="125" t="n">
        <v>46159</v>
      </c>
      <c r="I4393" t="inlineStr"/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N4393" t="inlineStr"/>
      <c r="O4393" t="inlineStr">
        <is>
          <t>RTL1084</t>
        </is>
      </c>
      <c r="P4393" t="inlineStr"/>
      <c r="Q4393" s="112" t="n">
        <v>0</v>
      </c>
      <c r="R4393" s="112" t="n">
        <v>330.46</v>
      </c>
      <c r="S4393" s="112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D4394" t="inlineStr"/>
      <c r="E4394" t="inlineStr">
        <is>
          <t>ER</t>
        </is>
      </c>
      <c r="F4394" t="inlineStr"/>
      <c r="G4394" t="inlineStr"/>
      <c r="H4394" s="125" t="n">
        <v>46159</v>
      </c>
      <c r="I4394" t="inlineStr"/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N4394" t="inlineStr"/>
      <c r="O4394" t="inlineStr">
        <is>
          <t>RTL1084</t>
        </is>
      </c>
      <c r="P4394" t="inlineStr"/>
      <c r="Q4394" s="112" t="n">
        <v>0</v>
      </c>
      <c r="R4394" s="112" t="n">
        <v>330.46</v>
      </c>
      <c r="S4394" s="112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D4395" t="inlineStr"/>
      <c r="E4395" t="inlineStr">
        <is>
          <t>ER</t>
        </is>
      </c>
      <c r="F4395" t="inlineStr"/>
      <c r="G4395" t="inlineStr"/>
      <c r="H4395" s="125" t="n">
        <v>46159</v>
      </c>
      <c r="I4395" t="inlineStr"/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N4395" t="inlineStr"/>
      <c r="O4395" t="inlineStr">
        <is>
          <t>RTL1084</t>
        </is>
      </c>
      <c r="P4395" t="inlineStr"/>
      <c r="Q4395" s="112" t="n">
        <v>0</v>
      </c>
      <c r="R4395" s="112" t="n">
        <v>330.46</v>
      </c>
      <c r="S4395" s="112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D4396" t="inlineStr"/>
      <c r="E4396" t="inlineStr">
        <is>
          <t>ER</t>
        </is>
      </c>
      <c r="F4396" t="inlineStr"/>
      <c r="G4396" t="inlineStr"/>
      <c r="H4396" s="125" t="n">
        <v>46159</v>
      </c>
      <c r="I4396" t="inlineStr"/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N4396" t="inlineStr"/>
      <c r="O4396" t="inlineStr">
        <is>
          <t>RTL1085</t>
        </is>
      </c>
      <c r="P4396" t="inlineStr"/>
      <c r="Q4396" s="112" t="n">
        <v>0</v>
      </c>
      <c r="R4396" s="112" t="n">
        <v>330.46</v>
      </c>
      <c r="S4396" s="112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D4397" t="inlineStr"/>
      <c r="E4397" t="inlineStr">
        <is>
          <t>ER</t>
        </is>
      </c>
      <c r="F4397" t="inlineStr"/>
      <c r="G4397" t="inlineStr"/>
      <c r="H4397" s="125" t="n">
        <v>46159</v>
      </c>
      <c r="I4397" t="inlineStr"/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N4397" t="inlineStr"/>
      <c r="O4397" t="inlineStr">
        <is>
          <t>RTL1085</t>
        </is>
      </c>
      <c r="P4397" t="inlineStr"/>
      <c r="Q4397" s="112" t="n">
        <v>0</v>
      </c>
      <c r="R4397" s="112" t="n">
        <v>330.46</v>
      </c>
      <c r="S4397" s="112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D4398" t="inlineStr"/>
      <c r="E4398" t="inlineStr">
        <is>
          <t>ER</t>
        </is>
      </c>
      <c r="F4398" t="inlineStr"/>
      <c r="G4398" t="inlineStr"/>
      <c r="H4398" s="125" t="n">
        <v>46159</v>
      </c>
      <c r="I4398" t="inlineStr"/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N4398" t="inlineStr"/>
      <c r="O4398" t="inlineStr">
        <is>
          <t>RTL1085</t>
        </is>
      </c>
      <c r="P4398" t="inlineStr"/>
      <c r="Q4398" s="112" t="n">
        <v>0</v>
      </c>
      <c r="R4398" s="112" t="n">
        <v>330.46</v>
      </c>
      <c r="S4398" s="112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D4399" t="inlineStr"/>
      <c r="E4399" t="inlineStr">
        <is>
          <t>ER</t>
        </is>
      </c>
      <c r="F4399" t="inlineStr"/>
      <c r="G4399" t="inlineStr"/>
      <c r="H4399" s="125" t="n">
        <v>46159</v>
      </c>
      <c r="I4399" t="inlineStr"/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N4399" t="inlineStr"/>
      <c r="O4399" t="inlineStr">
        <is>
          <t>RTL1085</t>
        </is>
      </c>
      <c r="P4399" t="inlineStr"/>
      <c r="Q4399" s="112" t="n">
        <v>0</v>
      </c>
      <c r="R4399" s="112" t="n">
        <v>330.46</v>
      </c>
      <c r="S4399" s="112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D4400" t="inlineStr"/>
      <c r="E4400" t="inlineStr">
        <is>
          <t>ER</t>
        </is>
      </c>
      <c r="F4400" t="inlineStr"/>
      <c r="G4400" t="inlineStr"/>
      <c r="H4400" s="125" t="n">
        <v>46159</v>
      </c>
      <c r="I4400" t="inlineStr"/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N4400" t="inlineStr"/>
      <c r="O4400" t="inlineStr">
        <is>
          <t>RTL1085</t>
        </is>
      </c>
      <c r="P4400" t="inlineStr"/>
      <c r="Q4400" s="112" t="n">
        <v>0</v>
      </c>
      <c r="R4400" s="112" t="n">
        <v>330.46</v>
      </c>
      <c r="S4400" s="112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D4401" t="inlineStr"/>
      <c r="E4401" t="inlineStr">
        <is>
          <t>ER</t>
        </is>
      </c>
      <c r="F4401" t="inlineStr"/>
      <c r="G4401" t="inlineStr"/>
      <c r="H4401" s="125" t="n">
        <v>46166</v>
      </c>
      <c r="I4401" t="inlineStr"/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N4401" t="inlineStr"/>
      <c r="O4401" t="inlineStr">
        <is>
          <t>RTL1082</t>
        </is>
      </c>
      <c r="P4401" t="inlineStr"/>
      <c r="Q4401" s="112" t="n">
        <v>0</v>
      </c>
      <c r="R4401" s="112" t="n">
        <v>65</v>
      </c>
      <c r="S4401" s="112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D4402" t="inlineStr"/>
      <c r="E4402" t="inlineStr">
        <is>
          <t>ER</t>
        </is>
      </c>
      <c r="F4402" t="inlineStr"/>
      <c r="G4402" t="inlineStr"/>
      <c r="H4402" s="125" t="n">
        <v>46166</v>
      </c>
      <c r="I4402" t="inlineStr"/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N4402" t="inlineStr"/>
      <c r="O4402" t="inlineStr">
        <is>
          <t>RTL1082</t>
        </is>
      </c>
      <c r="P4402" t="inlineStr"/>
      <c r="Q4402" s="112" t="n">
        <v>0</v>
      </c>
      <c r="R4402" s="112" t="n">
        <v>65</v>
      </c>
      <c r="S4402" s="112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D4403" t="inlineStr"/>
      <c r="E4403" t="inlineStr">
        <is>
          <t>ER</t>
        </is>
      </c>
      <c r="F4403" t="inlineStr"/>
      <c r="G4403" t="inlineStr"/>
      <c r="H4403" s="125" t="n">
        <v>46166</v>
      </c>
      <c r="I4403" t="inlineStr"/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N4403" t="inlineStr"/>
      <c r="O4403" t="inlineStr">
        <is>
          <t>RTL1082</t>
        </is>
      </c>
      <c r="P4403" t="inlineStr"/>
      <c r="Q4403" s="112" t="n">
        <v>0</v>
      </c>
      <c r="R4403" s="112" t="n">
        <v>65</v>
      </c>
      <c r="S4403" s="112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D4404" t="inlineStr"/>
      <c r="E4404" t="inlineStr">
        <is>
          <t>ER</t>
        </is>
      </c>
      <c r="F4404" t="inlineStr"/>
      <c r="G4404" t="inlineStr"/>
      <c r="H4404" s="125" t="n">
        <v>46166</v>
      </c>
      <c r="I4404" t="inlineStr"/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N4404" t="inlineStr"/>
      <c r="O4404" t="inlineStr">
        <is>
          <t>RTL1082</t>
        </is>
      </c>
      <c r="P4404" t="inlineStr"/>
      <c r="Q4404" s="112" t="n">
        <v>0</v>
      </c>
      <c r="R4404" s="112" t="n">
        <v>65</v>
      </c>
      <c r="S4404" s="112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D4405" t="inlineStr"/>
      <c r="E4405" t="inlineStr">
        <is>
          <t>ER</t>
        </is>
      </c>
      <c r="F4405" t="inlineStr"/>
      <c r="G4405" t="inlineStr"/>
      <c r="H4405" s="125" t="n">
        <v>46166</v>
      </c>
      <c r="I4405" t="inlineStr"/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N4405" t="inlineStr"/>
      <c r="O4405" t="inlineStr">
        <is>
          <t>RTL1082</t>
        </is>
      </c>
      <c r="P4405" t="inlineStr"/>
      <c r="Q4405" s="112" t="n">
        <v>0</v>
      </c>
      <c r="R4405" s="112" t="n">
        <v>65</v>
      </c>
      <c r="S4405" s="112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D4406" t="inlineStr"/>
      <c r="E4406" t="inlineStr">
        <is>
          <t>ER</t>
        </is>
      </c>
      <c r="F4406" t="inlineStr"/>
      <c r="G4406" t="inlineStr"/>
      <c r="H4406" s="125" t="n">
        <v>46166</v>
      </c>
      <c r="I4406" t="inlineStr"/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N4406" t="inlineStr"/>
      <c r="O4406" t="inlineStr">
        <is>
          <t>RTL1083</t>
        </is>
      </c>
      <c r="P4406" t="inlineStr"/>
      <c r="Q4406" s="112" t="n">
        <v>0</v>
      </c>
      <c r="R4406" s="112" t="n">
        <v>65</v>
      </c>
      <c r="S4406" s="112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D4407" t="inlineStr"/>
      <c r="E4407" t="inlineStr">
        <is>
          <t>ER</t>
        </is>
      </c>
      <c r="F4407" t="inlineStr"/>
      <c r="G4407" t="inlineStr"/>
      <c r="H4407" s="125" t="n">
        <v>46166</v>
      </c>
      <c r="I4407" t="inlineStr"/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N4407" t="inlineStr"/>
      <c r="O4407" t="inlineStr">
        <is>
          <t>RTL1083</t>
        </is>
      </c>
      <c r="P4407" t="inlineStr"/>
      <c r="Q4407" s="112" t="n">
        <v>0</v>
      </c>
      <c r="R4407" s="112" t="n">
        <v>65</v>
      </c>
      <c r="S4407" s="112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D4408" t="inlineStr"/>
      <c r="E4408" t="inlineStr">
        <is>
          <t>ER</t>
        </is>
      </c>
      <c r="F4408" t="inlineStr"/>
      <c r="G4408" t="inlineStr"/>
      <c r="H4408" s="125" t="n">
        <v>46166</v>
      </c>
      <c r="I4408" t="inlineStr"/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N4408" t="inlineStr"/>
      <c r="O4408" t="inlineStr">
        <is>
          <t>RTL1083</t>
        </is>
      </c>
      <c r="P4408" t="inlineStr"/>
      <c r="Q4408" s="112" t="n">
        <v>0</v>
      </c>
      <c r="R4408" s="112" t="n">
        <v>65</v>
      </c>
      <c r="S4408" s="112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D4409" t="inlineStr"/>
      <c r="E4409" t="inlineStr">
        <is>
          <t>ER</t>
        </is>
      </c>
      <c r="F4409" t="inlineStr"/>
      <c r="G4409" t="inlineStr"/>
      <c r="H4409" s="125" t="n">
        <v>46166</v>
      </c>
      <c r="I4409" t="inlineStr"/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N4409" t="inlineStr"/>
      <c r="O4409" t="inlineStr">
        <is>
          <t>RTL1083</t>
        </is>
      </c>
      <c r="P4409" t="inlineStr"/>
      <c r="Q4409" s="112" t="n">
        <v>0</v>
      </c>
      <c r="R4409" s="112" t="n">
        <v>65</v>
      </c>
      <c r="S4409" s="112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D4410" t="inlineStr"/>
      <c r="E4410" t="inlineStr">
        <is>
          <t>ER</t>
        </is>
      </c>
      <c r="F4410" t="inlineStr"/>
      <c r="G4410" t="inlineStr"/>
      <c r="H4410" s="125" t="n">
        <v>46166</v>
      </c>
      <c r="I4410" t="inlineStr"/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N4410" t="inlineStr"/>
      <c r="O4410" t="inlineStr">
        <is>
          <t>RTL1083</t>
        </is>
      </c>
      <c r="P4410" t="inlineStr"/>
      <c r="Q4410" s="112" t="n">
        <v>0</v>
      </c>
      <c r="R4410" s="112" t="n">
        <v>65</v>
      </c>
      <c r="S4410" s="112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D4411" t="inlineStr"/>
      <c r="E4411" t="inlineStr">
        <is>
          <t>ER</t>
        </is>
      </c>
      <c r="F4411" t="inlineStr"/>
      <c r="G4411" t="inlineStr"/>
      <c r="H4411" s="125" t="n">
        <v>46166</v>
      </c>
      <c r="I4411" t="inlineStr"/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N4411" t="inlineStr"/>
      <c r="O4411" t="inlineStr">
        <is>
          <t>RTL1084</t>
        </is>
      </c>
      <c r="P4411" t="inlineStr"/>
      <c r="Q4411" s="112" t="n">
        <v>0</v>
      </c>
      <c r="R4411" s="112" t="n">
        <v>330.46</v>
      </c>
      <c r="S4411" s="112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D4412" t="inlineStr"/>
      <c r="E4412" t="inlineStr">
        <is>
          <t>ER</t>
        </is>
      </c>
      <c r="F4412" t="inlineStr"/>
      <c r="G4412" t="inlineStr"/>
      <c r="H4412" s="125" t="n">
        <v>46166</v>
      </c>
      <c r="I4412" t="inlineStr"/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N4412" t="inlineStr"/>
      <c r="O4412" t="inlineStr">
        <is>
          <t>RTL1084</t>
        </is>
      </c>
      <c r="P4412" t="inlineStr"/>
      <c r="Q4412" s="112" t="n">
        <v>0</v>
      </c>
      <c r="R4412" s="112" t="n">
        <v>330.46</v>
      </c>
      <c r="S4412" s="112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D4413" t="inlineStr"/>
      <c r="E4413" t="inlineStr">
        <is>
          <t>ER</t>
        </is>
      </c>
      <c r="F4413" t="inlineStr"/>
      <c r="G4413" t="inlineStr"/>
      <c r="H4413" s="125" t="n">
        <v>46166</v>
      </c>
      <c r="I4413" t="inlineStr"/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N4413" t="inlineStr"/>
      <c r="O4413" t="inlineStr">
        <is>
          <t>RTL1084</t>
        </is>
      </c>
      <c r="P4413" t="inlineStr"/>
      <c r="Q4413" s="112" t="n">
        <v>0</v>
      </c>
      <c r="R4413" s="112" t="n">
        <v>330.46</v>
      </c>
      <c r="S4413" s="112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D4414" t="inlineStr"/>
      <c r="E4414" t="inlineStr">
        <is>
          <t>ER</t>
        </is>
      </c>
      <c r="F4414" t="inlineStr"/>
      <c r="G4414" t="inlineStr"/>
      <c r="H4414" s="125" t="n">
        <v>46166</v>
      </c>
      <c r="I4414" t="inlineStr"/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N4414" t="inlineStr"/>
      <c r="O4414" t="inlineStr">
        <is>
          <t>RTL1084</t>
        </is>
      </c>
      <c r="P4414" t="inlineStr"/>
      <c r="Q4414" s="112" t="n">
        <v>0</v>
      </c>
      <c r="R4414" s="112" t="n">
        <v>330.46</v>
      </c>
      <c r="S4414" s="112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D4415" t="inlineStr"/>
      <c r="E4415" t="inlineStr">
        <is>
          <t>ER</t>
        </is>
      </c>
      <c r="F4415" t="inlineStr"/>
      <c r="G4415" t="inlineStr"/>
      <c r="H4415" s="125" t="n">
        <v>46166</v>
      </c>
      <c r="I4415" t="inlineStr"/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N4415" t="inlineStr"/>
      <c r="O4415" t="inlineStr">
        <is>
          <t>RTL1084</t>
        </is>
      </c>
      <c r="P4415" t="inlineStr"/>
      <c r="Q4415" s="112" t="n">
        <v>0</v>
      </c>
      <c r="R4415" s="112" t="n">
        <v>330.46</v>
      </c>
      <c r="S4415" s="112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D4416" t="inlineStr"/>
      <c r="E4416" t="inlineStr">
        <is>
          <t>ER</t>
        </is>
      </c>
      <c r="F4416" t="inlineStr"/>
      <c r="G4416" t="inlineStr"/>
      <c r="H4416" s="125" t="n">
        <v>46166</v>
      </c>
      <c r="I4416" t="inlineStr"/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N4416" t="inlineStr"/>
      <c r="O4416" t="inlineStr">
        <is>
          <t>RTL1085</t>
        </is>
      </c>
      <c r="P4416" t="inlineStr"/>
      <c r="Q4416" s="112" t="n">
        <v>0</v>
      </c>
      <c r="R4416" s="112" t="n">
        <v>330.46</v>
      </c>
      <c r="S4416" s="112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D4417" t="inlineStr"/>
      <c r="E4417" t="inlineStr">
        <is>
          <t>ER</t>
        </is>
      </c>
      <c r="F4417" t="inlineStr"/>
      <c r="G4417" t="inlineStr"/>
      <c r="H4417" s="125" t="n">
        <v>46166</v>
      </c>
      <c r="I4417" t="inlineStr"/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N4417" t="inlineStr"/>
      <c r="O4417" t="inlineStr">
        <is>
          <t>RTL1085</t>
        </is>
      </c>
      <c r="P4417" t="inlineStr"/>
      <c r="Q4417" s="112" t="n">
        <v>0</v>
      </c>
      <c r="R4417" s="112" t="n">
        <v>330.46</v>
      </c>
      <c r="S4417" s="112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D4418" t="inlineStr"/>
      <c r="E4418" t="inlineStr">
        <is>
          <t>ER</t>
        </is>
      </c>
      <c r="F4418" t="inlineStr"/>
      <c r="G4418" t="inlineStr"/>
      <c r="H4418" s="125" t="n">
        <v>46166</v>
      </c>
      <c r="I4418" t="inlineStr"/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N4418" t="inlineStr"/>
      <c r="O4418" t="inlineStr">
        <is>
          <t>RTL1085</t>
        </is>
      </c>
      <c r="P4418" t="inlineStr"/>
      <c r="Q4418" s="112" t="n">
        <v>0</v>
      </c>
      <c r="R4418" s="112" t="n">
        <v>330.46</v>
      </c>
      <c r="S4418" s="112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D4419" t="inlineStr"/>
      <c r="E4419" t="inlineStr">
        <is>
          <t>ER</t>
        </is>
      </c>
      <c r="F4419" t="inlineStr"/>
      <c r="G4419" t="inlineStr"/>
      <c r="H4419" s="125" t="n">
        <v>46166</v>
      </c>
      <c r="I4419" t="inlineStr"/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N4419" t="inlineStr"/>
      <c r="O4419" t="inlineStr">
        <is>
          <t>RTL1085</t>
        </is>
      </c>
      <c r="P4419" t="inlineStr"/>
      <c r="Q4419" s="112" t="n">
        <v>0</v>
      </c>
      <c r="R4419" s="112" t="n">
        <v>330.46</v>
      </c>
      <c r="S4419" s="112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D4420" t="inlineStr"/>
      <c r="E4420" t="inlineStr">
        <is>
          <t>LA</t>
        </is>
      </c>
      <c r="F4420" t="inlineStr"/>
      <c r="G4420" t="inlineStr"/>
      <c r="H4420" s="125" t="n">
        <v>46135</v>
      </c>
      <c r="I4420" t="inlineStr"/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N4420" t="inlineStr"/>
      <c r="O4420" t="inlineStr"/>
      <c r="P4420" t="inlineStr"/>
      <c r="Q4420" s="112" t="n">
        <v>0</v>
      </c>
      <c r="R4420" s="112" t="n">
        <v>433.5</v>
      </c>
      <c r="S4420" s="112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D4421" t="inlineStr"/>
      <c r="E4421" t="inlineStr">
        <is>
          <t>LA</t>
        </is>
      </c>
      <c r="F4421" t="inlineStr"/>
      <c r="G4421" t="inlineStr"/>
      <c r="H4421" s="125" t="n">
        <v>46142</v>
      </c>
      <c r="I4421" t="inlineStr"/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N4421" t="inlineStr"/>
      <c r="O4421" t="inlineStr"/>
      <c r="P4421" t="inlineStr"/>
      <c r="Q4421" s="112" t="n">
        <v>0</v>
      </c>
      <c r="R4421" s="112" t="n">
        <v>640.41</v>
      </c>
      <c r="S4421" s="112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D4422" t="inlineStr"/>
      <c r="E4422" t="inlineStr">
        <is>
          <t>OC</t>
        </is>
      </c>
      <c r="F4422" t="inlineStr"/>
      <c r="G4422" t="inlineStr"/>
      <c r="H4422" s="125" t="n">
        <v>46064</v>
      </c>
      <c r="I4422" t="inlineStr"/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N4422" t="inlineStr"/>
      <c r="O4422" t="inlineStr"/>
      <c r="P4422" t="inlineStr"/>
      <c r="Q4422" s="112" t="n">
        <v>0</v>
      </c>
      <c r="R4422" s="112" t="n">
        <v>386.06</v>
      </c>
      <c r="S4422" s="112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D4423" t="inlineStr"/>
      <c r="E4423" t="inlineStr">
        <is>
          <t>OC</t>
        </is>
      </c>
      <c r="F4423" t="inlineStr"/>
      <c r="G4423" t="inlineStr"/>
      <c r="H4423" s="125" t="n">
        <v>46140</v>
      </c>
      <c r="I4423" t="inlineStr"/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N4423" t="inlineStr"/>
      <c r="O4423" t="inlineStr">
        <is>
          <t>2294</t>
        </is>
      </c>
      <c r="P4423" t="inlineStr"/>
      <c r="Q4423" s="112" t="n">
        <v>0</v>
      </c>
      <c r="R4423" s="112" t="n">
        <v>649.79</v>
      </c>
      <c r="S4423" s="112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25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12" t="n">
        <v>0</v>
      </c>
      <c r="R4424" s="112" t="n">
        <v>0</v>
      </c>
      <c r="S4424" s="112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25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12" t="n">
        <v>0</v>
      </c>
      <c r="R4425" s="112" t="n">
        <v>0</v>
      </c>
      <c r="S4425" s="112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D4426" t="inlineStr"/>
      <c r="E4426" t="inlineStr">
        <is>
          <t>EQ</t>
        </is>
      </c>
      <c r="F4426" t="inlineStr"/>
      <c r="G4426" t="inlineStr"/>
      <c r="H4426" s="125" t="n">
        <v>46166</v>
      </c>
      <c r="I4426" t="inlineStr"/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N4426" t="inlineStr"/>
      <c r="O4426" t="inlineStr">
        <is>
          <t>RT1447</t>
        </is>
      </c>
      <c r="P4426" t="inlineStr"/>
      <c r="Q4426" s="112" t="n">
        <v>0</v>
      </c>
      <c r="R4426" s="112" t="n">
        <v>79.14</v>
      </c>
      <c r="S4426" s="112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D4427" t="inlineStr"/>
      <c r="E4427" t="inlineStr">
        <is>
          <t>EQ</t>
        </is>
      </c>
      <c r="F4427" t="inlineStr"/>
      <c r="G4427" t="inlineStr"/>
      <c r="H4427" s="125" t="n">
        <v>46166</v>
      </c>
      <c r="I4427" t="inlineStr"/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N4427" t="inlineStr"/>
      <c r="O4427" t="inlineStr">
        <is>
          <t>RT1447</t>
        </is>
      </c>
      <c r="P4427" t="inlineStr"/>
      <c r="Q4427" s="112" t="n">
        <v>0</v>
      </c>
      <c r="R4427" s="112" t="n">
        <v>79.14</v>
      </c>
      <c r="S4427" s="112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D4428" t="inlineStr"/>
      <c r="E4428" t="inlineStr">
        <is>
          <t>ER</t>
        </is>
      </c>
      <c r="F4428" t="inlineStr"/>
      <c r="G4428" t="inlineStr"/>
      <c r="H4428" s="125" t="n">
        <v>46152</v>
      </c>
      <c r="I4428" t="inlineStr"/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N4428" t="inlineStr"/>
      <c r="O4428" t="inlineStr">
        <is>
          <t>RPK482</t>
        </is>
      </c>
      <c r="P4428" t="inlineStr"/>
      <c r="Q4428" s="112" t="n">
        <v>0</v>
      </c>
      <c r="R4428" s="112" t="n">
        <v>300</v>
      </c>
      <c r="S4428" s="112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D4429" t="inlineStr"/>
      <c r="E4429" t="inlineStr">
        <is>
          <t>ER</t>
        </is>
      </c>
      <c r="F4429" t="inlineStr"/>
      <c r="G4429" t="inlineStr"/>
      <c r="H4429" s="125" t="n">
        <v>46152</v>
      </c>
      <c r="I4429" t="inlineStr"/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N4429" t="inlineStr"/>
      <c r="O4429" t="inlineStr">
        <is>
          <t>RDZ318</t>
        </is>
      </c>
      <c r="P4429" t="inlineStr"/>
      <c r="Q4429" s="112" t="n">
        <v>0</v>
      </c>
      <c r="R4429" s="112" t="n">
        <v>778.74</v>
      </c>
      <c r="S4429" s="112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D4430" t="inlineStr"/>
      <c r="E4430" t="inlineStr">
        <is>
          <t>ER</t>
        </is>
      </c>
      <c r="F4430" t="inlineStr"/>
      <c r="G4430" t="inlineStr"/>
      <c r="H4430" s="125" t="n">
        <v>46166</v>
      </c>
      <c r="I4430" t="inlineStr"/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N4430" t="inlineStr"/>
      <c r="O4430" t="inlineStr">
        <is>
          <t>RPK500</t>
        </is>
      </c>
      <c r="P4430" t="inlineStr"/>
      <c r="Q4430" s="112" t="n">
        <v>0</v>
      </c>
      <c r="R4430" s="112" t="n">
        <v>340</v>
      </c>
      <c r="S4430" s="112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D4431" t="inlineStr"/>
      <c r="E4431" t="inlineStr">
        <is>
          <t>ER</t>
        </is>
      </c>
      <c r="F4431" t="inlineStr"/>
      <c r="G4431" t="inlineStr"/>
      <c r="H4431" s="125" t="n">
        <v>46166</v>
      </c>
      <c r="I4431" t="inlineStr"/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N4431" t="inlineStr"/>
      <c r="O4431" t="inlineStr">
        <is>
          <t>RPK500</t>
        </is>
      </c>
      <c r="P4431" t="inlineStr"/>
      <c r="Q4431" s="112" t="n">
        <v>0</v>
      </c>
      <c r="R4431" s="112" t="n">
        <v>340</v>
      </c>
      <c r="S4431" s="112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D4432" t="inlineStr"/>
      <c r="E4432" t="inlineStr">
        <is>
          <t>ER</t>
        </is>
      </c>
      <c r="F4432" t="inlineStr"/>
      <c r="G4432" t="inlineStr"/>
      <c r="H4432" s="125" t="n">
        <v>46166</v>
      </c>
      <c r="I4432" t="inlineStr"/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N4432" t="inlineStr"/>
      <c r="O4432" t="inlineStr">
        <is>
          <t>RPK500</t>
        </is>
      </c>
      <c r="P4432" t="inlineStr"/>
      <c r="Q4432" s="112" t="n">
        <v>0</v>
      </c>
      <c r="R4432" s="112" t="n">
        <v>340</v>
      </c>
      <c r="S4432" s="112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D4433" t="inlineStr"/>
      <c r="E4433" t="inlineStr">
        <is>
          <t>ER</t>
        </is>
      </c>
      <c r="F4433" t="inlineStr"/>
      <c r="G4433" t="inlineStr"/>
      <c r="H4433" s="125" t="n">
        <v>46166</v>
      </c>
      <c r="I4433" t="inlineStr"/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N4433" t="inlineStr"/>
      <c r="O4433" t="inlineStr">
        <is>
          <t>RPK500</t>
        </is>
      </c>
      <c r="P4433" t="inlineStr"/>
      <c r="Q4433" s="112" t="n">
        <v>0</v>
      </c>
      <c r="R4433" s="112" t="n">
        <v>340</v>
      </c>
      <c r="S4433" s="112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D4434" t="inlineStr"/>
      <c r="E4434" t="inlineStr">
        <is>
          <t>ER</t>
        </is>
      </c>
      <c r="F4434" t="inlineStr"/>
      <c r="G4434" t="inlineStr"/>
      <c r="H4434" s="125" t="n">
        <v>46166</v>
      </c>
      <c r="I4434" t="inlineStr"/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N4434" t="inlineStr"/>
      <c r="O4434" t="inlineStr">
        <is>
          <t>RPK500</t>
        </is>
      </c>
      <c r="P4434" t="inlineStr"/>
      <c r="Q4434" s="112" t="n">
        <v>0</v>
      </c>
      <c r="R4434" s="112" t="n">
        <v>340</v>
      </c>
      <c r="S4434" s="112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D4435" t="inlineStr"/>
      <c r="E4435" t="inlineStr">
        <is>
          <t>ER</t>
        </is>
      </c>
      <c r="F4435" t="inlineStr"/>
      <c r="G4435" t="inlineStr"/>
      <c r="H4435" s="125" t="n">
        <v>46166</v>
      </c>
      <c r="I4435" t="inlineStr"/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N4435" t="inlineStr"/>
      <c r="O4435" t="inlineStr">
        <is>
          <t>RPK500</t>
        </is>
      </c>
      <c r="P4435" t="inlineStr"/>
      <c r="Q4435" s="112" t="n">
        <v>0</v>
      </c>
      <c r="R4435" s="112" t="n">
        <v>340</v>
      </c>
      <c r="S4435" s="112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D4436" t="inlineStr"/>
      <c r="E4436" t="inlineStr">
        <is>
          <t>ER</t>
        </is>
      </c>
      <c r="F4436" t="inlineStr"/>
      <c r="G4436" t="inlineStr"/>
      <c r="H4436" s="125" t="n">
        <v>46159</v>
      </c>
      <c r="I4436" t="inlineStr"/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N4436" t="inlineStr"/>
      <c r="O4436" t="inlineStr">
        <is>
          <t>RPK500</t>
        </is>
      </c>
      <c r="P4436" t="inlineStr"/>
      <c r="Q4436" s="112" t="n">
        <v>0</v>
      </c>
      <c r="R4436" s="112" t="n">
        <v>340</v>
      </c>
      <c r="S4436" s="112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D4437" t="inlineStr"/>
      <c r="E4437" t="inlineStr">
        <is>
          <t>ER</t>
        </is>
      </c>
      <c r="F4437" t="inlineStr"/>
      <c r="G4437" t="inlineStr"/>
      <c r="H4437" s="125" t="n">
        <v>46159</v>
      </c>
      <c r="I4437" t="inlineStr"/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N4437" t="inlineStr"/>
      <c r="O4437" t="inlineStr">
        <is>
          <t>RPK500</t>
        </is>
      </c>
      <c r="P4437" t="inlineStr"/>
      <c r="Q4437" s="112" t="n">
        <v>0</v>
      </c>
      <c r="R4437" s="112" t="n">
        <v>340</v>
      </c>
      <c r="S4437" s="112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D4438" t="inlineStr"/>
      <c r="E4438" t="inlineStr">
        <is>
          <t>ER</t>
        </is>
      </c>
      <c r="F4438" t="inlineStr"/>
      <c r="G4438" t="inlineStr"/>
      <c r="H4438" s="125" t="n">
        <v>46159</v>
      </c>
      <c r="I4438" t="inlineStr"/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N4438" t="inlineStr"/>
      <c r="O4438" t="inlineStr">
        <is>
          <t>RPK500</t>
        </is>
      </c>
      <c r="P4438" t="inlineStr"/>
      <c r="Q4438" s="112" t="n">
        <v>0</v>
      </c>
      <c r="R4438" s="112" t="n">
        <v>340</v>
      </c>
      <c r="S4438" s="112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D4439" t="inlineStr"/>
      <c r="E4439" t="inlineStr">
        <is>
          <t>ER</t>
        </is>
      </c>
      <c r="F4439" t="inlineStr"/>
      <c r="G4439" t="inlineStr"/>
      <c r="H4439" s="125" t="n">
        <v>46159</v>
      </c>
      <c r="I4439" t="inlineStr"/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N4439" t="inlineStr"/>
      <c r="O4439" t="inlineStr">
        <is>
          <t>RMS2317</t>
        </is>
      </c>
      <c r="P4439" t="inlineStr"/>
      <c r="Q4439" s="112" t="n">
        <v>0</v>
      </c>
      <c r="R4439" s="112" t="n">
        <v>287.36</v>
      </c>
      <c r="S4439" s="112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D4440" t="inlineStr"/>
      <c r="E4440" t="inlineStr">
        <is>
          <t>ER</t>
        </is>
      </c>
      <c r="F4440" t="inlineStr"/>
      <c r="G4440" t="inlineStr"/>
      <c r="H4440" s="125" t="n">
        <v>46159</v>
      </c>
      <c r="I4440" t="inlineStr"/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N4440" t="inlineStr"/>
      <c r="O4440" t="inlineStr">
        <is>
          <t>RPK482</t>
        </is>
      </c>
      <c r="P4440" t="inlineStr"/>
      <c r="Q4440" s="112" t="n">
        <v>0</v>
      </c>
      <c r="R4440" s="112" t="n">
        <v>300</v>
      </c>
      <c r="S4440" s="112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D4441" t="inlineStr"/>
      <c r="E4441" t="inlineStr">
        <is>
          <t>ER</t>
        </is>
      </c>
      <c r="F4441" t="inlineStr"/>
      <c r="G4441" t="inlineStr"/>
      <c r="H4441" s="125" t="n">
        <v>46159</v>
      </c>
      <c r="I4441" t="inlineStr"/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N4441" t="inlineStr"/>
      <c r="O4441" t="inlineStr">
        <is>
          <t>REX665</t>
        </is>
      </c>
      <c r="P4441" t="inlineStr"/>
      <c r="Q4441" s="112" t="n">
        <v>0</v>
      </c>
      <c r="R4441" s="112" t="n">
        <v>458.33</v>
      </c>
      <c r="S4441" s="112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D4442" t="inlineStr"/>
      <c r="E4442" t="inlineStr">
        <is>
          <t>ER</t>
        </is>
      </c>
      <c r="F4442" t="inlineStr"/>
      <c r="G4442" t="inlineStr"/>
      <c r="H4442" s="125" t="n">
        <v>46159</v>
      </c>
      <c r="I4442" t="inlineStr"/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N4442" t="inlineStr"/>
      <c r="O4442" t="inlineStr">
        <is>
          <t>RGR114</t>
        </is>
      </c>
      <c r="P4442" t="inlineStr"/>
      <c r="Q4442" s="112" t="n">
        <v>0</v>
      </c>
      <c r="R4442" s="112" t="n">
        <v>604.17</v>
      </c>
      <c r="S4442" s="112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D4443" t="inlineStr"/>
      <c r="E4443" t="inlineStr">
        <is>
          <t>ER</t>
        </is>
      </c>
      <c r="F4443" t="inlineStr"/>
      <c r="G4443" t="inlineStr"/>
      <c r="H4443" s="125" t="n">
        <v>46159</v>
      </c>
      <c r="I4443" t="inlineStr"/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N4443" t="inlineStr"/>
      <c r="O4443" t="inlineStr">
        <is>
          <t>RDZ318</t>
        </is>
      </c>
      <c r="P4443" t="inlineStr"/>
      <c r="Q4443" s="112" t="n">
        <v>0</v>
      </c>
      <c r="R4443" s="112" t="n">
        <v>778.74</v>
      </c>
      <c r="S4443" s="112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D4444" t="inlineStr"/>
      <c r="E4444" t="inlineStr">
        <is>
          <t>ER</t>
        </is>
      </c>
      <c r="F4444" t="inlineStr"/>
      <c r="G4444" t="inlineStr"/>
      <c r="H4444" s="125" t="n">
        <v>46152</v>
      </c>
      <c r="I4444" t="inlineStr"/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N4444" t="inlineStr"/>
      <c r="O4444" t="inlineStr">
        <is>
          <t>RPK500</t>
        </is>
      </c>
      <c r="P4444" t="inlineStr"/>
      <c r="Q4444" s="112" t="n">
        <v>0</v>
      </c>
      <c r="R4444" s="112" t="n">
        <v>340</v>
      </c>
      <c r="S4444" s="112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D4445" t="inlineStr"/>
      <c r="E4445" t="inlineStr">
        <is>
          <t>ER</t>
        </is>
      </c>
      <c r="F4445" t="inlineStr"/>
      <c r="G4445" t="inlineStr"/>
      <c r="H4445" s="125" t="n">
        <v>46152</v>
      </c>
      <c r="I4445" t="inlineStr"/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N4445" t="inlineStr"/>
      <c r="O4445" t="inlineStr">
        <is>
          <t>RMS2317</t>
        </is>
      </c>
      <c r="P4445" t="inlineStr"/>
      <c r="Q4445" s="112" t="n">
        <v>0</v>
      </c>
      <c r="R4445" s="112" t="n">
        <v>287.36</v>
      </c>
      <c r="S4445" s="112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D4446" t="inlineStr"/>
      <c r="E4446" t="inlineStr">
        <is>
          <t>LA</t>
        </is>
      </c>
      <c r="F4446" t="inlineStr"/>
      <c r="G4446" t="inlineStr"/>
      <c r="H4446" s="125" t="n">
        <v>46163</v>
      </c>
      <c r="I4446" t="inlineStr"/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N4446" t="inlineStr"/>
      <c r="O4446" t="inlineStr"/>
      <c r="P4446" t="inlineStr"/>
      <c r="Q4446" s="112" t="n">
        <v>0</v>
      </c>
      <c r="R4446" s="112" t="n">
        <v>3299.17</v>
      </c>
      <c r="S4446" s="112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D4447" t="inlineStr"/>
      <c r="E4447" t="inlineStr">
        <is>
          <t>LA</t>
        </is>
      </c>
      <c r="F4447" t="inlineStr"/>
      <c r="G4447" t="inlineStr"/>
      <c r="H4447" s="125" t="n">
        <v>46149</v>
      </c>
      <c r="I4447" t="inlineStr"/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N4447" t="inlineStr"/>
      <c r="O4447" t="inlineStr"/>
      <c r="P4447" t="inlineStr"/>
      <c r="Q4447" s="112" t="n">
        <v>0</v>
      </c>
      <c r="R4447" s="112" t="n">
        <v>1344.92</v>
      </c>
      <c r="S4447" s="112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D4448" t="inlineStr"/>
      <c r="E4448" t="inlineStr">
        <is>
          <t>LA</t>
        </is>
      </c>
      <c r="F4448" t="inlineStr"/>
      <c r="G4448" t="inlineStr"/>
      <c r="H4448" s="125" t="n">
        <v>46149</v>
      </c>
      <c r="I4448" t="inlineStr"/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N4448" t="inlineStr"/>
      <c r="O4448" t="inlineStr"/>
      <c r="P4448" t="inlineStr"/>
      <c r="Q4448" s="112" t="n">
        <v>0</v>
      </c>
      <c r="R4448" s="112" t="n">
        <v>383.66</v>
      </c>
      <c r="S4448" s="112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D4449" t="inlineStr"/>
      <c r="E4449" t="inlineStr">
        <is>
          <t>LA</t>
        </is>
      </c>
      <c r="F4449" t="inlineStr"/>
      <c r="G4449" t="inlineStr"/>
      <c r="H4449" s="125" t="n">
        <v>46156</v>
      </c>
      <c r="I4449" t="inlineStr"/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N4449" t="inlineStr"/>
      <c r="O4449" t="inlineStr"/>
      <c r="P4449" t="inlineStr"/>
      <c r="Q4449" s="112" t="n">
        <v>0</v>
      </c>
      <c r="R4449" s="112" t="n">
        <v>2381.39</v>
      </c>
      <c r="S4449" s="112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D4450" t="inlineStr"/>
      <c r="E4450" t="inlineStr">
        <is>
          <t>LA</t>
        </is>
      </c>
      <c r="F4450" t="inlineStr"/>
      <c r="G4450" t="inlineStr"/>
      <c r="H4450" s="125" t="n">
        <v>46156</v>
      </c>
      <c r="I4450" t="inlineStr"/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N4450" t="inlineStr"/>
      <c r="O4450" t="inlineStr"/>
      <c r="P4450" t="inlineStr"/>
      <c r="Q4450" s="112" t="n">
        <v>0</v>
      </c>
      <c r="R4450" s="112" t="n">
        <v>1241.07</v>
      </c>
      <c r="S4450" s="112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D4451" t="inlineStr"/>
      <c r="E4451" t="inlineStr">
        <is>
          <t>LA</t>
        </is>
      </c>
      <c r="F4451" t="inlineStr"/>
      <c r="G4451" t="inlineStr"/>
      <c r="H4451" s="125" t="n">
        <v>46156</v>
      </c>
      <c r="I4451" t="inlineStr"/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N4451" t="inlineStr"/>
      <c r="O4451" t="inlineStr"/>
      <c r="P4451" t="inlineStr"/>
      <c r="Q4451" s="112" t="n">
        <v>0</v>
      </c>
      <c r="R4451" s="112" t="n">
        <v>861.49</v>
      </c>
      <c r="S4451" s="112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D4452" t="inlineStr"/>
      <c r="E4452" t="inlineStr">
        <is>
          <t>LA</t>
        </is>
      </c>
      <c r="F4452" t="inlineStr"/>
      <c r="G4452" t="inlineStr"/>
      <c r="H4452" s="125" t="n">
        <v>46156</v>
      </c>
      <c r="I4452" t="inlineStr"/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N4452" t="inlineStr"/>
      <c r="O4452" t="inlineStr"/>
      <c r="P4452" t="inlineStr"/>
      <c r="Q4452" s="112" t="n">
        <v>0</v>
      </c>
      <c r="R4452" s="112" t="n">
        <v>861.49</v>
      </c>
      <c r="S4452" s="112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D4453" t="inlineStr"/>
      <c r="E4453" t="inlineStr">
        <is>
          <t>LA</t>
        </is>
      </c>
      <c r="F4453" t="inlineStr"/>
      <c r="G4453" t="inlineStr"/>
      <c r="H4453" s="125" t="n">
        <v>46156</v>
      </c>
      <c r="I4453" t="inlineStr"/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N4453" t="inlineStr"/>
      <c r="O4453" t="inlineStr"/>
      <c r="P4453" t="inlineStr"/>
      <c r="Q4453" s="112" t="n">
        <v>0</v>
      </c>
      <c r="R4453" s="112" t="n">
        <v>861.49</v>
      </c>
      <c r="S4453" s="112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D4454" t="inlineStr"/>
      <c r="E4454" t="inlineStr">
        <is>
          <t>LA</t>
        </is>
      </c>
      <c r="F4454" t="inlineStr"/>
      <c r="G4454" t="inlineStr"/>
      <c r="H4454" s="125" t="n">
        <v>46163</v>
      </c>
      <c r="I4454" t="inlineStr"/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N4454" t="inlineStr"/>
      <c r="O4454" t="inlineStr"/>
      <c r="P4454" t="inlineStr"/>
      <c r="Q4454" s="112" t="n">
        <v>0</v>
      </c>
      <c r="R4454" s="112" t="n">
        <v>4759.41</v>
      </c>
      <c r="S4454" s="112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25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12" t="n">
        <v>0</v>
      </c>
      <c r="R4455" s="112" t="n">
        <v>0</v>
      </c>
      <c r="S4455" s="112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D4456" t="inlineStr"/>
      <c r="E4456" t="inlineStr">
        <is>
          <t>ER</t>
        </is>
      </c>
      <c r="F4456" t="inlineStr"/>
      <c r="G4456" t="inlineStr"/>
      <c r="H4456" s="125" t="n">
        <v>46152</v>
      </c>
      <c r="I4456" t="inlineStr"/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N4456" t="inlineStr"/>
      <c r="O4456" t="inlineStr">
        <is>
          <t>RGR114</t>
        </is>
      </c>
      <c r="P4456" t="inlineStr"/>
      <c r="Q4456" s="112" t="n">
        <v>0</v>
      </c>
      <c r="R4456" s="112" t="n">
        <v>604.17</v>
      </c>
      <c r="S4456" s="112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D4457" t="inlineStr"/>
      <c r="E4457" t="inlineStr">
        <is>
          <t>ER</t>
        </is>
      </c>
      <c r="F4457" t="inlineStr"/>
      <c r="G4457" t="inlineStr"/>
      <c r="H4457" s="125" t="n">
        <v>46152</v>
      </c>
      <c r="I4457" t="inlineStr"/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N4457" t="inlineStr"/>
      <c r="O4457" t="inlineStr">
        <is>
          <t>REX665</t>
        </is>
      </c>
      <c r="P4457" t="inlineStr"/>
      <c r="Q4457" s="112" t="n">
        <v>0</v>
      </c>
      <c r="R4457" s="112" t="n">
        <v>458.33</v>
      </c>
      <c r="S4457" s="112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25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12" t="n">
        <v>0</v>
      </c>
      <c r="R4458" s="112" t="n">
        <v>0</v>
      </c>
      <c r="S4458" s="112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25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12" t="n">
        <v>0</v>
      </c>
      <c r="R4459" s="112" t="n">
        <v>0</v>
      </c>
      <c r="S4459" s="112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25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12" t="n">
        <v>0</v>
      </c>
      <c r="R4460" s="112" t="n">
        <v>0</v>
      </c>
      <c r="S4460" s="112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25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12" t="n">
        <v>0</v>
      </c>
      <c r="R4461" s="112" t="n">
        <v>0</v>
      </c>
      <c r="S4461" s="112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25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12" t="n">
        <v>0</v>
      </c>
      <c r="R4462" s="112" t="n">
        <v>0</v>
      </c>
      <c r="S4462" s="112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D4463" t="inlineStr"/>
      <c r="E4463" t="inlineStr">
        <is>
          <t>OC</t>
        </is>
      </c>
      <c r="F4463" t="inlineStr"/>
      <c r="G4463" t="inlineStr"/>
      <c r="H4463" s="125" t="n">
        <v>46113</v>
      </c>
      <c r="I4463" t="inlineStr"/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N4463" t="inlineStr"/>
      <c r="O4463" t="inlineStr">
        <is>
          <t>21409</t>
        </is>
      </c>
      <c r="P4463" t="inlineStr">
        <is>
          <t>COUNTY OF WHARTON</t>
        </is>
      </c>
      <c r="Q4463" s="112" t="n">
        <v>0</v>
      </c>
      <c r="R4463" s="112" t="n">
        <v>500</v>
      </c>
      <c r="S4463" s="112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Rodriguez</dc:creator>
  <dcterms:created xmlns:dcterms="http://purl.org/dc/terms/" xmlns:xsi="http://www.w3.org/2001/XMLSchema-instance" xsi:type="dcterms:W3CDTF">2026-06-08T14:46:11Z</dcterms:created>
  <dcterms:modified xmlns:dcterms="http://purl.org/dc/terms/" xmlns:xsi="http://www.w3.org/2001/XMLSchema-instance" xsi:type="dcterms:W3CDTF">2026-06-08T18:21:36Z</dcterms:modified>
  <cp:lastModifiedBy>Matthew Rodriguez</cp:lastModifiedBy>
</cp:coreProperties>
</file>